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Meetings" sheetId="1" r:id="rId5"/>
    <sheet state="visible" name="Follow Ups" sheetId="2" r:id="rId6"/>
    <sheet state="visible" name="Contract Sent" sheetId="3" r:id="rId7"/>
    <sheet state="visible" name="Invoice Sent" sheetId="4" r:id="rId8"/>
    <sheet state="visible" name="Temporary Inactive" sheetId="5" r:id="rId9"/>
    <sheet state="visible" name="Onboarded" sheetId="6" r:id="rId10"/>
    <sheet state="visible" name="No-Show" sheetId="7" r:id="rId11"/>
    <sheet state="visible" name="Dead Leads" sheetId="8" r:id="rId12"/>
    <sheet state="hidden" name="Georges Callbacks" sheetId="9" r:id="rId13"/>
    <sheet state="hidden" name="Real Estate" sheetId="10" r:id="rId14"/>
    <sheet state="visible" name="Settings" sheetId="11" r:id="rId15"/>
    <sheet state="hidden" name="_Activity_Log" sheetId="12" r:id="rId16"/>
    <sheet state="hidden" name="Sheet9" sheetId="13" r:id="rId17"/>
    <sheet state="visible" name="_Deleted_Rows" sheetId="14" r:id="rId18"/>
  </sheets>
  <definedNames>
    <definedName hidden="1" localSheetId="3" name="Z_AA11B3EB_7166_429A_9C9E_A7F2D10587B6_.wvu.FilterData">'Invoice Sent'!$A$1:$Q$3</definedName>
    <definedName hidden="1" localSheetId="2" name="Z_AA11B3EB_7166_429A_9C9E_A7F2D10587B6_.wvu.FilterData">'Contract Sent'!$A$1:$Q$12</definedName>
    <definedName hidden="1" localSheetId="0" name="Z_AA11B3EB_7166_429A_9C9E_A7F2D10587B6_.wvu.FilterData">'New Meetings'!$A$1:$P$1</definedName>
    <definedName hidden="1" localSheetId="4" name="Z_AA11B3EB_7166_429A_9C9E_A7F2D10587B6_.wvu.FilterData">'Temporary Inactive'!$A$1:$P$1</definedName>
    <definedName hidden="1" localSheetId="1" name="Z_AA11B3EB_7166_429A_9C9E_A7F2D10587B6_.wvu.FilterData">'Follow Ups'!$A$1:$P$23</definedName>
    <definedName hidden="1" localSheetId="6" name="Z_AA11B3EB_7166_429A_9C9E_A7F2D10587B6_.wvu.FilterData">'No-Show'!$A$1:$Q$2</definedName>
    <definedName hidden="1" localSheetId="9" name="Z_AA11B3EB_7166_429A_9C9E_A7F2D10587B6_.wvu.FilterData">'Real Estate'!$A$1:$Q$12</definedName>
    <definedName hidden="1" localSheetId="3" name="Z_7640BF70_1596_47DD_944E_658DB4B9989D_.wvu.FilterData">'Invoice Sent'!$A$1:$Q$3</definedName>
    <definedName hidden="1" localSheetId="2" name="Z_7640BF70_1596_47DD_944E_658DB4B9989D_.wvu.FilterData">'Contract Sent'!$A$1:$Q$9</definedName>
    <definedName hidden="1" localSheetId="0" name="Z_7640BF70_1596_47DD_944E_658DB4B9989D_.wvu.FilterData">'New Meetings'!$A$1:$P$1</definedName>
    <definedName hidden="1" localSheetId="4" name="Z_7640BF70_1596_47DD_944E_658DB4B9989D_.wvu.FilterData">'Temporary Inactive'!$A$1:$P$1</definedName>
    <definedName hidden="1" localSheetId="6" name="Z_7640BF70_1596_47DD_944E_658DB4B9989D_.wvu.FilterData">'No-Show'!$A$1:$Q$2</definedName>
    <definedName hidden="1" localSheetId="9" name="Z_7640BF70_1596_47DD_944E_658DB4B9989D_.wvu.FilterData">'Real Estate'!$A$1:$Q$12</definedName>
    <definedName hidden="1" localSheetId="1" name="Z_465A9FEF_47D5_41A2_BD54_F2B1D7881CCA_.wvu.FilterData">'Follow Ups'!$A$1:$P$48</definedName>
    <definedName hidden="1" localSheetId="2" name="Z_3A276F3E_375B_4047_8362_7BC8706380F8_.wvu.FilterData">'Contract Sent'!$A$1:$Q$13</definedName>
    <definedName hidden="1" localSheetId="0" name="Z_3A276F3E_375B_4047_8362_7BC8706380F8_.wvu.FilterData">'New Meetings'!$A$1:$P$1</definedName>
    <definedName hidden="1" localSheetId="1" name="Z_3A276F3E_375B_4047_8362_7BC8706380F8_.wvu.FilterData">'Follow Ups'!$A$1:$P$33</definedName>
    <definedName hidden="1" localSheetId="6" name="Z_3A276F3E_375B_4047_8362_7BC8706380F8_.wvu.FilterData">'No-Show'!$A$1:$Q$32</definedName>
    <definedName hidden="1" localSheetId="1" name="Z_FE6BFC50_C8F1_4E23_BC9D_2948526AE1EA_.wvu.FilterData">'Follow Ups'!$A$1:$P$44</definedName>
    <definedName hidden="1" localSheetId="3" name="Z_34D72827_1C41_4DA6_AE21_43468FDAB35C_.wvu.FilterData">'Invoice Sent'!$A$1:$Q$3</definedName>
    <definedName hidden="1" localSheetId="2" name="Z_34D72827_1C41_4DA6_AE21_43468FDAB35C_.wvu.FilterData">'Contract Sent'!$A$1:$Q$9</definedName>
    <definedName hidden="1" localSheetId="0" name="Z_34D72827_1C41_4DA6_AE21_43468FDAB35C_.wvu.FilterData">'New Meetings'!$A$1:$P$27</definedName>
    <definedName hidden="1" localSheetId="4" name="Z_34D72827_1C41_4DA6_AE21_43468FDAB35C_.wvu.FilterData">'Temporary Inactive'!$A$1:$P$1</definedName>
    <definedName hidden="1" localSheetId="5" name="Z_34D72827_1C41_4DA6_AE21_43468FDAB35C_.wvu.FilterData">Onboarded!$A$1:$Q$60</definedName>
    <definedName hidden="1" localSheetId="6" name="Z_34D72827_1C41_4DA6_AE21_43468FDAB35C_.wvu.FilterData">'No-Show'!$A$1:$Q$2</definedName>
    <definedName hidden="1" localSheetId="9" name="Z_34D72827_1C41_4DA6_AE21_43468FDAB35C_.wvu.FilterData">'Real Estate'!$A$1:$Q$12</definedName>
    <definedName hidden="1" localSheetId="2" name="Z_A5BC5E77_FC3C_44DA_8879_5736CB893BB4_.wvu.FilterData">'Contract Sent'!$A$1:$Q$26</definedName>
    <definedName hidden="1" localSheetId="0" name="Z_A5BC5E77_FC3C_44DA_8879_5736CB893BB4_.wvu.FilterData">'New Meetings'!$A$1:$P$27</definedName>
    <definedName hidden="1" localSheetId="1" name="Z_A5BC5E77_FC3C_44DA_8879_5736CB893BB4_.wvu.FilterData">'Follow Ups'!$A$1:$R$108</definedName>
    <definedName hidden="1" localSheetId="1" name="Z_4FBD1DD6_4B2C_4C17_BEC1_FB193AF50FDA_.wvu.FilterData">'Follow Ups'!$A$1:$Q$57</definedName>
    <definedName hidden="1" localSheetId="3" name="Z_EFB21323_95C1_45BD_9E8A_755BDF45AF62_.wvu.FilterData">'Invoice Sent'!$A$1:$Q$3</definedName>
    <definedName hidden="1" localSheetId="2" name="Z_EFB21323_95C1_45BD_9E8A_755BDF45AF62_.wvu.FilterData">'Contract Sent'!$A$1:$Q$12</definedName>
    <definedName hidden="1" localSheetId="0" name="Z_EFB21323_95C1_45BD_9E8A_755BDF45AF62_.wvu.FilterData">'New Meetings'!$A$1:$P$27</definedName>
    <definedName hidden="1" localSheetId="4" name="Z_EFB21323_95C1_45BD_9E8A_755BDF45AF62_.wvu.FilterData">'Temporary Inactive'!$A$1:$P$1</definedName>
    <definedName hidden="1" localSheetId="1" name="Z_EFB21323_95C1_45BD_9E8A_755BDF45AF62_.wvu.FilterData">'Follow Ups'!$A$1:$P$31</definedName>
    <definedName hidden="1" localSheetId="6" name="Z_EFB21323_95C1_45BD_9E8A_755BDF45AF62_.wvu.FilterData">'No-Show'!$A$1:$Q$2</definedName>
    <definedName hidden="1" localSheetId="9" name="Z_EFB21323_95C1_45BD_9E8A_755BDF45AF62_.wvu.FilterData">'Real Estate'!$A$1:$Q$12</definedName>
    <definedName hidden="1" localSheetId="2" name="Z_A2E724F5_6261_45E5_81C5_D6835B133D06_.wvu.FilterData">'Contract Sent'!$A$1:$Q$14</definedName>
  </definedNames>
  <calcPr/>
  <customWorkbookViews>
    <customWorkbookView activeSheetId="0" maximized="1" windowHeight="0" windowWidth="0" guid="{AA11B3EB-7166-429A-9C9E-A7F2D10587B6}" name="Filter 2"/>
    <customWorkbookView activeSheetId="0" maximized="1" windowHeight="0" windowWidth="0" guid="{7640BF70-1596-47DD-944E-658DB4B9989D}" name="Filter 3"/>
    <customWorkbookView activeSheetId="0" maximized="1" windowHeight="0" windowWidth="0" guid="{465A9FEF-47D5-41A2-BD54-F2B1D7881CCA}" name="SASASAS"/>
    <customWorkbookView activeSheetId="0" maximized="1" windowHeight="0" windowWidth="0" guid="{3A276F3E-375B-4047-8362-7BC8706380F8}" name="Filter 5"/>
    <customWorkbookView activeSheetId="0" maximized="1" windowHeight="0" windowWidth="0" guid="{FE6BFC50-C8F1-4E23-BC9D-2948526AE1EA}" name="Filter 7"/>
    <customWorkbookView activeSheetId="0" maximized="1" windowHeight="0" windowWidth="0" guid="{34D72827-1C41-4DA6-AE21-43468FDAB35C}" name="Filter 1"/>
    <customWorkbookView activeSheetId="0" maximized="1" windowHeight="0" windowWidth="0" guid="{A5BC5E77-FC3C-44DA-8879-5736CB893BB4}" name="Ben"/>
    <customWorkbookView activeSheetId="0" maximized="1" windowHeight="0" windowWidth="0" guid="{4FBD1DD6-4B2C-4C17-BEC1-FB193AF50FDA}" name="Filter 10"/>
    <customWorkbookView activeSheetId="0" maximized="1" windowHeight="0" windowWidth="0" guid="{EFB21323-95C1-45BD-9E8A-755BDF45AF62}" name="Filter 4"/>
    <customWorkbookView activeSheetId="0" maximized="1" windowHeight="0" windowWidth="0" guid="{A2E724F5-6261-45E5-81C5-D6835B133D06}" name="Filter 6"/>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19">
      <text>
        <t xml:space="preserve">Follow-Up meeting scheduled for Thursday 8/24 at 7:30 our time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40">
      <text>
        <t xml:space="preserve">She had replied to the email stating that she's no longer interested in the meeting so I followed up with a call to understand why and she didn't answer instead let another employee state she's not interested and hung up.</t>
      </text>
    </comment>
  </commentList>
</comments>
</file>

<file path=xl/sharedStrings.xml><?xml version="1.0" encoding="utf-8"?>
<sst xmlns="http://schemas.openxmlformats.org/spreadsheetml/2006/main" count="23784" uniqueCount="5547">
  <si>
    <t>SUB</t>
  </si>
  <si>
    <t>Opener</t>
  </si>
  <si>
    <t>Status</t>
  </si>
  <si>
    <t>Date Added</t>
  </si>
  <si>
    <t>Company Name</t>
  </si>
  <si>
    <t>Authorized Person</t>
  </si>
  <si>
    <t>Phone</t>
  </si>
  <si>
    <t>EMAIL</t>
  </si>
  <si>
    <t>Meeting Time</t>
  </si>
  <si>
    <t>Opener Summary</t>
  </si>
  <si>
    <t>George's Notes</t>
  </si>
  <si>
    <t>Auto Scheduler</t>
  </si>
  <si>
    <t>Last Call</t>
  </si>
  <si>
    <t>Action</t>
  </si>
  <si>
    <t>Checkbox</t>
  </si>
  <si>
    <t>Log</t>
  </si>
  <si>
    <t>NPI</t>
  </si>
  <si>
    <t>ORT</t>
  </si>
  <si>
    <t>ORT+CGM+LYMPH W</t>
  </si>
  <si>
    <t>Ben</t>
  </si>
  <si>
    <t>Campaigns</t>
  </si>
  <si>
    <t>Invoice Sent</t>
  </si>
  <si>
    <t>ORT+CGM</t>
  </si>
  <si>
    <t>Selene</t>
  </si>
  <si>
    <t>Follow Up</t>
  </si>
  <si>
    <t>Jasmine</t>
  </si>
  <si>
    <t xml:space="preserve">NYS DIAGNOSTICS &amp; SUPPLY LLC </t>
  </si>
  <si>
    <t>MINATA SADDY</t>
  </si>
  <si>
    <t>240-299-6339</t>
  </si>
  <si>
    <t>info@nysdx.com / msaddy@nysdx.com</t>
  </si>
  <si>
    <t>Mon 9:30 PM</t>
  </si>
  <si>
    <t>PROMED SUPPLIES</t>
  </si>
  <si>
    <t xml:space="preserve">Med B, all states without extra licenses , ort and cgm, immunology
Scheduled a meeting 2/6, </t>
  </si>
  <si>
    <t>DENISE V. LYONS MEDICAL SUPPLY HOUSE</t>
  </si>
  <si>
    <t>Contract Sent</t>
  </si>
  <si>
    <t>DENISE V. LYONS</t>
  </si>
  <si>
    <t>303-257-1938</t>
  </si>
  <si>
    <t>Zahid James</t>
  </si>
  <si>
    <t>Scheduled for 23rd, sent contract, she said that she will call me tomorrow same time , she is interested in CGM and orthopedic braces, i sent her an invoice for 1.5 agent to do Orthopedic braces waiting for her to pay , call back after 03/11 she will finish the yearly compliance inspection , waiting for her partner to give a greenligh</t>
  </si>
  <si>
    <t>215-954-0877</t>
  </si>
  <si>
    <t>denisevlyons@outlook.com</t>
  </si>
  <si>
    <t>promed239@gmail.com</t>
  </si>
  <si>
    <t>Mon 10:30</t>
  </si>
  <si>
    <t>Aa Medical Supply Inc</t>
  </si>
  <si>
    <t>Richard Yousif</t>
  </si>
  <si>
    <t>586-933-6565</t>
  </si>
  <si>
    <t>Fri 8.00PM</t>
  </si>
  <si>
    <t>richard@aamedsupplies.com</t>
  </si>
  <si>
    <t>ort cgm lymphedema / medicaid aetna humana united healthcare CO based</t>
  </si>
  <si>
    <t xml:space="preserve">we want to send a marketing plan with 3 different prices and what will she get as an outcome </t>
  </si>
  <si>
    <t>- done from medicare inspection will work i month from now , dme cgm al states pcp tele med fri 21st 1 pm est 8 pm our time -selene 2/19
- Yayyyyyy he got his PTAN and he said he was looking for our contact he wnats to start i resent the email and calender invite meeting today 5 pm est 11 pm our time -selene 3/27 - He was very sick and wanted us to call him 10 am tmrw or 10 am wed-selene 3/28 - He wants medicare to change his number and then start he will return to us by fri about medicare number -selene 4/15
- yayyy Medicare changed his number and everything is all set cb Mon 19th 12 pm EST -selene 5/13 waiting for funds -WILL CB IN AN HOUR 7/28 - broke said not ready to do it he will contact us -selene 8/8
- said to send prices and give him a cb on fri 1/20 -no longer doing DME 8/4</t>
  </si>
  <si>
    <t>- send a price list 08/29/2025
- DOC 2/5 VM
- schedule a google meet next week 8:30 our time, i sent the proposal + prices again - ben, no answer -VM FULL - ben
vm 7/20</t>
  </si>
  <si>
    <t>He is on vacation now, he will be back to the office next Monday 6/10/26 8:14 (jimmy)
Left him a message on whatsapp
said he's in the hospital 🤦‍♂️ - ben, he said that he is in a vacation and he will call me back _ George 03/26/2026
wants 3 agents to start with</t>
  </si>
  <si>
    <t>Jane</t>
  </si>
  <si>
    <t>Trial Sent</t>
  </si>
  <si>
    <t>ROTTAM LLC</t>
  </si>
  <si>
    <t>ROLAND OKWEN</t>
  </si>
  <si>
    <t>708-506-8292 / 8132707270 (whatspp)</t>
  </si>
  <si>
    <t>rokwen@rottamllc.com</t>
  </si>
  <si>
    <t>Fri 10:00PM</t>
  </si>
  <si>
    <t>IL Based, medicare lisenced, supply ort , cgm, and some lymphedema wraps he said he is interested to ship all statesd but dont know if he is able to do that eeting 10 pm our time</t>
  </si>
  <si>
    <t xml:space="preserve">billing option / wound care supplies / "Send palmetto + sample prescription + contract for CGM (usual price) + follow up after christmas
DONE"
Call back 01/08/2025 / left him a message on whats app, called him and he just hanged up on me 02/06/2026
Waiting for CGM devices  stock will be delivered this week, then he'll file a claim and take a look, spoke to george, talk numbers with partners, wants to discuss fees, told him he'd need to speak to george - ben 
still no reimbursments </t>
  </si>
  <si>
    <t>IMMUNE</t>
  </si>
  <si>
    <t>wants 3 agents to start with</t>
  </si>
  <si>
    <t>VM</t>
  </si>
  <si>
    <t>SYNERGENIX DIAGNOSTICS</t>
  </si>
  <si>
    <t>JOEY JENKINS</t>
  </si>
  <si>
    <t>202-607-3875</t>
  </si>
  <si>
    <t>jenkinslifetree@gmail.com</t>
  </si>
  <si>
    <t>Fri 7:00 PM</t>
  </si>
  <si>
    <t>DIAGNOSTIC SOLUTIONS</t>
  </si>
  <si>
    <t>Jessica Wilks</t>
  </si>
  <si>
    <t>MD based has the ngs machine and do the immune deficiency test, medicare licensed, and accept patients from most states, asked to send email meeting fri</t>
  </si>
  <si>
    <t>325-222-0621</t>
  </si>
  <si>
    <t>jessicawilks@mediplus1.com</t>
  </si>
  <si>
    <t>Wed 5:00PM</t>
  </si>
  <si>
    <t>set a meeting next thursday same time 2:00 PM, he will Out source it for one of his parnter to do it in his lab and get the reimbursements and pay for us , I will send him the email and everything now , we discussed the payment cycle as upfront would be difficult for them , 50% and they will circle back and get back to us , 03/26/2026 , someone try to reschedule the meeting , we agreed on 50% we are still agreeing on the capacity 12- 17 - 25 patients, he still waiting on some capital to fund this project 3/30, i spoke with him and he said that he want to work with us and want to built trust he want us to send atleastsome leads to get started then he will pay, itold him about the 50percent but he said still to much , i told hime about the uti he said he can doi it and it less pricy so we cant start with it if we have ready pts and if he finds our work went well he will work with us the ngs and pgx meeting on friday 12pm est</t>
  </si>
  <si>
    <t>Jessica Wilks (Office Manager) - TX Based accepts medicare patients from other states works on PGX sent email meeting 5pm our time wed 10/14
- tried to find another number its discoonected</t>
  </si>
  <si>
    <t>NA left a VM (jimmy) 6/10/26 8:16 wants an email and to see the draft and the Contract
sent an email follow up tomorrow, left a voice mail , left a voice mail</t>
  </si>
  <si>
    <t>REGAL MEDICAL SOLUTIONS INC</t>
  </si>
  <si>
    <t>Tara</t>
  </si>
  <si>
    <t>678-701-7310</t>
  </si>
  <si>
    <t>carlytdme2@gmail.com</t>
  </si>
  <si>
    <t>Fri 8.00:PM</t>
  </si>
  <si>
    <t>- GA basesd I spoke to tara she works with PCP/ Telemed all states CGM DME and she wanted to know reviews about us and asked if we have US bank acount meeting friday at 1 pm est and 8 pm our time she will dicuss with her partners -selene 2/25
- Meeting Tmrw at 27th feb 3.30 est and 10.30 or time meeting with her business partner -selene 2/26
- cb next monday she said she will think about it and i resent the email-selene 7/31</t>
  </si>
  <si>
    <t>Spoke to one of her partners but the other meeting keeps getting reschedule, I should call to follow up around the 10th of March. DOC 3/27/2025 Said that our prices are a bit high, but they aren't that interested at the moment. said she will get back to me
Doc (12/11/2025) ,can't reach her
- DOC 2/5 VM
dis 7/20</t>
  </si>
  <si>
    <t>no answer</t>
  </si>
  <si>
    <t>Allhealth &amp; Care Medical Supply Inc.</t>
  </si>
  <si>
    <t>Robert Binyaminov</t>
  </si>
  <si>
    <t>917-957-2766</t>
  </si>
  <si>
    <t>Mon 5:00 PM</t>
  </si>
  <si>
    <t>Medicare licensed, DME &amp; CGM, NY based but can do all states, PCP, he was very interested in the contract as he wants to review it with his attorney</t>
  </si>
  <si>
    <t>waiting for his PTAN DOC 13/3/2025. DOC 4/4/2025 still in the process did fingerprint, any time now he will receive his PTAN. Received his PTAN and will talk with his biller to finalize compliance matters today DOC 4/24/2025
VM (12/11/2025)
VM - ben</t>
  </si>
  <si>
    <t>SHAPIRO Z ENTERPRISE INCORPORATED</t>
  </si>
  <si>
    <t>Zinoviy Eduardovich Shapiro</t>
  </si>
  <si>
    <t>440-461-2648/440-278-0793 mr shapiro number</t>
  </si>
  <si>
    <t>alinamedicalsupply@gmail.com</t>
  </si>
  <si>
    <t>Thu 6:00 PM</t>
  </si>
  <si>
    <t>EPIC PROSTHETICS AND ORTHOTICS LLC</t>
  </si>
  <si>
    <t>OH Based , Medicare liscenced, Ships all states meeting Thursday 11am EST 6 pm our time 12/15</t>
  </si>
  <si>
    <t>SUNRISE MEDICAL SUPPLY CORP</t>
  </si>
  <si>
    <t xml:space="preserve">He said that our price is very high, I tild him we can a gree on a lower budget and told me to say what he has in mind. Called him to connect him with George, but he did not answer. 6/10/26 8:25 He said to reschedule to monday 2 pm est, Doc 02/04/2026, left a voice mail
shapiro wanted to review the prices and the contract and respond back to us, call back next wednesday same time 1/29, friday 5:30 same time , he wants some calculations to be sent to know whether it will be profitable to him or not Send him the price list one more time with examples what would be the case if he recieved 5-7 patients a week and what is expected in return , Calcucate Net profit Or ROI ( return on investment) , Avg Reimbursements - (Our cost + cost of the item ) = Net profit sent the email ill call tomorrow - ben  He said he is currently interested in working for  cpap /bipap /wound supply /cathethers /pure suply will give  acb friday 7/29 </t>
  </si>
  <si>
    <t>Liya Yusupova</t>
  </si>
  <si>
    <t>917-763-9518</t>
  </si>
  <si>
    <t>JAKE COBURN DAVIS</t>
  </si>
  <si>
    <t>info@ameristarbilling.com</t>
  </si>
  <si>
    <t>Mon 5:30 PM</t>
  </si>
  <si>
    <t>801-820-0045</t>
  </si>
  <si>
    <t>NYBASED, SUPPLU DME ,CGM MEDICARE LICENSED AND, SHE WANT TO SHIP TO ALL STATES BUT THINKS THAT SHER NEED LICESEND, IT OKAY U CAN SEND THEM ALL STATES, PCP, MEETING 5:30 OUTIME, 11 30 AM 3/21</t>
  </si>
  <si>
    <t>jake@epicpo.com</t>
  </si>
  <si>
    <t>Finally answered and asked me to call next week same time because her partner is away
VM (12/08/2025)
Full VM - ben sent an email</t>
  </si>
  <si>
    <t>IK-MED LLC</t>
  </si>
  <si>
    <t>Sheikh Aftab</t>
  </si>
  <si>
    <t>703-640-8784</t>
  </si>
  <si>
    <t>ASAD149@GMAIL.COM</t>
  </si>
  <si>
    <t>Tue 10:30 PM</t>
  </si>
  <si>
    <t>Medicare liscenced , nationwide, PCP ,ORTCGM he said he takes between 50 to 100 pts per week meeting 4/8 tuesday 4.30 est 10 .30 our time -selene 4/7 - i gave him a call today he said that he is really interested and to give him a call tmrw at 11.30 am his time 4/24 - he hung up seems NI -selene 4/29
- cb next mon 1 -selene 11/25</t>
  </si>
  <si>
    <t>Lymphadema</t>
  </si>
  <si>
    <t>We will have a second call tomorrow to discuss the proposal after we send the pricelist. DOC 4/9/2025 No answer 3 times. DOC 4/10/2025 Call tomorrow. DOC 4/11/2025 No answer DOC 4/14/2025 Will talk later this week on Friday. DOC 4/18/2025. Could start trial on Monday, I will send the contract and the pricelist again and call on Monday. Really not serious, instant VM DOC 4/23/2025
- DOC 2/5 VM
- was out of town, wants an email, schedule a google meet for friday 8 pm
-said to call him 11:30/12 tomorrow - ben
- full vm 7/20</t>
  </si>
  <si>
    <t>SV MEDICAL SOLUTIONS INC</t>
  </si>
  <si>
    <t>Vanik Meliksetyan</t>
  </si>
  <si>
    <t>929-556-3030 /</t>
  </si>
  <si>
    <t>SVMEDICALSOLUTIONSINC@gmail.com</t>
  </si>
  <si>
    <t>Wed 7:00PM</t>
  </si>
  <si>
    <t>NY based , Medicare liscenced , ships all states supplies lymph wraps interested to know more and he wanted to know about prices too meeting next wed at 5pm our time 10 am est 11/13
- said to give acb fri thats when he will be availble 1/7
- They said he is in the broklyn office cb next mon 2/5</t>
  </si>
  <si>
    <t>He is on pause, he should be ready back by the end of june or by the first week of july asked for a call back by then (jimmy) 6/10/26 8:29
Really good Calliber , He wants us to send him the Cataelogue from sgivaris and the contracrt if we didn't already send him and he also wants to see how many patients can we send monthly
voice mail 12/09/2025
left a voice mail , he is in vacation, left a message with his assistant and he will let him know call back in a week
guy moved to another location, gatekeeper did not want to give me his phone told me to send an email - ben , so i called him and he is changing stores and it will take him a month to be able to work with anyone cb 4/12
he is waiting to complete the merge in the broklyn location , he took my numder and he would give me a call back / call back on monday   Still no liscence cb at the  end of august 7/24</t>
  </si>
  <si>
    <t>Family Alliance Medical Equipment And Supply Company</t>
  </si>
  <si>
    <t>Audrey Fletcher / Spoke to Evan</t>
  </si>
  <si>
    <t>267-272-7791</t>
  </si>
  <si>
    <t>UT Based ,supply ORT ,Mediacre liscenced ,supply locally said he does marketing himself but interested to know more said to give him a call at 11 am his time on friday 7/28</t>
  </si>
  <si>
    <t>f.alliancehomecare@gmail.com</t>
  </si>
  <si>
    <t>Thu 8:00:PM</t>
  </si>
  <si>
    <t>PA Based. AlL States, went over our email seems v interested
wants an email and a call tuesday same time 8/21</t>
  </si>
  <si>
    <t>I spoke with Evan, her office manager. Very interested and we will talk again in a video call for the demo.
VM - BEN
recheduled with evan
spoke to audrey about meeting with evan
VM</t>
  </si>
  <si>
    <t>he is waiting to complete the merge in the broklyn location , he took my numder and he would give me a call back</t>
  </si>
  <si>
    <t>ORT + Lymphedema</t>
  </si>
  <si>
    <t>SAN BENITO RX LLC</t>
  </si>
  <si>
    <t>Oscar (biller)</t>
  </si>
  <si>
    <t>956-399-2453 ext 304</t>
  </si>
  <si>
    <t>frysdme311@gmail.com / oscarmeza80513@yahoo.com</t>
  </si>
  <si>
    <t>Thu 8:00 PM</t>
  </si>
  <si>
    <t>Tx based , medicare licensed, oscar is the biller handels every thing ,he is not sure if he can ship to all staes but interested to do that , supply ort and lymphedema, meeting 8 pm</t>
  </si>
  <si>
    <t>Call back Friday 12:00 pm He can onl bill for specific states. Oscar said to send him all the details with the pricing and he will discuss it with the owner and he asked if we can call him tomorrow 1 pm ( his time ) sent it again prices 1/9, he said he received it and will call us back this week, waiting for a call back ( george : 02/25/2026)
he will check with the owner a good time for him to get to the meeting (propably will not go for it )</t>
  </si>
  <si>
    <t>Nex Medical Services Inc</t>
  </si>
  <si>
    <t>Ms Michelle (Supervisor )</t>
  </si>
  <si>
    <t>281-583-1810 404 Elais</t>
  </si>
  <si>
    <t>mg@nexmeds.com er@nexmeds.com</t>
  </si>
  <si>
    <t>oscar is always not available</t>
  </si>
  <si>
    <t>Mon 6:00:PM</t>
  </si>
  <si>
    <t>- I spoke to Michelle supervisor she said Medicare liscenced ,ORT CGM can work all states she said they worked several counties i sent an email -selene 5/7
- I spoke to michelle (ext 402) or could be transferred she said we could have a meeting on Monday around 10 am cst 6 pm our time she said she and her partner handle the business -selene 5/8 - cb next mon 6/11
- spoke to michelle she said to resend the prices and give her a cb on wednesday and she will send it to her partner -selene 6/27
- cb monday sent email to partner 8/7</t>
  </si>
  <si>
    <t>We spoke and covered everything, we will send a prive list and talk again on Friday. DOC 5/16/2025, Said she sent the price list to her Partner and we will touch base again on Wedensday instead becuase he isn't available today.
- DOC 2/5 VM , set an appointment for next tuesday at 11:00 (google meet ) , she wants us to call back later today as she is waiting for elias to come from an appointment 03/10/2026</t>
  </si>
  <si>
    <t>GREAT HELP MEDICAL SUPPLY LLC</t>
  </si>
  <si>
    <t>Uzor</t>
  </si>
  <si>
    <t>202-779-4560</t>
  </si>
  <si>
    <t>greathelpmedicalsupplyllc@gmail.com</t>
  </si>
  <si>
    <t>Lab</t>
  </si>
  <si>
    <t>Mon 5:00PM</t>
  </si>
  <si>
    <t>Md based, supply ort, medical liscensed ,he said he can ship allstates, but not sure when checked , meeting today 10 pm</t>
  </si>
  <si>
    <t>he has talk to his Partner, /sample + recordings + pricing + contract / DOC 01/09/2025 hanged up on me
didnt have time to look,schedule a meeting next week 7:30 phone call - ben</t>
  </si>
  <si>
    <t>ADVANCED LABORATORY SERVICES INC.</t>
  </si>
  <si>
    <t>JASBIR ARORA JASBIR ARORA</t>
  </si>
  <si>
    <t>484-324-6680</t>
  </si>
  <si>
    <t>jasbir.arora@advanced-lab.com</t>
  </si>
  <si>
    <t>DULUTH MEDICAL SUPPLIES LLC</t>
  </si>
  <si>
    <t>Raed Hareb</t>
  </si>
  <si>
    <t>706-351-5894</t>
  </si>
  <si>
    <t>duluthmedicalsupplies@gmail.com</t>
  </si>
  <si>
    <t>Wed 9:00:PM</t>
  </si>
  <si>
    <t>- GA Based just got their PTAN and works Part B and PPO really interested and said wants to speak with us with his partner meeting 2 pm est 9 pm our time today 7/9</t>
  </si>
  <si>
    <t>interested meeting tomorrow</t>
  </si>
  <si>
    <t>STEMLYFT PARTNERS LLC</t>
  </si>
  <si>
    <t>GERARD MOHAMMED</t>
  </si>
  <si>
    <t>832-656-4410</t>
  </si>
  <si>
    <t>jmohammed@wellness1stpharmacy.com</t>
  </si>
  <si>
    <t>Fri 9:30 PM</t>
  </si>
  <si>
    <t>,Pa based do pgx, can bill medicare, but never billed for pgx able to do that , work all stattes accept for the ny will get licsence by end of the year fopr ny, meeting on wednesday to discuss with his team</t>
  </si>
  <si>
    <t>Jerry's the husband (i think) TX Based, Part B nationwide, the works</t>
  </si>
  <si>
    <t>he apolagized and will reschedule on my calender by this week</t>
  </si>
  <si>
    <t>NA left a VM 6/10/26 8:49 send the contract and the pricing ( for CGM ) , he is also interested in the braces 01/30/2025, he saw the price list and the reimbursements and he would give me a call back in an hour and also i could contact him on whats app
daughter is sick - ben 2/27
- VM</t>
  </si>
  <si>
    <t>follow up on tuesday 9:00 pm our time to see if he is credentialed to do Orthopedic braces, if he is he can start right away</t>
  </si>
  <si>
    <t>Entourage Me UAE</t>
  </si>
  <si>
    <t>Neil Laithy</t>
  </si>
  <si>
    <t>401-206-0481</t>
  </si>
  <si>
    <t>nlaithy@gmail.com or zoeyweedspc@gmail.com</t>
  </si>
  <si>
    <t>Wed 5:00:PM</t>
  </si>
  <si>
    <t>- Connected via Linkdin asked if we worked in ACA or genetics gave phone number to george so he can talk to him -selene 7/9</t>
  </si>
  <si>
    <t>FIRST CHOICE ORTHOTICS PROSTHETICS AND DME</t>
  </si>
  <si>
    <t>JAMAR WILLIAMS</t>
  </si>
  <si>
    <t>we spoke about ACA &amp; Genetic testing , Really good Guy</t>
  </si>
  <si>
    <t>810-282-8323</t>
  </si>
  <si>
    <t>roc2723@gmail.com</t>
  </si>
  <si>
    <t>Tue 9:30PM</t>
  </si>
  <si>
    <t>MICROSEQDX</t>
  </si>
  <si>
    <t>- MI Based, Medicare Liscenced Ships all states ORT meeting tmrw 9.30 our time 1/19</t>
  </si>
  <si>
    <t>RAHUL SHARMA</t>
  </si>
  <si>
    <t>NA left a VM 6/10/26 8:53
he is interested in doing the braces he wants to review the document and then we can call back 2:00 pm , he wants a contract the price list and the palmetto states where he could know which states can he work in, he wants to talk on saturday, he said he will call me back after 45 min , he will call me back after he recieve some money , he hanged up on me and sent me to the voice mail ,
- He was busy he said to give him a cb later3/3</t>
  </si>
  <si>
    <t>225-573-2690</t>
  </si>
  <si>
    <t>rsharma@microseqdx.com</t>
  </si>
  <si>
    <t>Russ</t>
  </si>
  <si>
    <t>SML MEDICAL SUPPLIES, INC.</t>
  </si>
  <si>
    <t>SAMIR RAMADAN</t>
  </si>
  <si>
    <t>909-559-7200 WA</t>
  </si>
  <si>
    <t>ORTHOTIC &amp; PROSTHETIC ARTS</t>
  </si>
  <si>
    <t>sawad@smlmedicalsupplies.com</t>
  </si>
  <si>
    <t>ALTAGRACIA PENA-ATRISTAIN</t>
  </si>
  <si>
    <t>Wed 7:30:PM</t>
  </si>
  <si>
    <t>845-459-0212</t>
  </si>
  <si>
    <t>CA BASED , MEDICARE LICENSED, SHIP ALL STATES,CGM, ORT wants to know more about prices meeting 7.30 OUR TIME 9.30 PDT HIS TIME -SELENE 8/6</t>
  </si>
  <si>
    <t>Nidia@ORTHOTICPROSTHETICARTS.Com</t>
  </si>
  <si>
    <t>Send all the Info regarding CGM
VM NOT SETUP. ben</t>
  </si>
  <si>
    <t>WED 7:00 PM</t>
  </si>
  <si>
    <t>NA left a VM 6/10/26 8:57 Nidia is out on the field, be back tmrw - ben</t>
  </si>
  <si>
    <t>Sameh Awad</t>
  </si>
  <si>
    <t>EXPO MEDICAL SUPPLY LLC</t>
  </si>
  <si>
    <t>SHARDAE KNIPS</t>
  </si>
  <si>
    <t xml:space="preserve">     305-336-1809      </t>
  </si>
  <si>
    <t>Send all the Info regarding CGM
ben dnc</t>
  </si>
  <si>
    <t>SHARDAE@EXPOMEDICALSUPPLY.COM</t>
  </si>
  <si>
    <t>Tue 10:00PM</t>
  </si>
  <si>
    <t>TX Based, accepts nationwide medicare patients does UTI,PGX meeting TUES  9 PM pm our time 8/5</t>
  </si>
  <si>
    <t xml:space="preserve">He provides UTI PGX inhouse and NGS to his partner lab ,he has an issue with telemedicine and wants PCP and wants the same person prescribing the test to prescribe the medicine ,he said he can start with any test but he has an isuue with the prices he sees it high he says he only pays 30 percent marketing fee, he said he wants to work as a refrence lab and find another lab to bill. Next meeting we will ask if he read the codes and checked with the reimbursemnet and will explain that we do tele only and explain to him the overhead costs (telemdicine service ,ads,guide patient ) meeting next tuesday 9 pm 8/11sent him samples and marketing plan he has an issue with the TMS he wants the TMS to prescribe medication to the patient and he has issues with the pricing so next time we will hope on a call with mike and we will discuss that TMS is not an issue and we provide (ads,kitchasing,TMS) and thats its not expensive </t>
  </si>
  <si>
    <t>FL Based , Medicare, Ships all states meeting tuesday 3pm EST 10 pm our time 12/15
-Still didnt get Medicare CB at the End of Feb -selene 1/29</t>
  </si>
  <si>
    <t>Pending Medicare</t>
  </si>
  <si>
    <t>She said she never got the contract and wants a call back after 30 mins 6/10/26 9:08 more interested in CGM , needs better pricing , Might be interested in getting 2 agents
1/20/2025
she had to redo her accrediation, she is waiting for this to happen by the end of march</t>
  </si>
  <si>
    <t>MLA</t>
  </si>
  <si>
    <t>Jimmy</t>
  </si>
  <si>
    <t>Jama Medical Equipment Llc</t>
  </si>
  <si>
    <t>Ahmed Haji</t>
  </si>
  <si>
    <t>312-437-4040</t>
  </si>
  <si>
    <t>jamamedicalequipment@gmail.com
JME@JAMAMEDICAL.COM ( more important )</t>
  </si>
  <si>
    <t>Fri 4:30 PM</t>
  </si>
  <si>
    <t>she is interested to get around 15 patient a month then 40 patients next month with discounted price, she has an estimate for two weeks , waiting for the suspension to end upon accredidation because of the BOC , follow on thursday 9:30 our time, do a calender invite and ask about the good states that she can work with / she still didn't have an updte from medicare about her license</t>
  </si>
  <si>
    <t>Life assure</t>
  </si>
  <si>
    <t>PCP ( DDV Provided )</t>
  </si>
  <si>
    <t>Brandon</t>
  </si>
  <si>
    <t>Ricky Sharma</t>
  </si>
  <si>
    <t>Ph: 204-982-0095</t>
  </si>
  <si>
    <t>IL Based, All States
Waiting the Sites Survey ? to get Medicare approved
Explained Our Process, Prices discussed licesnure and cgm reimbursements
They got medicare, he heard stuff, that medicare doesnt like that</t>
  </si>
  <si>
    <t>Teams</t>
  </si>
  <si>
    <t>brandon.leblanc@lifeassure.com</t>
  </si>
  <si>
    <t>THU 8:00 PM</t>
  </si>
  <si>
    <t>Waiting for License, Waiting for maybe around the 15th of April
)DOC(12/11/2025 ) busy with a patient , he will call me back , voice mail</t>
  </si>
  <si>
    <t>Thu 9:30PM</t>
  </si>
  <si>
    <t>he will provide the DDV lower payouts than gary thomas</t>
  </si>
  <si>
    <t>Good afternoon,
A colleague passed your contact information to me because you reached out about working together. I'm interested in learning more about how Prime Ad and Life Assure could explore a partnership.
Do you have time for a call tomorrow or early next week to discuss this?</t>
  </si>
  <si>
    <t>STARMONET ESSENTIALS LLC</t>
  </si>
  <si>
    <t>DAVID SHAHZAD</t>
  </si>
  <si>
    <t>314-656-6510</t>
  </si>
  <si>
    <t>hxdavid1@gmail.com</t>
  </si>
  <si>
    <t>MO Based, Dropshipping Medicare B</t>
  </si>
  <si>
    <t>He said that he is still in process of finishing his papers and asked me to call back after 2 weeks 6/10/26 9:30 he wants the Price list + avg Reimbursments + contract for BOth ORT &amp; CGM , call back next thursday busy now didn't see the paperwork will call is (cb in 10 days if he didnt call) - ben</t>
  </si>
  <si>
    <t>Nora</t>
  </si>
  <si>
    <t>uk boliers expert</t>
  </si>
  <si>
    <t>Qeiser Nazir</t>
  </si>
  <si>
    <t>Fri 1:00PM</t>
  </si>
  <si>
    <t>call back in may</t>
  </si>
  <si>
    <t>86TH STREET COMMUNITY PHARMACY CORP.</t>
  </si>
  <si>
    <t>we talked about the chance that we can work together , he gave me dialer and will get me data</t>
  </si>
  <si>
    <t>he gave us info about the boilers campaign &amp; dialer information</t>
  </si>
  <si>
    <t>ABAID CHEEMA (President)</t>
  </si>
  <si>
    <t>(347) 543-3955</t>
  </si>
  <si>
    <t>MED SUPPLIES EXPRESS INC</t>
  </si>
  <si>
    <t>86thstpharmacy@gmail.com</t>
  </si>
  <si>
    <t>Mbaukwu U Anaba</t>
  </si>
  <si>
    <t>678-377-5660</t>
  </si>
  <si>
    <t>CARE MEDICAL RESOURCES</t>
  </si>
  <si>
    <t>support@medsuppliesincs.com</t>
  </si>
  <si>
    <t>David Maurice Smith</t>
  </si>
  <si>
    <t>Mon 7:00 PM</t>
  </si>
  <si>
    <t>WED 5:00 PM</t>
  </si>
  <si>
    <t>404-476-0026</t>
  </si>
  <si>
    <t>david.sourcems@gmail.com</t>
  </si>
  <si>
    <t>GA Based, Medicare liscenced , Nationwide ORT said she wants a call meeting at 10 am est 5 pm our time -selene 3/3 - She said she is very busy during the day but she said 15 min before closing time is more suitable for her she said to call her tmrw at 1.45 our time -selene 3/16</t>
  </si>
  <si>
    <t>Tues 8:00PM</t>
  </si>
  <si>
    <t>AMASOL MEDICAL EQUIPMENT &amp; SUPPLY LLC</t>
  </si>
  <si>
    <t>Tomorrow 11:00 am EST she does not understand how to by agent and she said that the price is so high per prescription agreed on a meeting tomorrow 6/10/26 10:03
send the price list + contact and she will reply to the email about a good time for a followup call , she said that she didn't set an exact time with selene , she had a walk in so she asked to call her later 03/13/2026, 06/22/2026 she wants to approve the order first , new Template for ORT + contract + she only wants to work in GA , reschedule on monday</t>
  </si>
  <si>
    <t>Moses Carayol</t>
  </si>
  <si>
    <t>-Medicare liscenced , ships all states ORT CGM wants UV Wands too owns several DMEs he said he will send our samples to his complaince officer he seems interested and has experience i think wazowski spoke to him before -selene 9/26 meeting 1 est 8 pm our time google meet meeting - spoke to david said he is still very interested buy migt start with less seats for cgm and when i mentioned lymphadema he said he is very interested and wants to speak today at 11/12</t>
  </si>
  <si>
    <t>NY based. He supplies ORT, CGM, and Lymph. He has Medicare and PPO and can ship nationwide 8/7
He said Mondays are a bit busy so rescheduled for tom at 6 pm 8/10</t>
  </si>
  <si>
    <t>914-582-2764</t>
  </si>
  <si>
    <t>SAID CB BEGGINING OF MARCH /still didnt get medicare/ working ppo braces said prices high and upfront</t>
  </si>
  <si>
    <t>amasolmedicalsupply@gmail.com/ john</t>
  </si>
  <si>
    <t>Tue 10:30PM</t>
  </si>
  <si>
    <t>NY Based Medicare liscenced ships all states PCP Telemed ORT ,CGM wants to know the prices Meeting Tuesday 3.30 pmest 10.30 pm our time -selene 8/25</t>
  </si>
  <si>
    <t>send all the info on the ORthopedic Braces + Price list + a sample from pcp order and telemed Order
Called him 09/09 (VM )
- Spoke to him he said to resend email with prices -selene 2/5
Full VM / sent email - ben
vm 7/20</t>
  </si>
  <si>
    <t>PADEK HOLDINGS LLC</t>
  </si>
  <si>
    <t>PRINCE AYODELE ADEKOYA</t>
  </si>
  <si>
    <t>240-731-3766</t>
  </si>
  <si>
    <t>prince@padekhealth.com / padek.healthcare@gmail.com</t>
  </si>
  <si>
    <t>ORANGE COUNTY LABS INC.</t>
  </si>
  <si>
    <t>Tue 8:00 PM</t>
  </si>
  <si>
    <t>Bryan Muhlenbruch</t>
  </si>
  <si>
    <t>MD based supply ort,cgm, ship allstates , medicasre liecned sent email,meeting tuesday</t>
  </si>
  <si>
    <t xml:space="preserve"> 714-519-1466</t>
  </si>
  <si>
    <t>bm@orangecountylabs.com</t>
  </si>
  <si>
    <t>NA vm is full 6/10/26 10:17 he has two other locations, he is only problem is to convince him to do an upfront payment send price list for ort &amp; CGM devices and a contract , they will respond back with an email 06/30/2026 just talked to him right now, send him the marketing template for ort and CGM and we will talk to him at the end of the day or tomorrow, send the email and remember to call him to ask him if he reviewed the document today</t>
  </si>
  <si>
    <t>Inactive License</t>
  </si>
  <si>
    <t>NASMED LLC</t>
  </si>
  <si>
    <t>Arslan Minhas</t>
  </si>
  <si>
    <t>929-400-0237</t>
  </si>
  <si>
    <t>nasmed70@gmail.com</t>
  </si>
  <si>
    <t>Wed 7:00 PM</t>
  </si>
  <si>
    <t>NY Based, ships allstates just got their Ptan for their other DME his wife is the owner of the DMEs but he said he handles the work supplies CGM ORT meeting Wednesday 14th 12pm est 7 PM OUR TIME -selene 1/9</t>
  </si>
  <si>
    <t>Jk Care Supplies Llc</t>
  </si>
  <si>
    <t>Please send the Contract AND the CGM (sample + Prices) and the ORT (sample + Prices
His wife company has the PTan , (marketing Team inhouse, so she wouldn't need us ) he didn't get the PTan yet, he told me to follow up with him in march
, I texted him on phound , call on tuesday his wife's company is well but she has everything in house, his company has no license yet,government not accepting any new license, could be delayed 8 months</t>
  </si>
  <si>
    <t>Ismail Khan</t>
  </si>
  <si>
    <t>ca based do genetic testing,immune and uti,pgx,accept medicare pts nv ca mi fl az, tx, he can apply for credation for other states according to the capacity if it needs, meeting tomw 10:30pm</t>
  </si>
  <si>
    <t>646-920-5833</t>
  </si>
  <si>
    <t>rescheduled  for tomowrow 10;30</t>
  </si>
  <si>
    <t>ismail290k@gmail.com / Kashif.khan15504@gmail.com</t>
  </si>
  <si>
    <t>Fri 5:00PM</t>
  </si>
  <si>
    <t>MERCY MEDICAL SUPPLIES LLC</t>
  </si>
  <si>
    <t>DONNA M CHANG</t>
  </si>
  <si>
    <t>Licensed, all states, DME and CGM, he was excited to talk tomorrow</t>
  </si>
  <si>
    <t>904-476-3305</t>
  </si>
  <si>
    <t>meeting on wednesday 11:00 am EST , He will be texting the other partners email and we could proceed afterwards
VM -ben</t>
  </si>
  <si>
    <t>suppliesMERCYMEDICAL@gmail.com</t>
  </si>
  <si>
    <t>FRI 7:00 PM</t>
  </si>
  <si>
    <t>- FL Based, Medicare Liscenced Ships nation wide</t>
  </si>
  <si>
    <t>NA 6/10/26 10:44
I called her again she apolozied for not showing up, she said her brother died, and she had a lot going on with her now, we a greed on a reset next WED 11/03 11:30 Her time 6:30 our time 3/4/26 10:22
She did not show up 2/4/26 8:30
1 pm fl NA 1/27/26 7:24 She did not answer 1/26/26 7:22 "Mail sent and meeting set She still at the beggining of running the business asked me for the mail and a meeting next monday at 12 pm suppliesMERCYMEDICAL@gmail.com "
she didn't show up in the meeting</t>
  </si>
  <si>
    <t>Dmg Wellness Inc.</t>
  </si>
  <si>
    <t>Gregory Ihenacho</t>
  </si>
  <si>
    <t>DE LA LUZ LABORATORY LLC</t>
  </si>
  <si>
    <t>323-676-5360</t>
  </si>
  <si>
    <t>MARIA ESMERALDA AMARO HERNANDEZ</t>
  </si>
  <si>
    <t>dmgwellness2019@gmail.com / david@dmgwellness.com</t>
  </si>
  <si>
    <t>GENE MATRIX LLC</t>
  </si>
  <si>
    <t>312-415-7097</t>
  </si>
  <si>
    <t>TAREK YOUNIS/ Lammy</t>
  </si>
  <si>
    <t>Mon 10:00PM</t>
  </si>
  <si>
    <t>mariaeamaro700@gmail.com</t>
  </si>
  <si>
    <t>lammy no. 7732170877 office 847-302-9668/ tarek no 312-998-9275</t>
  </si>
  <si>
    <t>medicare all states, Spoke to patner, David, interested, wants email with all info 9/19
BE BACK NEXT WEEK 2/26</t>
  </si>
  <si>
    <t>lammy@genematrix.io , tarek@genematrix.io</t>
  </si>
  <si>
    <t>LYMPHMED LLC</t>
  </si>
  <si>
    <t xml:space="preserve">She can do immune, PGx and UTI and accepts medicare and private insurance PTs </t>
  </si>
  <si>
    <t>Moshe Blinder / noah (operation manager)</t>
  </si>
  <si>
    <t>Ben Arthur, send him our process in braces + prices for PCP + the lcodes that we are using ( already written in the pdf that contains the pricing )
L 0647 L 1812 L1820 this is the L codes that he is using , he is interested in braces not CGM , and he is even more interested in the lymphadema wraps
be back next week - ben
- DAVID FORGOT EVERYTHING, consider as new unless he remembered - ben</t>
  </si>
  <si>
    <t>718-387-5504 / 516-347-4271</t>
  </si>
  <si>
    <t>moshe@discountsurgical.com</t>
  </si>
  <si>
    <t>Wed 8:00 PM</t>
  </si>
  <si>
    <t>IL based, lammy called one of the desicion maker, saide the do ngs and pgx and has the machine, bill medicare and accept pt allstates, meeting on friday 11pm cst</t>
  </si>
  <si>
    <t>Ny based, medicare licensec, ship allstaes supply lymphadema wraps</t>
  </si>
  <si>
    <t>next meeting Monday 11:00 am EST (add mike to the meeting) , I spoke to tarek younis , he said that he already have a contract with hospitals and clinics for pgx doing 4000 Sample, and he can accept around 25 patients immuno and another 25-50 patient Cancer , he is interested but what i am afraid of since he already got this volume it wouldn't make sense for him to pay alot of many for extra samples,, MEETING NEXT UESDAY, WILL SEND THE MARKETING PLAN+ CONTRACT</t>
  </si>
  <si>
    <t>he wants to get on a google meet to discuss everything friday afternoon, waiting for his text to confirm the exact time Doc 01/13/2026/ now only interested with lymphadema wrap but if we had surplus paitents for lymphedema wrapsd we can contact him 2/5</t>
  </si>
  <si>
    <t>Vacation DNC Camapign</t>
  </si>
  <si>
    <t>Intellegent Healthcare llc</t>
  </si>
  <si>
    <t>Adrian</t>
  </si>
  <si>
    <t>305-560-3285</t>
  </si>
  <si>
    <t>US BASED , TARGET THE US AND CANADA CUSTOMER , PROVIDE DDV AND TRAININD WANTS TO START WITH 3 AGENTS</t>
  </si>
  <si>
    <t>we spoke over the phone and he sent me the details on whatsapp</t>
  </si>
  <si>
    <t>GUARDIAN ANGEL DME</t>
  </si>
  <si>
    <t>MD FAYSAL AHMED</t>
  </si>
  <si>
    <t>213-263-1687</t>
  </si>
  <si>
    <t>pbreliefmedicalsupply@gmail.com</t>
  </si>
  <si>
    <t>MTS DIRECT INC</t>
  </si>
  <si>
    <t>VICTORIA GATLIN</t>
  </si>
  <si>
    <t>708-252-1958</t>
  </si>
  <si>
    <t>v.gatling@yahoo.com</t>
  </si>
  <si>
    <t>Wed 10:00 PM</t>
  </si>
  <si>
    <t>NOT READY</t>
  </si>
  <si>
    <t>IL based, supply ort and cgm, bill medicare part b, shipsnationwide, she can handle many pts .meeting tomw 10 pm</t>
  </si>
  <si>
    <t>A1 Medical Equipment Inc.</t>
  </si>
  <si>
    <t>Dallas Powers</t>
  </si>
  <si>
    <t>Send her sample for both ort + CGM ( recordings ) + contract + pricing for both ort and CGM , she is interested and she wants to review these documents today and talk tomorrow at 10:00 am her time</t>
  </si>
  <si>
    <t>616-835-3304</t>
  </si>
  <si>
    <t>PINK REGALIA, LLC</t>
  </si>
  <si>
    <t>DallasRpowers@yahoo.com</t>
  </si>
  <si>
    <t>Miss Stephany Sage Semones</t>
  </si>
  <si>
    <t>Fri 9.00:PM</t>
  </si>
  <si>
    <t>828-506-9591</t>
  </si>
  <si>
    <t>- Medicare licensed, CGM mainly but also does bracing, all states, PCP mainly but said if you say that I can also do telemed as I can do that as well</t>
  </si>
  <si>
    <t>stephany@pinkregalia.com</t>
  </si>
  <si>
    <t>Interested, CGM CPL
11:00 am, Comparison between Pay per hour (lead generation) ( client would be doing the chasing ) and normal of 9-11 patients per month
full VM -ben
hungup, sent email , ben</t>
  </si>
  <si>
    <t>NC based , medicare licensed , ship all states , supply lymphadema wraps., meeting 10pm our time 3pm her time, not</t>
  </si>
  <si>
    <t>not ready now</t>
  </si>
  <si>
    <t>SA MEDICAL SUPPLY</t>
  </si>
  <si>
    <t>SAUD ANWER</t>
  </si>
  <si>
    <t>CA Based ,supply ORT, CGM ,Mediacre liscenced  ,ships nationwide ,interested to know more said to give him a call at 6.30 pm our time mon 8/13</t>
  </si>
  <si>
    <t>763-600-2858</t>
  </si>
  <si>
    <t>saud.mittens@gmail.com</t>
  </si>
  <si>
    <t>THU 8:30 PM</t>
  </si>
  <si>
    <t>DYNAMEDICS MEDICAL SOLUTIONS, INC</t>
  </si>
  <si>
    <t>MN Based, Medicare liscenced, nationwide , will ask his team about the lymphedema supplier will join with his team to the meeting thu 6/3
- Still discusiing it with his team and will get back to us -selene 6/16</t>
  </si>
  <si>
    <t>SAM OBINNA SONNY ECHENDU</t>
  </si>
  <si>
    <t>send the presentation + ask him about the capacity (how many patients he wants to receive 0 + states that he can cover + products that he wants to work with , so we can send him a marketing plan and a quotation and the contract and ask him in the email what would be a good time to talk again</t>
  </si>
  <si>
    <t>919-995-0554</t>
  </si>
  <si>
    <t>dmedsolutions@gmail.com / dynamedicshcs@gmail.com</t>
  </si>
  <si>
    <t>Tue 8:30PM</t>
  </si>
  <si>
    <t>NC Based, medicare liscenced ships nationwide , supply ort ,lymph meeting tuesday 1.30 est 8.30 our time 12/1 - Meeting changed to next mon 9 pm because he said he needs to fix problems at work 12/2</t>
  </si>
  <si>
    <t>12/10/2025 9 pm our time
he didn't receive the email and i got a different email from him he will review and we will touc base on wednesday same time
seems to be NI - ben
didn't have time to read the email due to internet problems
vm full, ben
full vm</t>
  </si>
  <si>
    <t>didn't have time to read the email due to internet problems</t>
  </si>
  <si>
    <t>ALPHA MEDICAL SUPPLIES PLUS CORP</t>
  </si>
  <si>
    <t>SIAMAK MALEKI-SHAHROKHI</t>
  </si>
  <si>
    <t>714-516-2222</t>
  </si>
  <si>
    <t>ORTHO PLUS LLC</t>
  </si>
  <si>
    <t>alphausa@alphamedical.com</t>
  </si>
  <si>
    <t>NETANEL SHIMONOV</t>
  </si>
  <si>
    <t>347-707-8439</t>
  </si>
  <si>
    <t>nathansvoice7@gmail.com</t>
  </si>
  <si>
    <t>-CA Based , Medicare liscenced , nationwide meeting fri 9.30 our time -selene 1/26
- He reviwed our Documents said he is not ready to work with medicare Cb in 3 Months 1/30 nii in dme desk</t>
  </si>
  <si>
    <t>Wed 9:00 PM</t>
  </si>
  <si>
    <t>NY Based , supply ORT CGM , Medicare Liscenced , supply locally but said will dropship nationwide if its worth it said give him a call tmrw our time 9 pm 6/16</t>
  </si>
  <si>
    <t>PRIME DIAGNOSTICS LAB INC.</t>
  </si>
  <si>
    <t>SYEDA HINA SHAKIL (CEO)</t>
  </si>
  <si>
    <t>it would be for another company that can do medicare , he has one called arial and sons , we talked for an hour, he is interested but he is facing an audit from medicare and his license might get revoked , send him the contract + presentation + marketing plan for orthopedic braces and marketing plan for CGM devices + some calculations that we did together over the meeting SEND GEORGE INFO CONTACT PHONE NUMBER / he is going to the accreditation process must be done in a month in order not medicare revoke them, he will only know 2-3 week , call back 07/10/2026, he wants to give him a call next week 07/07/2026 he needs to see if he would pass medicare inspection
- Said that he was expecting a call from us regarding something profetable / no  cgm no ort  wants wound careor lymphedema8/3</t>
  </si>
  <si>
    <t>/</t>
  </si>
  <si>
    <t>(425) 444-6076</t>
  </si>
  <si>
    <t>primelabdiagnostics2019@gmail.com</t>
  </si>
  <si>
    <t>Fri 11:00 PM</t>
  </si>
  <si>
    <t>CGM</t>
  </si>
  <si>
    <t>MASS MEDICAL SUPPLY LLC</t>
  </si>
  <si>
    <t>Michael Massey</t>
  </si>
  <si>
    <t>Based in MI. They do UTI testing only and they ship in Michigan. They can bill Medicare and other Michigan-based private insurances.</t>
  </si>
  <si>
    <t>469-532-0530/6789383008</t>
  </si>
  <si>
    <t>massmedicalsupply@gmail.com</t>
  </si>
  <si>
    <t>Fri 6:30PM</t>
  </si>
  <si>
    <t>JILANI MEDICAL</t>
  </si>
  <si>
    <t>-TX BASED Medicare liscenced , ships all states , PCP, CGM ORT he is very interested meeting thursday 10.30 cst 6.30 pm -selene 4/29 - he had an emergency he wants a cb at 10.30 am and 6.30 our time -selene 5/1
- meetingchanged to mon 11.30 am and 7.30 our time and i confirmed with him that he is free and he said he is 5/2
- wants ppo cgm but has medicare said cb on monday 6/12
- vm 11/25</t>
  </si>
  <si>
    <t>Usman Jilani</t>
  </si>
  <si>
    <t>773-931-7286</t>
  </si>
  <si>
    <t>We discussed Pricing and orders schedule and payment terms. He needs an email with prices and fee schedule. Will talk again on Wednesday and if he is ready we will do a trial. DOC 5/9/2025 said he wants to work with us but he has his money stuck with Medicare and will get back to me when he is ready with the funds
-He is going through things will call us back when hes ready men letting me down cb in nov -selene 8/28 -man has audits said cb jan 12/10
- Said to Cb in Middle of march -selene 2/5</t>
  </si>
  <si>
    <t>ADVANTAGE DIAGNOSTICS CLINICAL LABORATORY LLC</t>
  </si>
  <si>
    <t>info@jilanimedical.com</t>
  </si>
  <si>
    <t>POLINA GENKIN</t>
  </si>
  <si>
    <t>Wed 12:00 PM</t>
  </si>
  <si>
    <t>347-462-4949</t>
  </si>
  <si>
    <t>- IL Based, wants to really work with PPO BlueCross Blueshield and humana for CGM he wanted this for a really long time was interested to talk about it wants email and meeting wed 12 am -selene 6/9, products</t>
  </si>
  <si>
    <t xml:space="preserve">humana ppo, BCBS HMO and PPO , he wants to start with BCBS in illinois with a set budget for ORT and CGM, he will do a trial of a certain amount for the optin data for both campaigns so he wants us to send him an invoice and a contract  called jilani siad to resend the the invoice and he wants bcbs and humana 7/29 </t>
  </si>
  <si>
    <t>polina.g@advantagediagnosticlaboratory.com,</t>
  </si>
  <si>
    <t>VELORA DME SOLUTIONS LLC</t>
  </si>
  <si>
    <t>AZAR TALIBOV</t>
  </si>
  <si>
    <t>856-347-7880</t>
  </si>
  <si>
    <t>GREEN MEDICAL SUPPLY LLC</t>
  </si>
  <si>
    <t xml:space="preserve">johnalpha601@gmail.com </t>
  </si>
  <si>
    <t>she is nj based, serve alll states, bill medicare, she supply immuno deficiency , PCR,UTI polina.g@advantagediagnosticlaboratory.com, MEETING TOMW 10 AM,HER TIME 5 PM OUR TIME,</t>
  </si>
  <si>
    <t>Hamid Hamid</t>
  </si>
  <si>
    <t>313-844-0948</t>
  </si>
  <si>
    <t>interest in the uti only, she will call me tomorrow
sent her an email follow up on thursday 10/16</t>
  </si>
  <si>
    <t>- vm-selene 2/20
- medicare liscence ship JUR B DME and CGM PCP 15 to 20 pts they have a some resourses for referral but willing to know more meeting thurs 6 1 pm est 8 pm our time greenmedicalsupplyllc@gmail.com -selene 3/3
- man is broke waiting on deposit lol cb first of may 4/15
- called again and he said he wants to work with us and i will cb on mid may but he said he will reach out to bassam earlier -selene 4/29 - Interested still cb end of may medicare revoked his liscence -selene 5/15
- still insterested will keep praying medicare return his liscence cb end of june 6/4
- NI for now his partners are sick and travelling and he cant do a decesion now 8/21
- vm 11/25 - Going through Audit CB in 2 Months - 2/5</t>
  </si>
  <si>
    <t>Interested in CGM CPL Live transfer, Will talk again on Monday. Very good prospect, lebnon. Willing to start, will talk to his partner and get back to us with the greenlight. DOC 4/14/2025 NO answer 3 times , call back later</t>
  </si>
  <si>
    <t>GSB DIAGNOSTICS LLC</t>
  </si>
  <si>
    <t>Steven Likos</t>
  </si>
  <si>
    <t xml:space="preserve">610-909-7757 </t>
  </si>
  <si>
    <t>slikos@gsbdiagnostics.com</t>
  </si>
  <si>
    <t>Mon 9:00 PM</t>
  </si>
  <si>
    <t>Fl based, they  do ngs, pgx, uti, sti, gi, cgx, respiratory panel and  wound care , can bill medicare, accept allstates  except ca, ny , pa, nevada , he was interested into do all test with small starter, spoke about our up front payment , for flat fee example of our starter package for the uti only  he said it was reinbersment in fl is lower than usual last couple of months, i told him there is pts from other states and will get higher reinbersments usually , he was interested to have google meet video meeting  and speak face to face.</t>
  </si>
  <si>
    <t>george did explained and reassured him again after our last call, he is interested and wantto do busniess with us will  inform his partners and will get back to us in 2 weeks maxi, an will get back to us and said we would might try you out, his partner just cam on saturday, and said will get an update by end of the week.</t>
  </si>
  <si>
    <t>NJ Based ,supply ORT, CGM ,Mediacre liscenced  ,shipslocally but will consider  nationwide ,interested to know more said to give him a call at 8.00 pm our time tues 8/13</t>
  </si>
  <si>
    <t>PRISM HEALTH &amp; MEDICAL EQUIPMENT LLC</t>
  </si>
  <si>
    <t>ALI JUNAID</t>
  </si>
  <si>
    <t>888-386-1101</t>
  </si>
  <si>
    <t>PRISMHEALTH100@GMAIL.COM</t>
  </si>
  <si>
    <t>Thu 11:00 PM</t>
  </si>
  <si>
    <t>RI Based, , Medicare liscenced , ships all states supplies lymph wraps. cgm ,ort interested to know more meeting 4 pm his time 11 pm our time 11/19
- He called me he is in a vacation will return on 21st he said he wants ort prices and will discus with his team and will cb us after 21st -selene 12/2</t>
  </si>
  <si>
    <t>interested to see the prices for the braces and the CGM but not to work per hour
"Left him a voice mail 12/01/2025
-said he will reach out to george -selene 1/27"
- CB early march 2/5
- said he will give us a cb , cb early april -selene 3/3 , he want to pay me a percentage of the reimbursements 03/18/2026</t>
  </si>
  <si>
    <t>DIAGNOSTIC TESTING SOLUTIONS INC</t>
  </si>
  <si>
    <t>DIRECT DIAGNOSTIC LABORATORY LLC</t>
  </si>
  <si>
    <t>NADEEM AKHTAR</t>
  </si>
  <si>
    <t>RICHARD ELLIOTT</t>
  </si>
  <si>
    <t>(773) 853-0883</t>
  </si>
  <si>
    <t>404-435-9685</t>
  </si>
  <si>
    <t>dnask1@gmail.com</t>
  </si>
  <si>
    <t>Precision Ortho Supply Llc</t>
  </si>
  <si>
    <t>richard@rasmedicalsolution.com</t>
  </si>
  <si>
    <t>Mohammed Khan</t>
  </si>
  <si>
    <t>TUE 9:30 PM</t>
  </si>
  <si>
    <t>484-756-0563</t>
  </si>
  <si>
    <t>Tue 9:30 PM</t>
  </si>
  <si>
    <t>Based in IL. They do UTI testing and they accept Medicare patients. They also have nationwide shipping 8/17
He had an emergency will cb tomorrow to reschedule 8/18</t>
  </si>
  <si>
    <t>admin@qsmedcare.com</t>
  </si>
  <si>
    <t xml:space="preserve"> Tx based do uti, pgx, molecular test and other genetic testing  , bill medicare, accept pt all states,meeting tomw </t>
  </si>
  <si>
    <t>MON 7:00 pM 16/02</t>
  </si>
  <si>
    <t>He can do the billing through a billing team, he can ship nationwide</t>
  </si>
  <si>
    <t>he has two labs GA and TX,HE CAN DO IMMUNE WITH PARTNERING  OTHER LABS, CAN PROVIDE UTI, PGX AND STI IN HOUSE, MEDICARE PTS, BUT AFRAID OF TELE MEDICINE HE THINKS IT RISCKY,PREFER PCP , BUT WILL SEND HIM OUR SAMPLE OF PGX TELE MEDICINE IF COMPLIANT WITH H IM WILL DO BOTH MODULE, AND WILL SEND ROUGH MARKETING PLAN FOR ALL THREE TEST,  the just saw it and will review it will reply to us back, still didnt review it yet, he still insisting on having a refrence labs who worked with us with telehealth module, so he can work with us</t>
  </si>
  <si>
    <t>he is not enrolled for medicare part a and part b , he doesn't have a ptan number , but he need to ask another company whether they have or not , call back after 1 week , please send him the price of the braces , cgm and the avg reimbursments + contract</t>
  </si>
  <si>
    <t>KARMA7 MEDICAL SUPPLY LLC</t>
  </si>
  <si>
    <t>Roman Krive</t>
  </si>
  <si>
    <t>847-454-7085 ext 101</t>
  </si>
  <si>
    <t>office@k7supply.com</t>
  </si>
  <si>
    <t>ELITE LABS AND MORE</t>
  </si>
  <si>
    <t>IL BASED, MEDICARE LICSEND, SHIP TO ILL WI, IN BUT WILLING TO DO,asked about the link for shipping meeting 5:30 pm our time</t>
  </si>
  <si>
    <t>WOUND BOX LLC</t>
  </si>
  <si>
    <t>TECILLA R HICKS</t>
  </si>
  <si>
    <t>800-501-5716</t>
  </si>
  <si>
    <t>JASON/ ADAM JOHN MEIERHOFER</t>
  </si>
  <si>
    <t>interest in the uti only, she will call me tomorrow
sent her an email follow up on thursday 10/16, she said our prices was too high put wan toknow the uti pts prices</t>
  </si>
  <si>
    <t>info@ELITElabsorg.com</t>
  </si>
  <si>
    <t>BIOLIFE DIAGNOSTICS INC</t>
  </si>
  <si>
    <t>855-968-6326</t>
  </si>
  <si>
    <t>Fri 8:30 PM</t>
  </si>
  <si>
    <t>HUSSEIN HICHAM ABUJAJEH</t>
  </si>
  <si>
    <t>jason@woundbox.com</t>
  </si>
  <si>
    <t>Fl based, can do NGs and UTI</t>
  </si>
  <si>
    <t>314-750-5504</t>
  </si>
  <si>
    <t>info@biolifemanagement.com</t>
  </si>
  <si>
    <t>1/30/2025
she doesn't have money to start with us but she will see if she can get some money either from a loan or somebody to startshe doesn't have money to start with us but she will see if she can get some money either from a loan or somebody to start
she doesn't have money to start with us but she will see if she can get some money either from a loan or somebody to start</t>
  </si>
  <si>
    <t>Fri 9:00 PM</t>
  </si>
  <si>
    <t>Mi based, do ngs test and have the machine, medicare liscensed and accept pt from allstates, meeting tomw 5 pm</t>
  </si>
  <si>
    <t>mike spoke with him , he explained all the process and he wanted to review the email again and meeting on monday for follow up same time 4/9, he will send email to reschedule for follow up meeeting now he is busy with pts and have bad network, he called yesturday and reschedule today meeting , he wanted to know the prices after reviewed the email. i called him if he is currently doing the uti testing, he said yes asked to send email  and booked meeting on friday 9 pm our time, he wants 50per week, but we told him we can do 25 per week,aka 100 month , will calculate it for him and get him a price and send it  with contract. and schedeule a meeting on tuesday on thursday 9 pm  our time, he spoke with mike and said the uti  dont make sense with him , so will chek if he can do immune and pgx, we sent him the sample of immune and pgx prescription.</t>
  </si>
  <si>
    <t>CLINICARE LAB LTD</t>
  </si>
  <si>
    <t>AMER</t>
  </si>
  <si>
    <t>(708) 879-9519</t>
  </si>
  <si>
    <t>Amerk@clinicarelab.com</t>
  </si>
  <si>
    <t>Immune + UTI based in IL, accept from all states</t>
  </si>
  <si>
    <t>he was interested but he wanted the CPT Codes to know the reimbursmnets and if he can do it through another lab</t>
  </si>
  <si>
    <t>CORE COMFORT MEDICAL SUPPLIES</t>
  </si>
  <si>
    <t>BIO SYSTEMS LABORATORY, LLC</t>
  </si>
  <si>
    <t>WASEEM KHAN</t>
  </si>
  <si>
    <t>DAMIEN FRALIN</t>
  </si>
  <si>
    <t>434-250-1675</t>
  </si>
  <si>
    <t>972-951-6530</t>
  </si>
  <si>
    <t>waseem93@gmail.com</t>
  </si>
  <si>
    <t>Tue 8:30 PM</t>
  </si>
  <si>
    <t>gorilla2018@yahoo.com</t>
  </si>
  <si>
    <t>FL Based, PPO , ORT .CGM said they can dropship nationwide , never done marketing but interested to learn more about it said wants meeting with his team on tueday 8.30 ourt time -selene 7/2</t>
  </si>
  <si>
    <t>TX Based, Mediacare Liscenced , Accept All States patients does immuno genetic testing does the tests with telemed has a concern if the bill is not extended meeting tmrw 9 pm 1 pm cst -selene 11/20</t>
  </si>
  <si>
    <t>Meeting attended by mike send marketing plans, ORT CGM samples, Contract , they will review it and will reach out to us and i can follow up with them on mon 7/8 left a vm 7/16
- spoke to wassem said he really liked the marketing plan but he wants to figure things out on his side and will recah out to us said he will get back to us this week and agreed for me to reach out on him at mon 7/28 - meeting finalizing thursday at 8.30 our time he works with most ppo insurances humana, bcbs, united, wants to start with one agent and start with cgm asked about if we rae w2 i said we are w8 and its upfront payment 8/3 
He said that he is interested in working with us and he wants to start in september 8/17</t>
  </si>
  <si>
    <t>He is well aware about process doesnt want to pay upfront wants to pay little or when the kits arrive at his doorstep</t>
  </si>
  <si>
    <t>SEASIDE DME OF NY, INC</t>
  </si>
  <si>
    <t>Tx based, said he can supply ort,cgm, and i told him our  volume of cgm is more, can ship any place, meeting 8/17</t>
  </si>
  <si>
    <t>Larry Chen</t>
  </si>
  <si>
    <t>917-853-1166</t>
  </si>
  <si>
    <t>larrychenbdt@gmail.com</t>
  </si>
  <si>
    <t>NY Based, medicare, larry works with owner "JINGLING TANG" is a decision maker,
No manpower at this moment, not ready at the moment 2/24</t>
  </si>
  <si>
    <t>he will check with the consultant in a day or two and call me back</t>
  </si>
  <si>
    <t>EIV DIAGNOSTICS LLC</t>
  </si>
  <si>
    <t>MUHAMMAD IRFAN KHAN</t>
  </si>
  <si>
    <t>(559) 704-8024</t>
  </si>
  <si>
    <t>BINSON'S FLORIDA, LLC</t>
  </si>
  <si>
    <t>irfan@eivdiagnostics.com</t>
  </si>
  <si>
    <t>CHARITY COMFORT CARE SERVICES. LLC</t>
  </si>
  <si>
    <t>MNM LABORATORY CONSULTING, LLC</t>
  </si>
  <si>
    <t>JAMES E BINSON</t>
  </si>
  <si>
    <t>Wed 11:00 PM</t>
  </si>
  <si>
    <t>JOSEPH JOHNSON</t>
  </si>
  <si>
    <t>586-933-7598/ matt 5867552300 ext4464/ mattp@binsons.com/ sherry ext 4616</t>
  </si>
  <si>
    <t>MASHUD OGUNLAJA</t>
  </si>
  <si>
    <t>214-699-9607</t>
  </si>
  <si>
    <t>CA based , accepts nationwide medicare patients provides immune genetic testing said to call him today 11 our time -selene 1/8</t>
  </si>
  <si>
    <t>jimmyb@binsons.com</t>
  </si>
  <si>
    <t>dme@charitycomfortcare.com</t>
  </si>
  <si>
    <t>424-999-8698</t>
  </si>
  <si>
    <t>Tue 6:30PM</t>
  </si>
  <si>
    <t>Fri 6:30 PM</t>
  </si>
  <si>
    <t>info@mnmlabCONSULTING.com</t>
  </si>
  <si>
    <t>Fl based, medicare licsensend supply ort and lymhadema wraps, ship all states, send email, meeting tomw 6:30 our time</t>
  </si>
  <si>
    <t>wednesday 11:00 pm
he wants to do some duediligence to check if everything checks out, he is kinda skyptical and not very sure that if he did this he will get paid from medicare but we can do a follow up meeting on the 27th 11:00 pm , Doc 01/21/2025
working on stuff for the testing, talking to vendors, working on the panel, once he's ready he'll give us a call.spoke to him said he wants to get the z code approval for billing and it takes time 4/9 said cb 15th of june 6/2
- told him about the uti and pgx said hes interested and meeting tmrw 7/20
- Meeting follow up with george irfan said that california reimbursment is low and require z code so sends samples out of state in medicare ,he prefers cash pay, but we agreed on targeted insurance etna bcbs for CA he said our prices are high but george is willing to negionate follow up august 10 7/21 Mike spoke to him and said he has z code issues turns out its not an isuue but we have to convince him we sent him everything and i will call him to ask if he reviewed the codes and ask him which test doesnt need the z codes 8/12</t>
  </si>
  <si>
    <t>FRI 8:00 PM</t>
  </si>
  <si>
    <t>Tx based supply lymph wraps, from wahrhouse , shill allstatesx medicare licensed meeting fri 6:30 pm outrtime, he will be back in</t>
  </si>
  <si>
    <t>ben can you send the price list ( 2 modules + sigvaris catlogue ) they will respond back to the email with their convenient time
meeting on friday12/5/2025 / voice mail 01/08/2025
VM -ben</t>
  </si>
  <si>
    <t>NGS, UTI, PGx can accept medicare PT</t>
  </si>
  <si>
    <t>He doesn't have the marketing budget rightnow so he won't be able to work with us / he asked to be contacted in february
patients that needs any home health , care giver services , certified nurse or assistant in dalls and fortort area , i called him he said it better to call again april first cause the dme world it changing not ready now aftwer every thing is set with medicare and cms 2/10/2026</t>
  </si>
  <si>
    <t>FIT TO GO LLC</t>
  </si>
  <si>
    <t>JOSH WHITE</t>
  </si>
  <si>
    <t>401-217-9732</t>
  </si>
  <si>
    <t>josh.white@orthofeet.com</t>
  </si>
  <si>
    <t>LABPHARMA, LLC</t>
  </si>
  <si>
    <t>Wed 6:30 PM</t>
  </si>
  <si>
    <t>GENEWELL LABS LLC</t>
  </si>
  <si>
    <t>OLIVER MIGUEL</t>
  </si>
  <si>
    <t>NJ Based, Mediacre liscenced , ships nationwide supplies ORT meeting tmrw 6.30 our time 1/12
follow up in april 1/15</t>
  </si>
  <si>
    <t>844-522-2031/ (786) 426-3205</t>
  </si>
  <si>
    <t>TARIQ HAFEEZ</t>
  </si>
  <si>
    <t>he so interested in CGM , he wants to do this couple of months
-vmx2 4/2 keeps hanging up 4/22</t>
  </si>
  <si>
    <t>WELLVORA LLC</t>
  </si>
  <si>
    <t>omiguel@labpharmacorp.com</t>
  </si>
  <si>
    <t>404-617-8550</t>
  </si>
  <si>
    <t xml:space="preserve">FAIZAN KHAN	</t>
  </si>
  <si>
    <t>TARIQ@GENEWELLLABS.COM</t>
  </si>
  <si>
    <t>949-304-0361</t>
  </si>
  <si>
    <t>FL Based , Mediacre liscenced accepts patients nationwide does immune defiency genetic testing meeting tuesday 9.30pm 2.30 est 11/26</t>
  </si>
  <si>
    <t>Tues 7:00PM</t>
  </si>
  <si>
    <t>frksrkhan2@gmail.com</t>
  </si>
  <si>
    <t>he doesn't do any Genetic testing ( he doesn't have the equipment for it ) but he might be able to do UTI / blood tests / covid and influenza
Meeting next friday same time 9:30 our time
- vm 7/20</t>
  </si>
  <si>
    <t>Accept Medicare Nationwide , TX Based , Do GENETIC Testing PGX CGX MEETING SAT 5 PM OUR TIME 10/13 Meeting will be changed to Tuesday 11 cst 7 pm our time</t>
  </si>
  <si>
    <t xml:space="preserve">Another meeting on Wed 4 pm CST send contract
Interested in UTI, STI ,PGX and Immundefiency test / covid ( influenza A ,b ) RSV , meeting tuesday 11:00 am, SAID WILL START ON FEB, forward to an automatic voice system , forwarded to Automatic voice message 02/25/2026
- Spoke to Mr Hafeez he said that he is busy with projects related to the world cup he said that when he is ready he will give us acall he couldnt give us a time to give him a cb selene 2/25 , voice mail meeting july 30th 11 am cst 7/20/ marketing plan He does immune ,pgx,uti get gets 35 to 40 samples week uti and 10 samples per week pgx we decided to stick to UTI calculated reimbursemts and i told him to discuss it with his biller and to read contract with lawyer he had a bit concerns on price and wether we will be commited or not siad he is applying CA and NY liscence to work therer sent prices contarct and samples  follow up next wed 1.30 his time 7/30 He said he reviewed the contarct and the prices and discussed it with his biller briefly he said that he will discuss it in detail with his lawyer and we will have next meeting thursday 8/5 </t>
  </si>
  <si>
    <t>Peachtree Medical Supply Llc</t>
  </si>
  <si>
    <t>Azuka Iloh</t>
  </si>
  <si>
    <t>908-447-2665</t>
  </si>
  <si>
    <t>azuka@peachtreemedicalsupply.com</t>
  </si>
  <si>
    <t>Fri 8:00 PM</t>
  </si>
  <si>
    <t>CGM &amp; DME GA Based , Discussed our process, payment cycle, patient trials,
She does JUR C but told her about not needing license for others
Out of the country 8/18
Still waiting for medicare, cb in may 1 2/24</t>
  </si>
  <si>
    <t>Call back on friday 10:00 am (07/21/2025)
Going through a medicare review, wants some time
Meeting Friday 12/12/2025 10:00 ( his time)
Still waiting on report, ben 5/7</t>
  </si>
  <si>
    <t>VITALCARE ESSENTIAL SUPPLIES CORP</t>
  </si>
  <si>
    <t>SYED SHAH</t>
  </si>
  <si>
    <t>646-567-8371</t>
  </si>
  <si>
    <t>George</t>
  </si>
  <si>
    <t>CA Based ,supply ORT, CGM ,Mediacre liscenced ,  nationwide ,interested to know more said to give him a call at 4.00 pm our time FRIDAY  8/13</t>
  </si>
  <si>
    <t>vitalcaresuppliescorp@gmail.com</t>
  </si>
  <si>
    <t>Tue 6:00 PM</t>
  </si>
  <si>
    <t>TRI-STATE MEDICAL SUPPLIES, LLC</t>
  </si>
  <si>
    <t>NY Based ,supply ORT, CGM ,Mediacre liscenced ,supply locally said he does marketing himself but interested to know more said to give him a call at 11 am his time on Tuesday 7/31</t>
  </si>
  <si>
    <t>justin smith</t>
  </si>
  <si>
    <t>his number 8643986085 office no 864-579-2899/</t>
  </si>
  <si>
    <t xml:space="preserve">Interested wants to focus on ORT he is interested to expand nationwide and will look into it .Send him prices ,contract,suppliers,and codes he said he will check the reimbursment and everything and we will speak again with mike and dan next week </t>
  </si>
  <si>
    <t>justin@tri-statemedical.net</t>
  </si>
  <si>
    <t>Tue 5:30PM</t>
  </si>
  <si>
    <t>-SC based supply cgm, all states,medicare lisenced, asked to send email meeting to mw 5:30 pm,</t>
  </si>
  <si>
    <t>we need to send him the website for the states that he can work with, some prouct knoweldge about lymphadema wraps and theircodes and the Excel sheet that give the reimbursement for each product
he has a law suit right now ( can't do business till couple of months )</t>
  </si>
  <si>
    <t>NUA AESTHETICS LLC</t>
  </si>
  <si>
    <t>Hold</t>
  </si>
  <si>
    <t>GRAJAG LLC</t>
  </si>
  <si>
    <t>NAYMA LABARCA</t>
  </si>
  <si>
    <t>RAJA GUL</t>
  </si>
  <si>
    <t>SCRIPT FIT LLC</t>
  </si>
  <si>
    <t>713-382-7695</t>
  </si>
  <si>
    <t>(407) 515-7755</t>
  </si>
  <si>
    <t>SHANE RAGLAND</t>
  </si>
  <si>
    <t>grajagllc84@gmail.com</t>
  </si>
  <si>
    <t>nayma@nuaesthetics.com</t>
  </si>
  <si>
    <t>317-900-4030</t>
  </si>
  <si>
    <t>Wed 8:30 PM</t>
  </si>
  <si>
    <t>THU 9:00 PM</t>
  </si>
  <si>
    <t>scriptfitindy@gmail.com</t>
  </si>
  <si>
    <t>TX Based ,supply ORT, CGM ,Mediacre liscenced and PPO ,ships nationwide ,interested to know more said to give him a call at 8.30 pm our time 8/11</t>
  </si>
  <si>
    <t>Fri 8:30PM</t>
  </si>
  <si>
    <t>Based in FL. They supply ORT and they have Medicare and Oscar. Local shipping in FL for now 8/19</t>
  </si>
  <si>
    <t>Sent him marketing plan and contract and CGM ORT samples said he will review it and we will touch base tommrow (ask him again about marketing ,direct him to CGM ,ask him when he would like to start and states)
- He said he will start with CGM starter pack we iwll sedn him the contarct and i will call tmrw to have an onboarding meeting with mike and if its ok we will send the invoice after the meeting 
- Onboarding meeting set on Tuesday 7 pm our time 8/14</t>
  </si>
  <si>
    <t>Meeting with Akilah COO, Spoke to Both Owner and COO, Medicare, all items, sent email, number here is company phone for shane :317-316-9951
Called akilah they have a board meeting on march 4th wants a refresh email with contracts. 2/25
want to start on the 3rd quarter of the year 3/12</t>
  </si>
  <si>
    <t>they are not ready to do any business till march She will call me back after reviewing the documents with the owner 3:00 pm ( 01/08/2025) / sample prescription + contract for CGM (usual price) + follow up after christmas 01/06/2025 + good states they work
wait for ben to reschedule
want to start on the 3rd quarter of the year 3/12</t>
  </si>
  <si>
    <t>Solar</t>
  </si>
  <si>
    <t>Cabretta Llc</t>
  </si>
  <si>
    <t>VITALFORT LLC</t>
  </si>
  <si>
    <t>MUHAMMAD KHAN</t>
  </si>
  <si>
    <t>Florida Eco Electric LLC</t>
  </si>
  <si>
    <t>917-525-2517</t>
  </si>
  <si>
    <t>Kedir R Felix</t>
  </si>
  <si>
    <t>mr.mianzohaib@gmail.com</t>
  </si>
  <si>
    <t>SARAH WAGGONER</t>
  </si>
  <si>
    <t>Wed 6:00:PM</t>
  </si>
  <si>
    <t>FL BASED , WANT TO KNOW MORE ABOUT PRICES 5/21</t>
  </si>
  <si>
    <t>UNITED DOCTORS LAB INC</t>
  </si>
  <si>
    <t>RE</t>
  </si>
  <si>
    <t>Tony (Manager)</t>
  </si>
  <si>
    <t>872-226-0303</t>
  </si>
  <si>
    <t>Contact@chicagopath.com</t>
  </si>
  <si>
    <t>Now I Can Buy</t>
  </si>
  <si>
    <t>Mr. Dwight Williams</t>
  </si>
  <si>
    <t xml:space="preserve">Ga based, supply ort , cgm, bill medicare . ship all states, meeting tomw 11 pm 4 pm est tomw </t>
  </si>
  <si>
    <t>856-699-6595</t>
  </si>
  <si>
    <t>IL Based, accept nationwide medicare patients does PGX,UTI test meeting Thursday 8.00 pm  8/7</t>
  </si>
  <si>
    <t>dw@nowicanown.com</t>
  </si>
  <si>
    <t>(877) 977-0247 the number I called the first time</t>
  </si>
  <si>
    <t>He only works UTI only said he wants to try out our samples explained our entire process and he said that he will review documents and will get back to us cb next week to confirm meeting time  8/13 he said he will review everything folow up next tuesday 2 pm 8/19</t>
  </si>
  <si>
    <t>8:30-7:00 EST dw@nowicanown.com
call back in 10/19/2025 (Doc 09/19/2025)</t>
  </si>
  <si>
    <t>Home Improvement</t>
  </si>
  <si>
    <t>BENDA HEALTH EDUCATION AND TESTING SERVICES LLC</t>
  </si>
  <si>
    <t>BENDU DAWOLO</t>
  </si>
  <si>
    <t>(281) 836-1869</t>
  </si>
  <si>
    <t>American Home Improvement</t>
  </si>
  <si>
    <t>bendacpr@gmail.com</t>
  </si>
  <si>
    <t>Josh Stevens</t>
  </si>
  <si>
    <t>(818) 661-8785</t>
  </si>
  <si>
    <t>info@ahibuilders.com
/josh@ahibuilders.com</t>
  </si>
  <si>
    <t>Wed 9:00PM</t>
  </si>
  <si>
    <t>Spoke to josh he said that their company is looking for a new Lead Gen services and he qulaifies them first with the prices and everything and then they transfer it to their owner he said we could talk at 9 pm 11 am pdt today -selene 9/17</t>
  </si>
  <si>
    <t>kitchen , bathrooms and room bathroom and adu's only
LA &amp; venture county</t>
  </si>
  <si>
    <t>Lavish Home Remodeling</t>
  </si>
  <si>
    <t>Parry</t>
  </si>
  <si>
    <t>(267) 244-5482</t>
  </si>
  <si>
    <t>lavishhomephilly@gmail.com</t>
  </si>
  <si>
    <t>PA based, works in everything, he seemed interested to do marketing, didn't even ask about the prices and was open to have a meeting.</t>
  </si>
  <si>
    <t>roofing flooring plumbing, kitchen,</t>
  </si>
  <si>
    <t>Long's Construction And Remodeling LLC</t>
  </si>
  <si>
    <t>Damon Long</t>
  </si>
  <si>
    <t>(412) 505-3464</t>
  </si>
  <si>
    <t>THU 6:00 PM</t>
  </si>
  <si>
    <t>longsconstruct@gmail.com</t>
  </si>
  <si>
    <t>Thu 5:45PM</t>
  </si>
  <si>
    <t>Based in WI. They do UTI testing. They accept Medicare patients and operate in WI for now 8/19</t>
  </si>
  <si>
    <t>PA based said that he recently started working in OH as well, does pretty much everything remodelling, istallations, repairing and everything, he was polite and wanted to know the prices</t>
  </si>
  <si>
    <t>buttler , alangane pitsburg, young town ashabula , clevaland</t>
  </si>
  <si>
    <t>Fayez/ Frank</t>
  </si>
  <si>
    <t>JILL HAMAKER</t>
  </si>
  <si>
    <t>307-269-2832</t>
  </si>
  <si>
    <t>WELCARE DIAGNOSTICS LLC</t>
  </si>
  <si>
    <t>Fri 6:00PM</t>
  </si>
  <si>
    <t>RINABEN VAGHELA MAKANI</t>
  </si>
  <si>
    <t>(215) 285-8545</t>
  </si>
  <si>
    <t>info@welcaredx.com</t>
  </si>
  <si>
    <t>Pitchers Media</t>
  </si>
  <si>
    <t>Kushi Patel</t>
  </si>
  <si>
    <t>Khushi@pitchersmedia.com</t>
  </si>
  <si>
    <t>Tue 7:30PM</t>
  </si>
  <si>
    <t>ivin did send me the prices but it was too low for us to start working with him</t>
  </si>
  <si>
    <t>FRI 9:00 PM</t>
  </si>
  <si>
    <t>Based in NJ. They have UTI, Immune, and PGx. They accept Medicare and private insurances and they operate in NJ and PA 8/19</t>
  </si>
  <si>
    <t>S&amp;S Construction</t>
  </si>
  <si>
    <t>Abel</t>
  </si>
  <si>
    <t>(267) 339-2655</t>
  </si>
  <si>
    <t>1snsconstruction@gmail.com</t>
  </si>
  <si>
    <t>PA based, they do everything from roofing to plumping to windows to kitchen, I think it's his first time working with marketing before as he seemed impressed about what we do and also wants to know the prices</t>
  </si>
  <si>
    <t>snsconstructor.com the guy wants a quotation for per appointment and how much could we expect per month , Meeting today after 10:00 pm our time ( 09/11/2025)</t>
  </si>
  <si>
    <t>STRATEGIC ACCESS INTERNATIONAL LLC</t>
  </si>
  <si>
    <t>Rhonda Mitchell</t>
  </si>
  <si>
    <t>202-810-1821</t>
  </si>
  <si>
    <t>rhondacmitchell@gmail.com</t>
  </si>
  <si>
    <t>GA based, has lymphedema currently but in the process of getting ORT/CGM , can accept most private insurances and in the process of obtaining the PTAN code for medicare.</t>
  </si>
  <si>
    <t>RoofWatt</t>
  </si>
  <si>
    <t>Robert</t>
  </si>
  <si>
    <t>(732) 575-2007</t>
  </si>
  <si>
    <t>RHALLROOFWATT@gmail.com</t>
  </si>
  <si>
    <t>-NJ Based serves DE too works solar did lead generation but had a bad experience , informed him about all of our services and we do pay per hour and i told him that we its best for him to get a data so ist exlusicve for him and said to give him another call to know more about prices and services meeting 11 pm our time 6/13</t>
  </si>
  <si>
    <t>talk to him tuesday 4:00 his timing</t>
  </si>
  <si>
    <t>NatEco Solar inc</t>
  </si>
  <si>
    <t>Mr. Lee</t>
  </si>
  <si>
    <t>(917) 282-6285</t>
  </si>
  <si>
    <t>VERINA CO MEDICAL SUPPLIES LLC</t>
  </si>
  <si>
    <t>RAMY WAHBA</t>
  </si>
  <si>
    <t>he is NY based work in NJ, and other bunch of states, he wanted to know the prices</t>
  </si>
  <si>
    <t>818-479-1585</t>
  </si>
  <si>
    <t>he could only do it on call, He is not having problem with the price but he doesn't have any money to invest with us ( talk in a month)</t>
  </si>
  <si>
    <t>info@verinacare.com</t>
  </si>
  <si>
    <t>- CA BasedSupplies ORT CGM Medicare via another DME he said he is really interested in getting referrals and wants to talk to us and know more about us meeting next tuesday 10.30 pst 8.30 our time 12/11</t>
  </si>
  <si>
    <t>Rivertown Solar</t>
  </si>
  <si>
    <t>Eric</t>
  </si>
  <si>
    <t>(914) 231-6866</t>
  </si>
  <si>
    <t>eric@rivertownsolar.com</t>
  </si>
  <si>
    <t>Wed 9:30:PM</t>
  </si>
  <si>
    <t>He's based in westchester . new york city NY and works in CT, spoke about the process, sent him an email, his priority is the quality and also wants to know the prices</t>
  </si>
  <si>
    <t>he wants to get a quotation for 1 agent to work Payper hour and another one for 3 and 5
call back wednesday same time 09/19/2025, send him some data for the CPA</t>
  </si>
  <si>
    <t>LIFECARE LAB</t>
  </si>
  <si>
    <t>Selective Solar</t>
  </si>
  <si>
    <t>ALAA KAHALA</t>
  </si>
  <si>
    <t>heshi drew/vigi</t>
  </si>
  <si>
    <t>346-317-2949</t>
  </si>
  <si>
    <t>347 6704369/ vigi 6468750520</t>
  </si>
  <si>
    <t>abd_nyk2003@yahoo.com</t>
  </si>
  <si>
    <t>NY based, serve NJ and NY, expect 2- 3 meeting per day , he said he needs the home owner really intrested, and asked about the prices, he dont do sit appointments , just by calling the home owners</t>
  </si>
  <si>
    <t>Tx based medicare license , do immuno, pgx and uti, accept pt from all states, he said will give us a call with hs director today asked to send email</t>
  </si>
  <si>
    <t>Talk on monday 2:00 pm</t>
  </si>
  <si>
    <t>Solarblocks Energy</t>
  </si>
  <si>
    <t>Mark P.</t>
  </si>
  <si>
    <t>(347) 226-0695</t>
  </si>
  <si>
    <t>Wed 10:30:PM</t>
  </si>
  <si>
    <t>- works in NY only seemed interested in what we do and he liked our services but he is scared about the politics he said he wanted to know our prices -selene 6/4</t>
  </si>
  <si>
    <t>we spoke but he wanted to rengotiate the deal , him and rita</t>
  </si>
  <si>
    <t>US LAB HOLDINGS LLC</t>
  </si>
  <si>
    <t>VINCENT VITATOE</t>
  </si>
  <si>
    <t>816-309-0569</t>
  </si>
  <si>
    <t>VINCENT@MODUSlaboratorIES.COM</t>
  </si>
  <si>
    <t>Prestige Solar Services, LLC</t>
  </si>
  <si>
    <t>Percy</t>
  </si>
  <si>
    <t>8564 252 207</t>
  </si>
  <si>
    <t>THU 7:00 PM 29/03</t>
  </si>
  <si>
    <t>TheTeam@prestigesolarservices.com</t>
  </si>
  <si>
    <t>Mon 7:00:PM</t>
  </si>
  <si>
    <t>- NJ based but works NY PA DE also takes 2 to 3 appt per day seemed interested sent email meeeting at 12 pm est 7 pm our time -selene 6/2</t>
  </si>
  <si>
    <t>Does servicing for solar owners mainly, he doesn't install. Maybe we can do a project per hour for appointment setting for servicing</t>
  </si>
  <si>
    <t>TX Based UTI - AND FOR NGS PGX CAN DO WITH REFRENCE LAB (WANT TO KNOW HOW MANY WE CAN PROVIDE FIRST)</t>
  </si>
  <si>
    <t>Lucent Energy Management, Inc.</t>
  </si>
  <si>
    <t>Steven Schwartz</t>
  </si>
  <si>
    <t>(908) 758-2368</t>
  </si>
  <si>
    <t>steven@lucent-energy.com</t>
  </si>
  <si>
    <t>All of NJ and southern CT, can handle like 15 clients per day, wants to know the prices, will be available for meeting</t>
  </si>
  <si>
    <t>Thinks it's expensive, will check his current sit conversion state with the lead gen company that he works with and will get back to me.</t>
  </si>
  <si>
    <r>
      <rPr>
        <rFont val="Arial"/>
        <b/>
        <sz val="13.0"/>
      </rPr>
      <t xml:space="preserve">he is not convinced that he should pay an upfront payment he wants to pay weekly after receiving the Patients, Propability 25%, Doc 02/04/2026 he wants to send this to their billing people and then touch base with the reference lab and try to follow up next thursday 02/12/2026 , send a calender invite for next thursday </t>
    </r>
    <r>
      <rPr>
        <rFont val="Arial"/>
        <b/>
        <color rgb="FF1155CC"/>
        <sz val="13.0"/>
        <u/>
      </rPr>
      <t>Chad@MODUSlaboratorIES.COM</t>
    </r>
    <r>
      <rPr>
        <rFont val="Arial"/>
        <b/>
        <sz val="13.0"/>
      </rPr>
      <t xml:space="preserve"> , Vasco@MODUSlaboratorIES.COM,, we sent him the documents needed they will call us today or tomorrow 02/26/2026 , will send chad information about a person that can help them with the validation and instrument set up , 04/02/2026 i spoke to chad he said that they are still interested but maybe the needed a month to move forward and i sent him a contact info to help him with anything that he needs</t>
    </r>
  </si>
  <si>
    <t>Ray Energy LLC</t>
  </si>
  <si>
    <t>Mo Husseini</t>
  </si>
  <si>
    <t>(908) 630-8434</t>
  </si>
  <si>
    <t>rayenergysolar4free@gmail.com</t>
  </si>
  <si>
    <t>Fri 6:00 PM</t>
  </si>
  <si>
    <t>NJ Based and serves NJ only seems kinda small and he said he accept 2 to 3 appt per day and he was interested and said to give him a call tmrw at 11 AM EST 6 PM our time -selene 5/29</t>
  </si>
  <si>
    <t>He has a certain paying after 2 weeks of signing, he works with 2 other providers like that... We will set him aside for now as per my conversation with Chris.</t>
  </si>
  <si>
    <t>Mister Solar Guy</t>
  </si>
  <si>
    <t>Mr Roger</t>
  </si>
  <si>
    <t>845 663 4679</t>
  </si>
  <si>
    <t>roger@mistersolarguy.com</t>
  </si>
  <si>
    <t>NY BASED SEVER NY NJ CT MA, 3 APPOINTMENTS PER DAY SEEM INTRESTED, HE WANT HIS LEAD EXCLUSIVE, he said he is intrested and will call us back soon , just stop calling</t>
  </si>
  <si>
    <t>Allstate Electric &amp; Solar LLC</t>
  </si>
  <si>
    <t>Joseph Adcock</t>
  </si>
  <si>
    <t>(732) 684-8823</t>
  </si>
  <si>
    <t>joe@allstateenergy.com</t>
  </si>
  <si>
    <t>Thu 5:30 PM</t>
  </si>
  <si>
    <t>- NJ based but works several other states like NJ FL DE CO he said he used lead generation before and it was a bad experience because other companies used to compete with the same home owner , he was interested and heard the entire pitch and wants to know more and he said he can handle 2 to 3 appt set per day 5/22
- ni for now 6/2</t>
  </si>
  <si>
    <t>Interested in the pay per appointment, we covered everything + prices and all. He will talk to his partner and get back to me next week. DOC 5/27, Still need to look it over again with his partner.</t>
  </si>
  <si>
    <t>Etrecte LLC</t>
  </si>
  <si>
    <t>Vyacheslav (Alex) A Nechayev</t>
  </si>
  <si>
    <t>(347) 369-2462</t>
  </si>
  <si>
    <t>Thu 4:30 PM</t>
  </si>
  <si>
    <t>NY, NJ and Long island, heard the intire process and how we operate seems interested</t>
  </si>
  <si>
    <t>Solar Me</t>
  </si>
  <si>
    <t>Nethanial ( Marketing Manager)</t>
  </si>
  <si>
    <t>(732) 547-1679 (Bill)</t>
  </si>
  <si>
    <t>nate@solarmeusa. com</t>
  </si>
  <si>
    <t>Thu 4:00 PM</t>
  </si>
  <si>
    <t>NJ Based seemed interested heard the entire pitch lol explained everything and he liked that he will not pay unless its for a sitdown appt 5/22
- He will forward our info to his marketing director nathaniel 5/22</t>
  </si>
  <si>
    <t>DOC 5/27 Bill said we need to email nathaniel and if he liked it he will reply he said he doesnt deal with this and he doesnt want to be a middle man.</t>
  </si>
  <si>
    <t>Food delivery</t>
  </si>
  <si>
    <t>Jahez Group</t>
  </si>
  <si>
    <t>Mohammed AlQahtani</t>
  </si>
  <si>
    <t>m.attalah.sa@gmail.com</t>
  </si>
  <si>
    <t>Partnership manager at Jahez Corp a food delivery program in KSA agreed to an intro meeting sent email and calender invite meeting at mon 15 5 pm our time -selene 9/11</t>
  </si>
  <si>
    <t>MVA Claims</t>
  </si>
  <si>
    <t>TechMedia Group</t>
  </si>
  <si>
    <t>LIMITLESS MEDICAL SUPPLIES LLC</t>
  </si>
  <si>
    <t>Michael Nghiem</t>
  </si>
  <si>
    <t>SALEF SOBHO</t>
  </si>
  <si>
    <t>1 713-899-5877 / (713) 364-2220</t>
  </si>
  <si>
    <t>470-567-6727</t>
  </si>
  <si>
    <t>THU</t>
  </si>
  <si>
    <t>TX based he is currently working on MVA Campaign and want us to collaborate with him since we have multilingual agents, hewant to discuss about it on whatsApp</t>
  </si>
  <si>
    <t>voice mail 09/18/2025</t>
  </si>
  <si>
    <t>saleh.soboh@yahoo.com</t>
  </si>
  <si>
    <t>Claims</t>
  </si>
  <si>
    <t>Home and Legal</t>
  </si>
  <si>
    <t>Gary Thomas</t>
  </si>
  <si>
    <t>7775 681209</t>
  </si>
  <si>
    <t>gary@hdr-UK.co.UK</t>
  </si>
  <si>
    <t>Fri 6:00:PM</t>
  </si>
  <si>
    <t>ME</t>
  </si>
  <si>
    <t>Very interested seems to know what he's doing 2/2</t>
  </si>
  <si>
    <t>Will talk tomorrow, Waiting for a background check</t>
  </si>
  <si>
    <t>VM - ben sent email
VM - ben
vm, ben 7/20</t>
  </si>
  <si>
    <t>Hospitality</t>
  </si>
  <si>
    <t>Cozmo travel</t>
  </si>
  <si>
    <t>Mahmoud Fadaly</t>
  </si>
  <si>
    <t>966 59 553 0966</t>
  </si>
  <si>
    <t>Mafadaly@cozmotravel.com
Ashaaban@cozmotravel.com</t>
  </si>
  <si>
    <t>Wed 10:00 AM</t>
  </si>
  <si>
    <t>-KSA based its travel agency for booking flights and hotels and he is the key account manager and will be in the meeting the manger , interested to speak about customer support</t>
  </si>
  <si>
    <t>they said they want a proposal from us and might start bussiness on august 2026, we need to follow up with them</t>
  </si>
  <si>
    <t>Medical Call centers 4D</t>
  </si>
  <si>
    <t>Mostafa Ali</t>
  </si>
  <si>
    <t>mostafa3ali4444@gmail.com</t>
  </si>
  <si>
    <t>Tues 5:00PM</t>
  </si>
  <si>
    <t>Mostafa Ali (Operation Manager) - Medical Call centers 4D is an IT Company providing IT solutions and call center in KSA they provide Cx for hospitals and other Governmental organizations and banks . connected with Mostafa Ali he is the Operation manger explained our solutions and that we are looking for a subcontracting opportunity and to support them . meeting tommrow at 6 pm via meet 10/9</t>
  </si>
  <si>
    <t>he is video consulting call center, Wants the man power to be in the KSA
open to the idea of collaboration in the future by sending each other referrals, Wants a presentation of everything that we do</t>
  </si>
  <si>
    <t>NEW YORK RECOVERY DME CORP</t>
  </si>
  <si>
    <t>TZVI LEBOVITS/ Fraidy</t>
  </si>
  <si>
    <t>718-637-7770/ 212) 235-5181 ext 101</t>
  </si>
  <si>
    <t>tzvi@nyrecoverydme.com / fraidy@nyrecoverydme.com/ 212) 235-5181</t>
  </si>
  <si>
    <t>NY based , ort and cgm, medicare liscensed, shipalstates, meeting tomw</t>
  </si>
  <si>
    <t>spoke with fraidy the one resposible work descisions, she received email and asked about prices and she cant attend any meeting till april the 20th willbe avalible, they have holiday for the next 2 weeks</t>
  </si>
  <si>
    <t>PREMIER LAB SOLUTIONS BAKERSFIELD LLC</t>
  </si>
  <si>
    <t>PETER SIMMONS</t>
  </si>
  <si>
    <t>781-626-1212</t>
  </si>
  <si>
    <t>peter.simmons@lemedix.com</t>
  </si>
  <si>
    <t>GLACIER MEDICAL SUPPLY, INC.</t>
  </si>
  <si>
    <t>CHAD EMERY HUFFMYER</t>
  </si>
  <si>
    <t>(405) 816-6266</t>
  </si>
  <si>
    <t>chuffmyer@healthmarkps.com</t>
  </si>
  <si>
    <t>THU 10:00 PM</t>
  </si>
  <si>
    <t>OK Based, can provide ORT+CGM+LYMPH W, Can ship nationwide, has his PTAN and lisence ready</t>
  </si>
  <si>
    <t>left a voice mail</t>
  </si>
  <si>
    <t>PRIME PULSE MEDICAL SOLUTIONS LLC</t>
  </si>
  <si>
    <t>SOHALE HAJI</t>
  </si>
  <si>
    <t>561-206-3292</t>
  </si>
  <si>
    <t>PRIMEPULSEMEDICALSOLUTIONS@gmail.com</t>
  </si>
  <si>
    <t>TUE 10:30 PM</t>
  </si>
  <si>
    <t>FL based, bill medicare, accept pt all states</t>
  </si>
  <si>
    <t>he is interested in lead gen for the cgm and he would do the chasing on his own, he also wants alot of seats but unfortunately he doesn't have the ptan and he won't be able to get till 5 months from now , he wants us to keep contact on whats app</t>
  </si>
  <si>
    <t>TOTAL LAB SERVICES LLC</t>
  </si>
  <si>
    <t>ASHLEY DAVIS</t>
  </si>
  <si>
    <t>317-997-0270</t>
  </si>
  <si>
    <t>contact@TOTALLABSERVICESLLC.com</t>
  </si>
  <si>
    <t>WED 11:45 PM</t>
  </si>
  <si>
    <t>She said she is a collection site but intersted in working with us and see if she can provide us with a reference lab IN based, She still does not have the equips but is very very close to arrive to her lab, she can bill medicare.</t>
  </si>
  <si>
    <t>He does UTI, and Can do immune through another lab, can accept medicare PT and accept from all states
"Called him and reshcedled the meeting to tomorrow 6:00 pm 2/12/26 (2/11/26 6:07) Meeting rescheduled to 9:00 pm our time 2 pm his time George called him and left him a VM and I called him and he did not pickup 5:09 He did not pickup 1/26/26 5:08</t>
  </si>
  <si>
    <t>I’ve been doing well, thank you. I took some time to review everything, and at this moment I’m not in a position to move forward with this opportunity. I truly appreciate you reaching out and sharing the information with me. I’d definitely like to stay in touch for any future opportunities that may align as my business continues to grow.
I sure wish I was suitable to assist I tried and it seems I am not qualified enough. I appreciate the opportunity 4/9/26</t>
  </si>
  <si>
    <t>we need to my seq, Pgx , they need to do gene validation, we need to the machine that they are using and gene validation to do this CPT code ,
two California and one Chicago validation and sample report and what machines required, lab set up and validation for the NGS, we spoke again on the 12th and he is interested to do NGS if he understand the machinary and lap setup needed alongside the validation
VM - ben , I will connect him with dr ajaez to on whatsapp and connect him together</t>
  </si>
  <si>
    <t>-</t>
  </si>
  <si>
    <t>Touchstone Comm</t>
  </si>
  <si>
    <t>Abbas Mohiuddin</t>
  </si>
  <si>
    <t>amohiuddin@touchstonebpo.com</t>
  </si>
  <si>
    <t>Interested in French speakers. WE covered prices and some details about the project. Will talk again with account manager to discuss pricing points</t>
  </si>
  <si>
    <t>No - Show / Callback</t>
  </si>
  <si>
    <t>SFRN VENTURES LLC</t>
  </si>
  <si>
    <t>SHAH MIR ALI</t>
  </si>
  <si>
    <t>832-446-8336</t>
  </si>
  <si>
    <t>SFRNVENTURES@gmail.com</t>
  </si>
  <si>
    <t>MON 9:30 PM</t>
  </si>
  <si>
    <t>TX Based provide ORT and CGM, Can accept medicare PT</t>
  </si>
  <si>
    <t>He talked to mike but he does not have medicare license</t>
  </si>
  <si>
    <t>ONE O SEVEN LLC</t>
  </si>
  <si>
    <t>Onboarded</t>
  </si>
  <si>
    <t>MARZOOQ LAKHANI</t>
  </si>
  <si>
    <t>713-498-5462</t>
  </si>
  <si>
    <t>oneosevendme@gmail.com</t>
  </si>
  <si>
    <t>E3 MEDISERVE LLC</t>
  </si>
  <si>
    <t>Heindel Adu</t>
  </si>
  <si>
    <t>office832-910-8844 / joyclen no, (346) 408-2478/MR.ADU NO (432) 269-5836 / 3467476708 ( joyclen)</t>
  </si>
  <si>
    <t>Thu 5:00 PM</t>
  </si>
  <si>
    <t>joyclen said they have medicare licence and work all states pcp and supply dme and cgm 2/13 send e mail and will call to set a meeting 2/13 WE SET A MEETING ON MONDAY ON 7PM OUR TIME 11AM THEIR TIME 2/13</t>
  </si>
  <si>
    <t>Will get back to me today with an answer.</t>
  </si>
  <si>
    <t>CGM &amp; ORT, Med part B, starting in tx, They can work all states, he said he preferrs if a higher percentage would be from his state (texas) to not flag medicare, seems to have experience</t>
  </si>
  <si>
    <t>speaking on whatsapp
auto vm, ben</t>
  </si>
  <si>
    <t>RPH LABS CORP.</t>
  </si>
  <si>
    <t>SHAHBAZ JAVAID CHAUDHARY</t>
  </si>
  <si>
    <t>646-463-2226/ 877-373-9600</t>
  </si>
  <si>
    <t>sc@rphlabs.com</t>
  </si>
  <si>
    <t>TX Based, does PGX Only ,Medcare liscenced, wants call meeting o thursday 9 pm our time 4/27</t>
  </si>
  <si>
    <t>OMNIS MEDICAL SERVICES LLC</t>
  </si>
  <si>
    <t>he only wants cash patients, no insurance patient, he asked to call him in 6 months in case he changed his mind</t>
  </si>
  <si>
    <t>Jeremy Beck</t>
  </si>
  <si>
    <t>YOUR LAB TEST TX</t>
  </si>
  <si>
    <t>CLARISSIA JONES</t>
  </si>
  <si>
    <t>214-684-9182</t>
  </si>
  <si>
    <t>adisyenterprise@gmail.com</t>
  </si>
  <si>
    <t>Insurance, Only Texas ,Not sure of the tests she can do + Renewing her licenses,</t>
  </si>
  <si>
    <t>she will act as a middle man</t>
  </si>
  <si>
    <t>Global Medical Equipment</t>
  </si>
  <si>
    <t>Oskar Starker</t>
  </si>
  <si>
    <t>ALBANYLABS LLC</t>
  </si>
  <si>
    <t>SUMANTA GOSWAMI</t>
  </si>
  <si>
    <t>DMEDESK</t>
  </si>
  <si>
    <t>347-613-3322</t>
  </si>
  <si>
    <t>sumanta.goswami@albanylabs.com, / info@albanylabs.com</t>
  </si>
  <si>
    <t>Rescheduled with him</t>
  </si>
  <si>
    <t>Calendly. no ngs but he knows people</t>
  </si>
  <si>
    <t>INFINITY NEXUS LLC</t>
  </si>
  <si>
    <t>VERLINDA JOHNSON</t>
  </si>
  <si>
    <t>572-271-3917</t>
  </si>
  <si>
    <t>VERLINDA@INFINITYNEXUSMEDICAL.com</t>
  </si>
  <si>
    <t>Clayton Medical Supply Inc</t>
  </si>
  <si>
    <t>Judith Fairclough</t>
  </si>
  <si>
    <t>404-808-5118 / 7709975660</t>
  </si>
  <si>
    <t>Mon 6:30 PM</t>
  </si>
  <si>
    <t>Very Interested does Medicare, All States sent prices
Monday 6:30</t>
  </si>
  <si>
    <t>Will discuss and get back to me regarding CGM. DOC 2/24/2025</t>
  </si>
  <si>
    <t>Cancelled
She wants to discover the service, she will be available tomorrow for 30 mins</t>
  </si>
  <si>
    <t>RUSH LAB LLC</t>
  </si>
  <si>
    <t>WAQAS MIRZA</t>
  </si>
  <si>
    <t>312-520-4582</t>
  </si>
  <si>
    <t>wwmirza@gmail.com</t>
  </si>
  <si>
    <t>MON 11:30 PM</t>
  </si>
  <si>
    <t>"Immune - UTI - PGx - CGx wwmirza@gmail.com
azzedine13@yahoo.com"</t>
  </si>
  <si>
    <t>he has a dme company and a adam travel agency ABDo ibrahim</t>
  </si>
  <si>
    <t>Healthmed Services Llc</t>
  </si>
  <si>
    <t>Demetrios Nikoloulis</t>
  </si>
  <si>
    <t>GRACEWOOD MEDICAL SUPPLIES INC</t>
  </si>
  <si>
    <t>708-543-0563</t>
  </si>
  <si>
    <t>ZUBAIR AHMED MOHAMMED</t>
  </si>
  <si>
    <t>dn@nexushq.net</t>
  </si>
  <si>
    <t>214-717-4021</t>
  </si>
  <si>
    <t>Fri 10:30 PM</t>
  </si>
  <si>
    <t>z48a1r@gmail.com</t>
  </si>
  <si>
    <t>Explained Process, need a docu sign from the patient, Understands the process seems to know what he's doing, -Has issues
IL Based, Ships to all states using his partners company, in utah, getting a new PTAN, but working in the 40 states</t>
  </si>
  <si>
    <t>MON 9:00 PM</t>
  </si>
  <si>
    <t>Will try PPO, NI in the rest because of compliance. He has a campaign for personal injury that he will give me a proposal for in the future, We should start very soon.</t>
  </si>
  <si>
    <t>TX Based, seems to know what hes doing, willing to dropship
945-324-6189 (Cell)
Said He'll Email us</t>
  </si>
  <si>
    <t>PATRIOT MEDICAL LABORATORIES LLC</t>
  </si>
  <si>
    <t>SOMBABU MULLAPUDI</t>
  </si>
  <si>
    <t>He is working with Dr offices and hesaid that he is not ready to do marketing at the moment but will keep us as in his contact 6/10/26 9:27 VM Sent email - ben</t>
  </si>
  <si>
    <t>240-422-4164</t>
  </si>
  <si>
    <t>sam@ciandx.com</t>
  </si>
  <si>
    <t>THU 10:30 PM</t>
  </si>
  <si>
    <t>- MD Based, Medicare liscenced , Accepts nationwide does NGS meeting tmrw 10.30 our time -selene 2/11
- called x2 no anwer 3/18</t>
  </si>
  <si>
    <t>tuesday between 10 - 12 , face to face meeting , so he would revise with his team and discuss everything during the meeting
- I spoke to sam he said that our gmail email is not professional and he is concerned with the upfront pricing and wanted to discuss it in tmrw meeting-selene 3/5
- sent email for UTI PGX NGS 7/20</t>
  </si>
  <si>
    <t>BRIGHT PATH DME LLC</t>
  </si>
  <si>
    <t>JASON COREY GOODMAN</t>
  </si>
  <si>
    <t>314-629-5794</t>
  </si>
  <si>
    <t>Jason@brightbathdme.com
Mike@brightbathdme.com</t>
  </si>
  <si>
    <t>call back in an hour</t>
  </si>
  <si>
    <t>- MO Based , Medicare liscenced , ships around 20 states meeting today 5 pm our time -selene 12/18</t>
  </si>
  <si>
    <t>he has a partner ( michael = marketer ) , they are doing consultancy to 10 other dme companies , they wanted discounted prices and a prove that every lead is generated through opt - in data , he is interested in a trial phase and then he might work with us after the holidays , mainly interested in ortho but can do CGM ,</t>
  </si>
  <si>
    <t>GP QUEST HEALTH CENTER LLC</t>
  </si>
  <si>
    <t>ELAINE PONS</t>
  </si>
  <si>
    <t>786-205-7062</t>
  </si>
  <si>
    <t>gpquesthealthcenter@gmail.com</t>
  </si>
  <si>
    <t>FOUR JOHNSON FOUNDATION</t>
  </si>
  <si>
    <t>FL Based NGS, Mediare B, All states 2/12</t>
  </si>
  <si>
    <t>LAURI JOHNSON</t>
  </si>
  <si>
    <t>they spilled the coffee in the meeting, they also don't know if they have the right machinary to do the NGS testing , and didn't know if they have it or not they need us to send him the machinary</t>
  </si>
  <si>
    <t>972-282-4842</t>
  </si>
  <si>
    <t>fjf.prostheses@gmail.com</t>
  </si>
  <si>
    <t>DELTA MEDICAL EQUIPMENT LLC</t>
  </si>
  <si>
    <t>SHe can bill medicare, and ship nationwide - ORT</t>
  </si>
  <si>
    <t>MOE MOSTAFA</t>
  </si>
  <si>
    <t>248-564-6565 - WA 949-339-7142</t>
  </si>
  <si>
    <t>leg compressions , gaurmets , wheel chairs , ORT , maybe around 20 , she thought that we are more like a medical supplier not a marketing company she is not interested to do marketing right now but i persuaded her to talk to someone that might do a collaboration with her in her business ( long shot ) create a follow up call on tuesday same time</t>
  </si>
  <si>
    <t>Mohammad Alhaji/ 619-519-6504 info@deltadme.com - Dmedical550@gmail.com</t>
  </si>
  <si>
    <t>Thu 7:00 PM</t>
  </si>
  <si>
    <t>PROLINE LABS</t>
  </si>
  <si>
    <t>- Medicare liscenced , can ship JUR B , CGM and DME, 20 pts per week PCP meeting Thursday at 12 est 7 pm our time -selene 2/20
- CALLED HIS PARTNER MOE MOSTAFA AND THEY SAID THEY GOT BACK THEIR NPI MEETING TMRW 5.30 OUR TIME 4/22</t>
  </si>
  <si>
    <t>JEFFREY RODRIGUEZ</t>
  </si>
  <si>
    <t>915-494-2611</t>
  </si>
  <si>
    <t>PROLINELABS@gmail.com</t>
  </si>
  <si>
    <t>Interested will discuss with his partner and get back to us on Monday. Spoke today, a bit unexperienced and wanted to go for a trial first. Will check the contract and get back to me tomorrow. In the process of renewal of his license and his NPI is Inactive. I will call at the end of April. DOC 3/26/2025. DOC 4/23/2025 Trial period will start this week and he should place an order next week.</t>
  </si>
  <si>
    <t>WED 6:30 PM</t>
  </si>
  <si>
    <t>TX Based, Medicare liscenced accepts nationwide he said he is getting the NGS but he seems new to the work but very interested and wants to know the prices meeting tmrw 6.30 pm our time wed -selene 2/10</t>
  </si>
  <si>
    <t>what type of license do you need , High complexity, tomorrow 11:00 am Standard time , 10 am tomorrow 02/13/2026
busy wants us to call him in an hour (busy schedule call him tomorrow) - ben
- vm 7/20</t>
  </si>
  <si>
    <t>CARING ANGEL'S UNIFORMS &amp; MEDICAL SUPPLIES, LLC</t>
  </si>
  <si>
    <t>Joyce Hargrave</t>
  </si>
  <si>
    <t>601-807-9132</t>
  </si>
  <si>
    <t>Home Care Medical Supplies LLC</t>
  </si>
  <si>
    <t>axmen2022@yahoo.com</t>
  </si>
  <si>
    <t>George Kaiteris</t>
  </si>
  <si>
    <t>SYNERGY DIAGNOSTIC LAB</t>
  </si>
  <si>
    <t>818-581-4200</t>
  </si>
  <si>
    <t>ADNAN SADIQ/Nadeem (decision maker)</t>
  </si>
  <si>
    <t>732 470 4310</t>
  </si>
  <si>
    <t>TX BASED, SHE DEAL WITH PPO INSURANSE SUPPLY ORT AND CGM, WANTED TO KNOW THE PRICES AND EXPLORE MORE</t>
  </si>
  <si>
    <t>george@hcmedicalsupplies.com</t>
  </si>
  <si>
    <t>waytogocorp@yahoo.com</t>
  </si>
  <si>
    <t>Thu 9:30 PM</t>
  </si>
  <si>
    <t>Fri 5:00 PM</t>
  </si>
  <si>
    <t>- AR BasedSpoke to Adnan the owner said they do NGS PGX CGX have medicare and serve nationwide said we should speak tmrw to nadeem the decison maker at 1.30 cst 9.30 our time -selene 2/4
- spoke to adnan said nadeem will be availble after 30 min will cb by then -2/5</t>
  </si>
  <si>
    <t>-CA Based but ships to all states, Been talking since january, knows well about the process
- he also seem to own an internet company and some other businesses, could be a goof fit to talk with about VAs and CX work</t>
  </si>
  <si>
    <t>voice mail</t>
  </si>
  <si>
    <t>DR NAdeem - approved CMS he was asking about percentage - address / contact info - upfront payment is a nono - 96 plate sample to do it together / 3 to 4 weeks after the report are out / 5 to 6 weeks to get paid - he is not working with TMS and RCE - W2 as an employee / - 35% - he was engaged with an egyptian girl and he knows alot of egyptian</t>
  </si>
  <si>
    <t>ODIN MEDICAL SUPPLIES</t>
  </si>
  <si>
    <t>AHMED ELHENAWY</t>
  </si>
  <si>
    <t>201-705-7610 / +201222123227</t>
  </si>
  <si>
    <t>ahmed@ODINMEDICALSUPPLIES.com</t>
  </si>
  <si>
    <t>MON 7:30 PM</t>
  </si>
  <si>
    <t>QUIKCPAY COM LLC</t>
  </si>
  <si>
    <t>PPO, in the process of working with medicare</t>
  </si>
  <si>
    <t>Meeting is with SYED NAJAM UL HASSAN ( Manager ) ANILA KIRMANI MBR</t>
  </si>
  <si>
    <t>email for pricing for cpl and cpa medicare insurance, home reinovation 5 stars bath ,angi's list contractor leads , hvac , appointment on bremises , franchises</t>
  </si>
  <si>
    <t>346-219-9911</t>
  </si>
  <si>
    <t>HOPE DIAGNOSTIC AND WELLNESS CENTER LLC</t>
  </si>
  <si>
    <t>Quickpaycomllc@gmail.com</t>
  </si>
  <si>
    <t>MOSES O. ADEYANJU</t>
  </si>
  <si>
    <t>Pro medical supplies</t>
  </si>
  <si>
    <t>618-713-6823</t>
  </si>
  <si>
    <t>Michael Girgis</t>
  </si>
  <si>
    <t>pathologydiagnostics@yahoo.com</t>
  </si>
  <si>
    <t>330-550-0553</t>
  </si>
  <si>
    <t>Tue 9:00 PM</t>
  </si>
  <si>
    <t>IL Based, Medicare liscenced accepts nationwide NGS test meeting tuesday 9 pm our time 2/20</t>
  </si>
  <si>
    <t>he was asking about</t>
  </si>
  <si>
    <t>Friday 6:30</t>
  </si>
  <si>
    <t>Business : DME &amp; CGM
Call Time : {05:09} Very interested, Discussed process, licenced in All States
First time dealing with marketing
Didn't get into too much details with him as he didnt have any specific concerns</t>
  </si>
  <si>
    <t>RAPHA LABORATORIES, LLC</t>
  </si>
  <si>
    <t>JERMAINE BROOKS</t>
  </si>
  <si>
    <t>912-596-7683</t>
  </si>
  <si>
    <t>Jbrooks@raphalab.com</t>
  </si>
  <si>
    <t>MON 9:00 PM 16/02</t>
  </si>
  <si>
    <t>I reached him again, and he apologized for not showing up, saying it has been a hectic week. We agreed to have a follow-up meeting today at 9 p.m. ( JIMMY) 2/16/26 5:07
NCBased, Can do Immune and UTI
Accept medicare and PT from all state wants to know more in the Email Tuesday 1:00 pm</t>
  </si>
  <si>
    <t>I reached him again, and he apologized for not showing up, saying it has been a hectic week. We agreed to have a follow-up meeting today at 9 p.m. ( JIMMY) 2/16/26 5:07 he is interested and he will review the document , he wants to follow up in a week , February 10th , send the calender the invite today and he will accept it, he is waiting for his machines to get validated in month and half or to month, set a meeting for him first of april</t>
  </si>
  <si>
    <t>GENESIS DIAGNOSTIC SERVICES INC</t>
  </si>
  <si>
    <t>Dr. SYED NAVEED</t>
  </si>
  <si>
    <t>630-776-5027</t>
  </si>
  <si>
    <t>Syednaveedmd@gmail.com</t>
  </si>
  <si>
    <t xml:space="preserve">TX BASED, MEDICARE LICENSED, ACCPT PT ALL STTAES, have alot of labs and e will open a lab in miami florida in couple weeks DO NGS, pgx, cgx BUT he worried about billing , he may act as reffrence lab for us, but willing to iscuss with george. HE THINGK ITS BETTERTO DO FOR ONCOLOGY NOT IMMUNE DEFICIENCY CUZ ITS LESS RISCKY WITH MEDICARE PROTOCOL, </t>
  </si>
  <si>
    <t>- 96 plate sample to do it together
texted me, call to reschedule left a vm will send him an email- ben</t>
  </si>
  <si>
    <t>Golden Medical Supply Llc</t>
  </si>
  <si>
    <t>Michael Bitelli</t>
  </si>
  <si>
    <t>516-633-6636</t>
  </si>
  <si>
    <t>michaelgoldenmed@gmail.com</t>
  </si>
  <si>
    <t>Mon 8:00:PM</t>
  </si>
  <si>
    <t>- Medicare Liscenced , all states, PCP, ORT and CGM meeting thursday 11 am est and 5pm our time -selene 3/24</t>
  </si>
  <si>
    <t>We covered all the process and prices, we will do demo and onboarding tomorrow DOC 5/19/2025. In trial</t>
  </si>
  <si>
    <t>HEXA DME INC</t>
  </si>
  <si>
    <t>SATPALJEET SINGH</t>
  </si>
  <si>
    <t>917-358-8053</t>
  </si>
  <si>
    <t>hexadme@gmail.com</t>
  </si>
  <si>
    <t>LAVINA MEDICAL SOLUTION LLC</t>
  </si>
  <si>
    <t>NOAH GILL</t>
  </si>
  <si>
    <t>NY based can do braces and CGM</t>
  </si>
  <si>
    <t>- 3 to 4 weeks after the report are out
-vm , ben</t>
  </si>
  <si>
    <t>Following up with him on teams in the group</t>
  </si>
  <si>
    <t>Meeting is with MR. Hassan ( Manager ) ANILA KIRMANI MBR TX based medicare licensed,supply lemphadema wrap + CGM + ORTHO, can ship to all states meeting 8:30 PM</t>
  </si>
  <si>
    <t>LILLIE'S LAB SOLUTIONS</t>
  </si>
  <si>
    <t>BRITTNEY JOHNSON</t>
  </si>
  <si>
    <t>254-833-5126</t>
  </si>
  <si>
    <t>lillieslabsolutions@gmail.com Kajui29_89@hotmail.com</t>
  </si>
  <si>
    <t>Wed 10:30 PM</t>
  </si>
  <si>
    <t>TX Based, can accept medicare PT from all 50 states and can do NGS</t>
  </si>
  <si>
    <t>next thursday, she will be available from 8 am to 12:00, she is interested but she is not very sure that she can fund this, we talked about 50% upfront and maybe finding her an investor, she is still waiting on the new reimbursments, she will talk to the lab director and wants a small presentation next thursday but she might not attend or be available next week because of her daughters graduation , 05/13/2026
meeting next friday , 05/15/2026 she wants to include her lab director email to this so we could discuss our fees i already gave her an example upon the fee forimmuno , next meeting is monday 11:30 CST</t>
  </si>
  <si>
    <t>GV MEDICAL EQUIPMENT AND SUPPLY, INC.</t>
  </si>
  <si>
    <t>RIVAID LLC</t>
  </si>
  <si>
    <t>Yoel Gross</t>
  </si>
  <si>
    <t>718-930-0698</t>
  </si>
  <si>
    <t>RAMIN BAROUKH</t>
  </si>
  <si>
    <t>Ygross0698@gmail.com</t>
  </si>
  <si>
    <t>310-542-6575</t>
  </si>
  <si>
    <t>gvmedicalsupply1@yahoo.com</t>
  </si>
  <si>
    <t>Transferred right away</t>
  </si>
  <si>
    <t>EXPERTUS LABORATORIES, INC</t>
  </si>
  <si>
    <t>JASON WEIL</t>
  </si>
  <si>
    <t>407-375-8599</t>
  </si>
  <si>
    <t>NY based provides ORT+CGM+LYMPH W can ship nationwide has the license</t>
  </si>
  <si>
    <t>jason.weil@EXPERTUS.health</t>
  </si>
  <si>
    <t>MON 8:00 PM</t>
  </si>
  <si>
    <t>have the equipment and can accept medicare PT</t>
  </si>
  <si>
    <t>VM is full 6/10/26 10:47 Mike talked to him agreed on sending him the info again and agreed on anoher call next Tuesday 4/7/26</t>
  </si>
  <si>
    <t>TUE 12:00 PM</t>
  </si>
  <si>
    <t>CA based, supply ort , bill medicare licenced, ship alsttaes, meeting tomw AFTER 12 PM OUR TIME</t>
  </si>
  <si>
    <t>Acute Medical Supply</t>
  </si>
  <si>
    <t>SOURCE DIRECT MEDICAL SUPPLY, INC</t>
  </si>
  <si>
    <t>he said that he can only work with doctors / hospitals / assisted living , but no middle men,he says in california that'snot how it goes, long shot probability call him back in a month with a lead generation proposal
bad connection, ben</t>
  </si>
  <si>
    <t>CAROLINE JACKSON</t>
  </si>
  <si>
    <t>Joseph Kanefsky</t>
  </si>
  <si>
    <t>219-472-8091</t>
  </si>
  <si>
    <t>SOURCEDIRECTMEDICALSUPPLY@gmail.com</t>
  </si>
  <si>
    <t>954-804-2825</t>
  </si>
  <si>
    <t>WED 8:00 PM</t>
  </si>
  <si>
    <t>joe@acutemedsupply.com</t>
  </si>
  <si>
    <t>she said that she will call jimmy again later because she is out of the office right now</t>
  </si>
  <si>
    <t>Mon 8:30 PM</t>
  </si>
  <si>
    <t>FL BASED, SUPPLY ORT, SHIP ALL STATES AND BILL MEDICARE, MEETING MONDAY</t>
  </si>
  <si>
    <t>i called back he said he dont carry enough of those kind of items in stock, he thought he can full fill them 2/10</t>
  </si>
  <si>
    <t>WEST COAST LAB SCREENING</t>
  </si>
  <si>
    <t>MYRON RICHARD BANKS</t>
  </si>
  <si>
    <t>323-308-9717</t>
  </si>
  <si>
    <t>myron@wclabscreening.com georgie@wclabscreening.com</t>
  </si>
  <si>
    <t>MASTECH MEDICAL EQUIPMENT SOLUTIONS LLC</t>
  </si>
  <si>
    <t>WED 7:30 PM</t>
  </si>
  <si>
    <t>Ramon Taylor</t>
  </si>
  <si>
    <t>He is a collecting site but he is collaborating with a lab called DDC, he wants to ask them if they can do the NGS first and setted the meeting next WED 2/20/26 9:47</t>
  </si>
  <si>
    <t>757-831-7908</t>
  </si>
  <si>
    <t>- upfront payment is a nono</t>
  </si>
  <si>
    <t>mastechmed99@gmail.com</t>
  </si>
  <si>
    <t>Wed 4:00:PM</t>
  </si>
  <si>
    <t>Medicare liscenced , nationwide, PCP ,ORTCGM he said he takes between 10 to 15 pts per week meeting wed 10 am est 4 pm our time -selene 4/8</t>
  </si>
  <si>
    <t>Call went well. He will talk to his biller but he is up for it and really interested. Will onboard him for VA for now untill he expand the states.</t>
  </si>
  <si>
    <t>RADID RESULTS DNA LABORATORIES LLC</t>
  </si>
  <si>
    <t>JIMEKA LEVELLE FITZGERALD</t>
  </si>
  <si>
    <t>757-800-7301</t>
  </si>
  <si>
    <t>3M MEDICAL ASSOCIATES</t>
  </si>
  <si>
    <t>rapiddnalabs@gmail.com</t>
  </si>
  <si>
    <t>Atta Shahid/ BOB</t>
  </si>
  <si>
    <t>618-554-3683</t>
  </si>
  <si>
    <t>THU 4:00 PM</t>
  </si>
  <si>
    <t>She can do genetic testings</t>
  </si>
  <si>
    <t>attashahid@shmatallc.com</t>
  </si>
  <si>
    <t>Wed 5:30 PM</t>
  </si>
  <si>
    <t>She is afraid that this could put too much liability on her, agreed on discussing a trial phase with Geroge tomorrow 9:00 am EST 4:00 PM 4/29/26 9:17 ( JIMMY ) We need to send her a reference lab and another meeting set on friday 3/2/26 10:24 , she needs a reference lab to work with us</t>
  </si>
  <si>
    <t>-OH Based , Medicare liscenced , nationwide supplies ORT ,CGM ,Lymph, spoke to Atta he said Bob the decison maker will speak to george meeting tmrw 5.30 our time -selene 1/27 salem
- GK Left a message -selene 2/5</t>
  </si>
  <si>
    <t>NJ MEDICAL SUPPLIES LLC</t>
  </si>
  <si>
    <t>Genessa Terrizzi</t>
  </si>
  <si>
    <t>DREXEL DISTRIBUTION INC</t>
  </si>
  <si>
    <t>BEDIS ZORMATI</t>
  </si>
  <si>
    <t>917-653-8900</t>
  </si>
  <si>
    <t>VEIN WHISPERER EXPRESS LABS LLC</t>
  </si>
  <si>
    <t>BEDIS@MEDFILO.COM/ cperezfinancial@gmail.com</t>
  </si>
  <si>
    <t>CAROLE GILLING</t>
  </si>
  <si>
    <t>352-328-8465</t>
  </si>
  <si>
    <t>Cahrolle@gmail.com</t>
  </si>
  <si>
    <t>Thu 6:00 PM 26/02</t>
  </si>
  <si>
    <t>NY Based Mediacre liscenced does NGS meeting monday 9 pm -selene 2/27</t>
  </si>
  <si>
    <t>she does not if she has the equipment or not, she is gonna reveiw the info and we will follow up with her same time next week 2/20/26 8:11</t>
  </si>
  <si>
    <t>she is not sure that she has the equpment wla la , carolle is a nurse her boss is dr chemo and we will follow up m3aha</t>
  </si>
  <si>
    <t>He is interested but his waiting to get some information about the panel and the payouts from the billing team he messaged me on whats app and told me if there is any update he will give me a call
- said wants a follow up call 2pm next thurday 6/24 No longer interested because we are overseas and immune reimbursmenst are low 7/6</t>
  </si>
  <si>
    <t>HOLLIS CHEMISTS LLC</t>
  </si>
  <si>
    <t>DAVID KANDOV</t>
  </si>
  <si>
    <t>718-470-2066</t>
  </si>
  <si>
    <t>MIRACLES MEDICAL SUPPLIES LLC</t>
  </si>
  <si>
    <t>hollischemists@gmail.com</t>
  </si>
  <si>
    <t>LATASHA LOOPER</t>
  </si>
  <si>
    <t>904-574-7180</t>
  </si>
  <si>
    <t>latashalooper@gmail.com</t>
  </si>
  <si>
    <t>NY BASED, BILLS MEDICARE FOR LYMPHA</t>
  </si>
  <si>
    <t>Mon 8:00 PM</t>
  </si>
  <si>
    <t>12/02/2025 10 pm our time
a bit skyptical of the fruad situations lately , wants to do biweekly and wants the website to check which states can he work in</t>
  </si>
  <si>
    <t>- FL Based, Medicare Liscenced Ships all states ORT meeting mon 8 pm our time 1/23
- doc 2/5 sAID TO RESEND EMAIL CB TMRW -selene 2/5</t>
  </si>
  <si>
    <t>PRIME ORTHO FITTING, LLC</t>
  </si>
  <si>
    <t>Mena Fadel</t>
  </si>
  <si>
    <t>GROVER MED LLC</t>
  </si>
  <si>
    <t>RAVI GROVER</t>
  </si>
  <si>
    <t>516-882-7473/ 917-299-6051</t>
  </si>
  <si>
    <t>Grovermedllc@gmail.com</t>
  </si>
  <si>
    <t>Tue 7:30 PM</t>
  </si>
  <si>
    <t>- NY Based, Medicare Liscenced Ships all states ORT meeting tmrw 7.30 our time 1/19 cb fri 1/22</t>
  </si>
  <si>
    <t>i spoke to the operator he is not available today he told me to try tomorrow</t>
  </si>
  <si>
    <t>SUPERIOR SUPPORT STORE CORPORATION</t>
  </si>
  <si>
    <t>SALAMON ZALMEN BRULL</t>
  </si>
  <si>
    <t>917-246-7322</t>
  </si>
  <si>
    <t>ICON MEDICAL SUPPLIES, LLC</t>
  </si>
  <si>
    <t>shloimy7322@gmail.com</t>
  </si>
  <si>
    <t>DANIEL PICARD</t>
  </si>
  <si>
    <t>631-673-1984</t>
  </si>
  <si>
    <t>OPTIMISTIC HEALTHCARE SOLUTIONS LLC</t>
  </si>
  <si>
    <t>Deshavonna Jasmine (CEO ) Anthony assistant</t>
  </si>
  <si>
    <t>800-674-4440 / 3465514222 direct number</t>
  </si>
  <si>
    <t>dj@optimistichealthcare.com dj@ohcpharmacy.com</t>
  </si>
  <si>
    <t>NY Based, can do nationwide, He only do Cash and private insurce at the moment and it might take a whild to start accepting medicare PT</t>
  </si>
  <si>
    <t>Thu 7:30 PM</t>
  </si>
  <si>
    <t>Tx BASED i soplke with anthoney her assitant said they are medicare liscensed and ship all states , supply lymph wraps, meetint tomw 7;30 our time</t>
  </si>
  <si>
    <t>she is interested we sent her the contract and all the information (11/14/2025), she didn't recieve the email and we sent it again and she will respond to the email 11/17/2025</t>
  </si>
  <si>
    <t>iconmedicalsuppliesllc@gmail.com</t>
  </si>
  <si>
    <t>Wed 6:00 PM</t>
  </si>
  <si>
    <t>NY Based , Medicare liscenced ships nationwide supplies ORT meeting video tmrw 6 pm our time -selene 1/13
- gk left a mesage 2/5
- cb on fri 3/4</t>
  </si>
  <si>
    <t>didn't show up</t>
  </si>
  <si>
    <t>ALLY MEDICAL SUPPLY INC</t>
  </si>
  <si>
    <t>FIRAS ABOLGAR</t>
  </si>
  <si>
    <t>312-493-5657</t>
  </si>
  <si>
    <t>allymedindiana@gmail.com</t>
  </si>
  <si>
    <t>Thu 9:00 PM</t>
  </si>
  <si>
    <t>Judy</t>
  </si>
  <si>
    <t>Sbs Medical Supplies Llc</t>
  </si>
  <si>
    <t>Sergey Simcha Suleimanov</t>
  </si>
  <si>
    <t>IN Based , Medicare liscenced , ships locally but can expand nationwide meeting thursday 9 pm</t>
  </si>
  <si>
    <t>602-612-2000</t>
  </si>
  <si>
    <t>MEDEX DIAGNOSTIC SERVICES INC</t>
  </si>
  <si>
    <t>all states/ 20 pts/ told him our process/ telemed and pcp</t>
  </si>
  <si>
    <t>XO DME LLC</t>
  </si>
  <si>
    <t>Junaid (office Manager)</t>
  </si>
  <si>
    <t>CARLOS BONILLA</t>
  </si>
  <si>
    <t>773 552 9901</t>
  </si>
  <si>
    <t>SEND Price list and avg reimbursement for ORT And CGM , next tuesday same time , He will talk to george on whatsapp dnc 3/11 said he will review it and give us a cb dnc doesnt seem that interested 6/3</t>
  </si>
  <si>
    <t>951-490-8450</t>
  </si>
  <si>
    <t xml:space="preserve">healthcareinnovation360@gmail.com </t>
  </si>
  <si>
    <t>carlos@nexuspt.com</t>
  </si>
  <si>
    <t xml:space="preserve">IL Based, accepts nationwide medicare patients does NGS,UTI,PGX meeting next tuesday 6 pm our time 7/29 </t>
  </si>
  <si>
    <t xml:space="preserve">- He said he spoke to his partner about our service and he said to get back to him around sept or october -8/4 selene </t>
  </si>
  <si>
    <t>Ca based, medicare licensed, can bilL, but dont have the supply he will get it by END week of january, the we could work together, asked him to send email ,and want to see how we work meeting tomw 10:30pm/ HE ASKED TO CALL BACK BY END OF MARCH</t>
  </si>
  <si>
    <t>asked cb end of march</t>
  </si>
  <si>
    <t>RAPHA CARE SOLUTIONS LLC</t>
  </si>
  <si>
    <t>Raheel</t>
  </si>
  <si>
    <t>703-930-2669</t>
  </si>
  <si>
    <t>info@raphacaresolutions.com</t>
  </si>
  <si>
    <t>-VA Based, Ships all states recently got ptan, works ort and cgm and interested in more products, knows about our scope of workm, onboarding process</t>
  </si>
  <si>
    <t>Talked to him , explained how they would start with us , new DME , needs guidance , they will probably start with 1 agent and then scale up</t>
  </si>
  <si>
    <t>PREVENTIVE GENOMICS, LLC</t>
  </si>
  <si>
    <t>CHI NGO</t>
  </si>
  <si>
    <t>281-857-4491</t>
  </si>
  <si>
    <t>clientservices@preventivegx.com</t>
  </si>
  <si>
    <t>MOHAMMAD SIDDIQUI</t>
  </si>
  <si>
    <t>773-544-0201</t>
  </si>
  <si>
    <t>TX BASED but can operate nationwide except NY / PGx, UTI, NGS all in-house / private insurances and medicare part B only meeting set for thursday 8:00 our time 12:00 his time / called him to confirm our meeting time he mentioned that they are transitioning ownership and it would be best to discuss business in a month so scheduled a CB for 9/6</t>
  </si>
  <si>
    <t>CPR DME LLC</t>
  </si>
  <si>
    <t>Gabriel Colmenero</t>
  </si>
  <si>
    <t>junaid 773 552 9901  healthcareinnovation360@gmail.com</t>
  </si>
  <si>
    <t>956-241-0408</t>
  </si>
  <si>
    <t>ILL bases , accepts nationwide medicare patients provides immune genetic testing said wants to speak to george before sending email said to call him thursday 5,30 our time -selene 1/6
said to give hima call tmrw we 21st 1 pmcst 1/12</t>
  </si>
  <si>
    <t>tx based and work all states, medicare liscenced DME and for CGM ,(still trying to find a supplier working on it) , PCP , pt intake per week varies meeting mon at 2 pm CST 10 pm our time 2/13</t>
  </si>
  <si>
    <t>RUTHENIUM DIAGNOSTICS LLC</t>
  </si>
  <si>
    <t>Does uti/ pgx</t>
  </si>
  <si>
    <t>Trail Phase 07/23/2025 , Waiting for the Trial</t>
  </si>
  <si>
    <t>ROBERT WILLIAM CACAL</t>
  </si>
  <si>
    <t>808-386-3669</t>
  </si>
  <si>
    <t>robert.cacal@genviewdx.com</t>
  </si>
  <si>
    <t>Tx based they do the primary immuno deficeincy ngs, medicare licensed and accept patients from allstates, meething thursday 10 pm our time , 2pm</t>
  </si>
  <si>
    <t>BENJAMIN'S DME LLC</t>
  </si>
  <si>
    <t>meeting today pm ourtime, asked to cb after 20 min
VM - ben</t>
  </si>
  <si>
    <t>BENIAMIN YUNUS</t>
  </si>
  <si>
    <t>516-398-8183</t>
  </si>
  <si>
    <t>info@benjaminspharmacy.com</t>
  </si>
  <si>
    <t>LIVEWELLDME LLC</t>
  </si>
  <si>
    <t>NY Based ,supply ORT, CGM ,Mediacre liscenced ,ships nationwide ,interested to know more said to give him a call at 10.00 mon 17 am his time on mon 8/6</t>
  </si>
  <si>
    <t>Zaman Ali Ansari</t>
  </si>
  <si>
    <t xml:space="preserve">Said he is interested to work but he said that if he will start something he will start it in october cb 1/10 </t>
  </si>
  <si>
    <t>ODESSA MEDICAL SUPPLY INC.</t>
  </si>
  <si>
    <t>872-806-5630</t>
  </si>
  <si>
    <t>Mariet Torosian</t>
  </si>
  <si>
    <t>livewelldmellc@gmail.com</t>
  </si>
  <si>
    <t>818-426-4815</t>
  </si>
  <si>
    <t>Wed 8:00:PM</t>
  </si>
  <si>
    <t>info@odessamedicalsupply.com,</t>
  </si>
  <si>
    <t>- IL based ship all states medicare liscenced ORT CGM MEETING TMRW AT 12 PM CST 8 PM OUR TIME 6/30 - Talked with him said to cb next monday because he is still discussing it selene 7/10 - zaman gave a cb said prices are expensive but will dicuss it tommrow at 1 pm cst 9 pm our time 8/5</t>
  </si>
  <si>
    <t>Thu 8:30 PM</t>
  </si>
  <si>
    <t>Zaman was more interested in Braces than CGM, then i convinced him of CGM , But he took the prices with two modules ( pay per prescription and pay per hour ) and he will think about it and get back to me , Call him 07/10/2025</t>
  </si>
  <si>
    <t>ca basesd ship all states, medicare licensed , supply ort and cgm, send email</t>
  </si>
  <si>
    <t>END 2 END</t>
  </si>
  <si>
    <t>GEORGE D WELCH</t>
  </si>
  <si>
    <t>773-350-9435</t>
  </si>
  <si>
    <t>gwelch414@gmail.com</t>
  </si>
  <si>
    <t>BRICKTOWNE PHARMACY LLC</t>
  </si>
  <si>
    <t>KALU NDUKWE</t>
  </si>
  <si>
    <t>IL based does the ngs immune deficeincy test for respratory condition, medicare li ebnse can bill medicare but not sure about accepting all states or not said weill check eith his biller, send email, meeting on wednesday he said prefer call meeting</t>
  </si>
  <si>
    <t>Boca Connections</t>
  </si>
  <si>
    <t>732-604-5576</t>
  </si>
  <si>
    <t>he said he didnt review the email , and if intrested will reply to the email,-meeting on monday 10 pm our time 3pm our time , MEETING 03/16/2026 1 PM cst , he thinks that there will be alot of problem in the billings , i will do a presentation to him and his team to at wednesday 1 : 00 pm CST</t>
  </si>
  <si>
    <t>Khalil Shafiq</t>
  </si>
  <si>
    <t>bricktownepharmacy@gmail.com</t>
  </si>
  <si>
    <t>TUE 7:00 PM</t>
  </si>
  <si>
    <t>Based in NJ. He supplies ORT, CGM, and Lymph. He has Medicare and PPO and can ship nationwide 8/10</t>
  </si>
  <si>
    <t>VM HEALTHCARE SUPPLY</t>
  </si>
  <si>
    <t>MARTA VISCOMI</t>
  </si>
  <si>
    <t>786-409-1864</t>
  </si>
  <si>
    <t>martaviscomi@hotmail.com</t>
  </si>
  <si>
    <t>FL Based , Medicare, Ships all states supplies ORT she said she will speak to her office manager to see how much ORT in stock they have. Not the best english ,she is very busy today because she is travelling she said to call her tmrw meeting wed 1 pm EST 8 pm our time 12/15</t>
  </si>
  <si>
    <t>Voicemail 12/17/2025</t>
  </si>
  <si>
    <t>MYGENOMICS, LLC</t>
  </si>
  <si>
    <t>SHOEB AHMAD</t>
  </si>
  <si>
    <t>855-647-4363</t>
  </si>
  <si>
    <t>info@mygenomics.com</t>
  </si>
  <si>
    <t>Adl Ortho Solutions Inc</t>
  </si>
  <si>
    <t>GA based ,has ngs and do all tests bill medicare, accept patients nation wide, meeting tomw</t>
  </si>
  <si>
    <t>Jose Tamez</t>
  </si>
  <si>
    <t>meeting on friday 3pm his time, he is more interested in the PGX and wants to know the reimbursements and the CPT codes used for that</t>
  </si>
  <si>
    <t>956-578-2446</t>
  </si>
  <si>
    <t>JOSE@ADLORTHO.COM</t>
  </si>
  <si>
    <t>Mon 9:30:PM</t>
  </si>
  <si>
    <t>NY Based, interested about cgm, knows about prices and process</t>
  </si>
  <si>
    <t>Sent an email + contract , Will send him the invoice shortly</t>
  </si>
  <si>
    <t>Marquis Health Solutions Inc</t>
  </si>
  <si>
    <t>ROYAL QUAIL BUSINESS SOLUTIONS LLC</t>
  </si>
  <si>
    <t>Kyle Webb</t>
  </si>
  <si>
    <t>AKINKAWON FRIERSON</t>
  </si>
  <si>
    <t>415-710-4094</t>
  </si>
  <si>
    <t>his personal number 904) 610-7920/ 904-217-0479</t>
  </si>
  <si>
    <t>afrierson@arcpointlabs.com</t>
  </si>
  <si>
    <t>kwebb@marquishealthinc.com</t>
  </si>
  <si>
    <t>Tue 11:00 PM</t>
  </si>
  <si>
    <t>Medi Source Medical Supply</t>
  </si>
  <si>
    <t>Fl based, bill medicare, accept pt allstates, do immune deficiency work also with QUEST LAB, meeting tmow</t>
  </si>
  <si>
    <t>wants to talks to his Compliance Officer, meeting tuesday
VM 2/5</t>
  </si>
  <si>
    <t>Aaron Mosheyev</t>
  </si>
  <si>
    <t>he is doing ngs and already getting around 30 patients , but he never pays upfront payment he wants to review the document again and he will get back to us</t>
  </si>
  <si>
    <t>646-269-0989</t>
  </si>
  <si>
    <t>Voice mail 01/13/2025
VM</t>
  </si>
  <si>
    <t>Business : DME &amp; CGM
NY based all states, works with medicare, interested spoke about prices, process, Will wait for his partner to come back from his vacation before he takes any step working with us.</t>
  </si>
  <si>
    <t>NO ANSWER</t>
  </si>
  <si>
    <t>AXIOM MEDICAL SUPPLIES INC</t>
  </si>
  <si>
    <t>Direct Dme, Inc.</t>
  </si>
  <si>
    <t>Jennifer Colby</t>
  </si>
  <si>
    <t>AMIT CHAND</t>
  </si>
  <si>
    <t>(586) 243-3148</t>
  </si>
  <si>
    <t>718-669-4945</t>
  </si>
  <si>
    <t>jcolby@rtdlabs.com</t>
  </si>
  <si>
    <t>amit.chand@axiommedicals.com</t>
  </si>
  <si>
    <t>Fri 7:00:PM</t>
  </si>
  <si>
    <t>Medicare licensed, CGM, ship to most states, seemed intersted scheduled a meeting for tmr at 12pm EST</t>
  </si>
  <si>
    <t>- NJ Based , Medicare liscenced and works on medicaid too serve NY NJ but doesnt mind expanding nationwide provides ORT meeting next thursday 7 pm our time 12 pm est -selene 3/5</t>
  </si>
  <si>
    <t>I had a board meeting with 6 of them , they asked me all the questions , they wanted to have a set up maybe for the first of august , they want us to send them a contract then they will send us BAA to sign , they want to work first in 10 states only and then add more states moving forward</t>
  </si>
  <si>
    <t>HEIDE'S MASTECTOMY SERVICES, INC.</t>
  </si>
  <si>
    <t>KATHLEEN HEIDE-WRAZIDLO</t>
  </si>
  <si>
    <t xml:space="preserve">he has two location one in NY and the other is in NJ , they have horizon aetna and humana , they can only accept leads in NJ and NY , he needs to know more about Palmetto ( For ort and for the CGM devices) , he is working with atalntis RC, www.axiom.com, his partner kevin james , Send the prcie list for ORT and CGM and avg. reimbursments and palmetto pdf's for the states that you can work without a license, also try to mention that the CGM is recurrent revenue Ben Arthur Selene myles , he is interested and he wants to work
vm, ben , medicare / medicaid / no private insurances only nj and ny , 5 orders a week Back / kness / wrists / ankle and shoulders
- he told me that he spoke to george and they said prices too high and there is no profit 8/18 </t>
  </si>
  <si>
    <t>952-925-7837</t>
  </si>
  <si>
    <t>kathyheide@aol.com</t>
  </si>
  <si>
    <t>MN based, works with the whole B jursdiction I don't know if they can expand more than that. Spoke about the process, sent her an email and google invite.</t>
  </si>
  <si>
    <t>DEDICATED MEDICAL PROVIDERS LLC</t>
  </si>
  <si>
    <t>Peter Kuntz</t>
  </si>
  <si>
    <t>Next Step Home Deals</t>
  </si>
  <si>
    <t>Ollie Garcia</t>
  </si>
  <si>
    <t>(717) 790-1735/(717) 827-6916</t>
  </si>
  <si>
    <t>ollie.garcia696@gmail.com</t>
  </si>
  <si>
    <t>Thu 11:00PM</t>
  </si>
  <si>
    <t>- Ollie the owner provides fair cash offers Interested to know more about our lead generation process and how we operates explained process and qulaity check and payment module meeting Thursday 4 pm EST 11 pm our time -selene 10/28 - I was able to reach out to him he said he thought about it he seems hesistant to enter meeting he asked prices he said he was ni because he found another way but i convinced him to review what we have he said he will review the email will reach out on monday 10/31</t>
  </si>
  <si>
    <t>PROSUM DME LLC</t>
  </si>
  <si>
    <t>Najee</t>
  </si>
  <si>
    <t>747-201-9362 EXT 808 / 7472001417 DIRECT LINE</t>
  </si>
  <si>
    <t>info@prosumhealth.com</t>
  </si>
  <si>
    <t>Fri 11:00:PM</t>
  </si>
  <si>
    <t>CA based can ship all states but said want to start with JUR D since they are looking for CGM nad ORT Suppliers Najee said that they are accredited they look new meeting tmrw thu 1 pm pst 11 pm our time -selene 8/21</t>
  </si>
  <si>
    <t>Ben Arthur SEND THEM ALL THE INFO FOR cgm / oRTHOPEDIC BRACES , tHE PRICES , tHE WEBSTIE FOR THE FREE STATE ZONE
waiting for the account to be sret up for monday , Check on the wednesday 09-24-2025</t>
  </si>
  <si>
    <t>Care First Equipments Llc</t>
  </si>
  <si>
    <t>Azher Farooq</t>
  </si>
  <si>
    <t>270-293-7849</t>
  </si>
  <si>
    <t>azherf04@gmail.com</t>
  </si>
  <si>
    <t>Fri 11:00PM</t>
  </si>
  <si>
    <t>Medicare licensed, all states, spoke about our process but not deeply, didn't send him an email about our company just the meeting
-called again he had a fraud concern, that what we do is fraudulent, I handled him and meeting is today at 2pm their time</t>
  </si>
  <si>
    <t>direct to Voice mail 08/29/2025</t>
  </si>
  <si>
    <t>NEXUS SOLUTIONS AND FINGERPRINTING, LLC</t>
  </si>
  <si>
    <t>CARING MED LLC</t>
  </si>
  <si>
    <t>TIERA TRASK</t>
  </si>
  <si>
    <t>BASHAR IMASH</t>
  </si>
  <si>
    <t>504-460-5861</t>
  </si>
  <si>
    <t>(478) 972-9724</t>
  </si>
  <si>
    <t>nexussolutionsservices@gmail.com</t>
  </si>
  <si>
    <t>Bashar@caringmeds.com</t>
  </si>
  <si>
    <t>Fri 5:30 PM</t>
  </si>
  <si>
    <t>Mon 6:30:PM</t>
  </si>
  <si>
    <t>vm ben 7/22</t>
  </si>
  <si>
    <t>- Mediacre Liscenced , ships all states have liscencetp supply CGM ORT he feels inexperienced i had to throughly explain what we do but he really like our services and wnated to know more meeting Mon 11.30 est 6.30 pm our time -selene 5/8</t>
  </si>
  <si>
    <t>she wants a reference lab to see how much would it cost her to run the test and whether she can bill the insurance herself, will talk to her on fridy same time</t>
  </si>
  <si>
    <t>he is waiting for the states that doesn't require a license to work , I will send him today and get back to you</t>
  </si>
  <si>
    <t>Novamed Care Llc</t>
  </si>
  <si>
    <t>Muhammad Qamar</t>
  </si>
  <si>
    <t>718-249-9690</t>
  </si>
  <si>
    <t>novamedcare@gmail.com</t>
  </si>
  <si>
    <t>2025 -</t>
  </si>
  <si>
    <t>Medicare licensed, all states, told him our process, he was not rude at all sent only the calendar invitation</t>
  </si>
  <si>
    <t>DOC 2/5 VM</t>
  </si>
  <si>
    <t>JENTAL LABZ LLC</t>
  </si>
  <si>
    <t>ROSETTA M GABRIEL</t>
  </si>
  <si>
    <t>504-377-3276</t>
  </si>
  <si>
    <t>jentallabz@gmail.com</t>
  </si>
  <si>
    <t>Family Medical Supply Inc</t>
  </si>
  <si>
    <t>LA based, do immune deficeincy test and work with quest labs for their results, medicare licensed, and accept pt dfrom all states, meetying monday on 10 pm</t>
  </si>
  <si>
    <t>Ruslan Musaev</t>
  </si>
  <si>
    <t>347-708-3333</t>
  </si>
  <si>
    <t>she colllection site and she reference everything to Quest Diagnostic and she doesn't have the Machianry it'self , she didn't receive the email , she has a lab in mind ( ERIC) , call back on friday 11 am , asked to reschedule 1 :30 pm , she is still waiting on eric to respond back to her and she saved my number either she call me or i call her back in a week , she didn't enter the meeting and i left a voice mail , she talked to eric</t>
  </si>
  <si>
    <t>familymedicalsupply@gmail.com</t>
  </si>
  <si>
    <t>Mon 6:30PM</t>
  </si>
  <si>
    <t>Tristate based, willing to do all states, he seemed interested and wanted to have a call he even checked on the phone with me his calendar to make sure that he's free</t>
  </si>
  <si>
    <t>not available ight now assistant took a message and will call me back</t>
  </si>
  <si>
    <t>D&amp;S CONFIDENTIAL COLLECTIONS</t>
  </si>
  <si>
    <t>Nikki</t>
  </si>
  <si>
    <t>904-566-0353</t>
  </si>
  <si>
    <t>TBH Remodeling LLC.</t>
  </si>
  <si>
    <t>nikkiscpr@gmail.com</t>
  </si>
  <si>
    <t>Mr.aquiles</t>
  </si>
  <si>
    <t>WED 6:00 PM</t>
  </si>
  <si>
    <t>713-269-3492</t>
  </si>
  <si>
    <t>texashomeremodeling9@gmail.com</t>
  </si>
  <si>
    <t>She is a collection site, mentioned she can work as a milldleman and get a cut, she wants to understand how we can collaborate together and wants to know the prices</t>
  </si>
  <si>
    <t>Wed 6:30PM</t>
  </si>
  <si>
    <t>She will be checking with a friend who has the equipment and asked for another meeting next monday</t>
  </si>
  <si>
    <t>he is intrested and he do all the remodelinmg but he works in texas only</t>
  </si>
  <si>
    <t>interested</t>
  </si>
  <si>
    <t>2026 -</t>
  </si>
  <si>
    <t>Auto Insurance</t>
  </si>
  <si>
    <t>Southland Auto Insurance Services</t>
  </si>
  <si>
    <t>WEST GEORGIA DIAGNOSTIC TESTING LLC</t>
  </si>
  <si>
    <t>Christopher Gomez</t>
  </si>
  <si>
    <t>MATRICE BENSON</t>
  </si>
  <si>
    <t>623-882-4574</t>
  </si>
  <si>
    <t>678-777-1917</t>
  </si>
  <si>
    <t>WESTGEORGIADIAGNOSTIC23@gmail.com</t>
  </si>
  <si>
    <t>info@southlandinsurancesvcs.com</t>
  </si>
  <si>
    <t>Tue 10:00:PM</t>
  </si>
  <si>
    <t>Have the equipment and can accept medicare PT</t>
  </si>
  <si>
    <t>- AZ based chris is a partner at the agency he said he needs VAs in the next couple of months and he was interested to have an email and get an intro call next tuesday 11 pm our time 1 pmm MST</t>
  </si>
  <si>
    <t>no show / voice mail</t>
  </si>
  <si>
    <t>AZ TX ALL INUSRACCE EXPECT INSUERANCE CREATE PRESTATION</t>
  </si>
  <si>
    <t>TRI-STATE LABS MANAGEMENT INC</t>
  </si>
  <si>
    <t>MOHMMAD IGBARA</t>
  </si>
  <si>
    <t>917-488-3113</t>
  </si>
  <si>
    <t>mohammed.igbara@yahoo.com</t>
  </si>
  <si>
    <t>WED 9:30 PM</t>
  </si>
  <si>
    <t>PROCARE EQUIPMENT AND SUPPLIES INC</t>
  </si>
  <si>
    <t>NY based, has a lab in Nj, do immune ngs test accept pts allstates also opening and medicare licensed but weill be able to bill in 2 omnths, He wanted to know more and the prices, meeting tomw 9:30 pm,</t>
  </si>
  <si>
    <t>KHALIL SHAFIQ</t>
  </si>
  <si>
    <t>mike spoke with him and his parter, they are new to the process, he explained all the process and they wanted to review the email again and meeting on monday for follow up same time 4/8</t>
  </si>
  <si>
    <t>DNC</t>
  </si>
  <si>
    <t>MO MED SUPPLY LLC</t>
  </si>
  <si>
    <t>Syed H Kidwai</t>
  </si>
  <si>
    <t>224-409-7428</t>
  </si>
  <si>
    <t>momedsupplies@gmail.com</t>
  </si>
  <si>
    <t>Tues 7:30PM</t>
  </si>
  <si>
    <t>BURGEON MEDIX LLC</t>
  </si>
  <si>
    <t>QUEEN-ESTHER ADAOBI RAPHAEL</t>
  </si>
  <si>
    <t>Julio Amorim</t>
  </si>
  <si>
    <t>470-469-1945</t>
  </si>
  <si>
    <t>info@burgeonmedix.com</t>
  </si>
  <si>
    <t>-MO Based , Medicare liscenced , CGM ORT sent email has issues with optin forms want legit stuff he said he wants the opt in forms stuff to be included in the contract he said he wants to works only if its legit meeting tuesday 9/2 7.20 our time 11.30 AM CST -selene 8/28</t>
  </si>
  <si>
    <t>Thu 11:30 PM</t>
  </si>
  <si>
    <t>he said he will call me back later 09/02/2025
- Meeting moved to Mon same time 9/4</t>
  </si>
  <si>
    <t>GA based, Medicare, interested set meeting with us and email for her edits to proposal</t>
  </si>
  <si>
    <t>SPOKE With mike, want to follow up with her to scheudle the next meeting</t>
  </si>
  <si>
    <t>Waqas Chaudhry</t>
  </si>
  <si>
    <t>EXPRESS PHARMACY &amp; DME</t>
  </si>
  <si>
    <t>DANIEL AMOH</t>
  </si>
  <si>
    <t>210-981-9690</t>
  </si>
  <si>
    <t>danrph.md@gmail.com / anc@pdmhealthcare.com</t>
  </si>
  <si>
    <t>THU 19:00 PM</t>
  </si>
  <si>
    <t>OH Based, CGM, Medicare, dropshipping, knows process and cgm hourly</t>
  </si>
  <si>
    <t xml:space="preserve">He wants a presentation for all the service and the billers he is interested in CGM , they are trying to do 30 patients a month , he wants a presentation before wednesday 4 pm 29th ,
he wants palmetto website , pdf of the states , price module pay per hour and pay per referral , a meeting on friday 2:30 pm to both emails
VM </t>
  </si>
  <si>
    <t>Lahsib Shaf</t>
  </si>
  <si>
    <t>MEDICON CLINICAL LAB LLC</t>
  </si>
  <si>
    <t>MAGDA GAD</t>
  </si>
  <si>
    <t>973-910-6632</t>
  </si>
  <si>
    <t>mediconbroad26@yahoo.com</t>
  </si>
  <si>
    <t>FOLLOW UP</t>
  </si>
  <si>
    <t>she wanted to know what tests can we do , and she is interested in toxicology and she is thinking about 25% to 30% from the reimbursements and she wanted a google sheet with all the tests and their average reimbursements , she wants a list of all our test , cpt codes and the average reimbursments and what we charge so she can her percentage on it</t>
  </si>
  <si>
    <t>Allboro One Medsupply Inc.</t>
  </si>
  <si>
    <t>SIX POINT CONSULTING LLC</t>
  </si>
  <si>
    <t>DONOVAN SHULTZ</t>
  </si>
  <si>
    <t>Josephine Prinston</t>
  </si>
  <si>
    <t>318-884-0552 | 318-237-6572 | 318-475-5425</t>
  </si>
  <si>
    <t>347-247-7696</t>
  </si>
  <si>
    <t>dshultz@six-point.org</t>
  </si>
  <si>
    <t>jprinston6@yahoo.com</t>
  </si>
  <si>
    <t>NY based but can ship to all states, Medicare licensed, spoke about the process, she told me that she's the decision maker however she tried to transfer me to someone else so I'm not sure if she's the only decision maker or not</t>
  </si>
  <si>
    <t>she wanted to reviewe the email with me for us to explain everything for her , that she will call me and discuss with me</t>
  </si>
  <si>
    <t>NI</t>
  </si>
  <si>
    <t>Lula Bell Medical Supplies &amp; Equipment Llc</t>
  </si>
  <si>
    <t>Troyetta Howard</t>
  </si>
  <si>
    <t>ASTRA GO INC (Parent Company)</t>
  </si>
  <si>
    <t>346-329-8888</t>
  </si>
  <si>
    <t>Pinchas Kalantarov</t>
  </si>
  <si>
    <t>LULABELLMEDICALSUPPLIESLLC@GMAIL.COM
misstrhoward85@gmail.com</t>
  </si>
  <si>
    <t>718-415-9028</t>
  </si>
  <si>
    <t>Thu 9:15</t>
  </si>
  <si>
    <t>- TX Based, licensed interested in both cgm &amp; ort, sent her info with ort prices</t>
  </si>
  <si>
    <t>Business : DME &amp; CGM
Call Time : {03:31} one company with 6 dme's under him, he was the one to ask or a meeting after discussing process, works All States,
VM 11/25</t>
  </si>
  <si>
    <t>We met again on the 21th nov. Talked a lot about a telehealth network of his (Astro go) and then we discussed DME. Wants to work with us and compare prices. Will talk again so.</t>
  </si>
  <si>
    <t>Active Therapy Supply, Inc</t>
  </si>
  <si>
    <t>Roza Minazova</t>
  </si>
  <si>
    <t>718-544-2850</t>
  </si>
  <si>
    <t>ectivebraces@gmail.com</t>
  </si>
  <si>
    <t>Mon 7:30PM</t>
  </si>
  <si>
    <t>ERROR: Invalid date format</t>
  </si>
  <si>
    <t>on a vacation and will be back in two weeks (09/19/2025)</t>
  </si>
  <si>
    <t>LA Based, Can do NGS and can accept medicare PT</t>
  </si>
  <si>
    <t>All Health Dme Inc</t>
  </si>
  <si>
    <t>WEST COAST DME &amp; SUPPLIES LLC</t>
  </si>
  <si>
    <t>Eduard Katanov / ALBERT</t>
  </si>
  <si>
    <t>Mr. Michael Gregory Wells</t>
  </si>
  <si>
    <t>347-808-7441(EDDY)
917-612-2879 (ALBERT)</t>
  </si>
  <si>
    <t>909 908 3920</t>
  </si>
  <si>
    <t>mwells@orthoxpress.com</t>
  </si>
  <si>
    <t>Wed 9:30PM</t>
  </si>
  <si>
    <t>Business : DME called eduard he gave me alberts number, spoke to albert the manager about process, location,dme prices, has a concern about the kickback law wanted to know if we do fixed rate for braces allmed.m.t@gmail.com</t>
  </si>
  <si>
    <t>CA based, medicare licensed, suppply ortho ship allsttaes, meeting on monday 7:30 our time</t>
  </si>
  <si>
    <t>he is doing around couple of hundereds of patients a month he will discuss it with the board he wants another meeting next friday same time and he would review the contract and the doctor order sample with his team and if he is interested next meeting we will talk about numbers</t>
  </si>
  <si>
    <t>We spoke today 12/4/2024 he said his payemnts from medicare are being issued but he can't receive them.. he is waiting to solve that problem and then will talk again before christmas</t>
  </si>
  <si>
    <t>Hanged up on me</t>
  </si>
  <si>
    <t>Medical Supply Pointe</t>
  </si>
  <si>
    <t>talked to him again after two weeks on DME Desk 06/09/2026</t>
  </si>
  <si>
    <t>Vincent Orobosa</t>
  </si>
  <si>
    <t>AffordableONE Kirkendall Insurance</t>
  </si>
  <si>
    <t>Donald ( Don)</t>
  </si>
  <si>
    <t>(407) 359-5904</t>
  </si>
  <si>
    <t>N J Planet Medical &amp; Surgical Supply</t>
  </si>
  <si>
    <t>insuranceman@affordableone.com</t>
  </si>
  <si>
    <t>Aamir Siddiqui</t>
  </si>
  <si>
    <t>844-305-3428</t>
  </si>
  <si>
    <t>monday 11:00</t>
  </si>
  <si>
    <t>winter park FL Based he wants some cold caller ( outbound callers ) to get him more clients for his Company</t>
  </si>
  <si>
    <t>call him back friday 08/15/2025</t>
  </si>
  <si>
    <t>AAMIR@PLANETMEDSUPPLY.COM</t>
  </si>
  <si>
    <t>Thu 10:30 PM</t>
  </si>
  <si>
    <t>Business : DME &amp; CGM
Interested, spoke about process,Loctation Discussed prices, wants suppliers' info for CGM NJ Based All States + Medicare,First time doing Marketing,</t>
  </si>
  <si>
    <t>Decided to pass 12/4/2024</t>
  </si>
  <si>
    <t>he has another campaign going on , and he believes about face to face encounters, he has already a campaign going on</t>
  </si>
  <si>
    <t>Dme Direct Inc</t>
  </si>
  <si>
    <t>XAVIER INTERNATIONAL LABORATORIES</t>
  </si>
  <si>
    <t>David C Ogbolumani</t>
  </si>
  <si>
    <t>DANIEL XAVIER</t>
  </si>
  <si>
    <t>786-320-3328</t>
  </si>
  <si>
    <t>xavierinvestmentgroupllc@gmail.com</t>
  </si>
  <si>
    <t>TUE 9:00 PM</t>
  </si>
  <si>
    <t>FL Based, Medicare, NGS, can do out of state patients 4/21</t>
  </si>
  <si>
    <t>Next tuesday, 3 pm est, good candidate, he will ask about the reimbursement, he do about 50-65, he worked with marketers before, let's do a follow up on thursday same time he got me the reimbursements for PGX and immuno and he wants a a quarter map for how we can do business togetherand what will work best for him and how we can mix it together, ben i need you to look to other emaiils from him and us to be able to send something out today , I SENT HIM A PROPOSAL 05/05/2026
meeting on monday 8/14</t>
  </si>
  <si>
    <t>Care DME</t>
  </si>
  <si>
    <t>Krishna</t>
  </si>
  <si>
    <t>he got me the reimbursements for PGX and immuno and he wants a a quarter map for how we can do business togetherand what will work best for him and how we can mix it together, ben i need you to look to other emaiils from him and us to be able to send something out today</t>
  </si>
  <si>
    <t>321-402-6716</t>
  </si>
  <si>
    <t>second week of JAN</t>
  </si>
  <si>
    <t>Will resume in Jan Wants subjective PCP and CGM</t>
  </si>
  <si>
    <t>LIFE DME LLC</t>
  </si>
  <si>
    <t>Ferass Safadi</t>
  </si>
  <si>
    <t>219-795-1296 ext112</t>
  </si>
  <si>
    <t>Customer Contact Panel</t>
  </si>
  <si>
    <t>il based , pcp , cgm, medicare licensed, meeting 5:30 ou time and friday and 9 :30 am 3/4</t>
  </si>
  <si>
    <t>Phil Kitchen</t>
  </si>
  <si>
    <t>PRISTINE MEDICAL EQUIPMENT AND ACCESSORIES INC</t>
  </si>
  <si>
    <t>Interested in CGM CPL, will crunch the numbers and we should meet again DOC 3/7/2025. Friday 10 AM follow up, will need a proposal on the pricing and a contract.</t>
  </si>
  <si>
    <t>Kacey</t>
  </si>
  <si>
    <t>phil.kitchen@customercontactpanel.com</t>
  </si>
  <si>
    <t>No Medicare</t>
  </si>
  <si>
    <t>Fri 2:00:PM</t>
  </si>
  <si>
    <t>410-720-9002</t>
  </si>
  <si>
    <t>-Phil was interested to have a meeting with us on friday 25th 11 am uk time and 1 pm our time -selene 7/21</t>
  </si>
  <si>
    <t>Ak Jersey Inc</t>
  </si>
  <si>
    <t>info@pmeACCESSORIES.com</t>
  </si>
  <si>
    <t>we need to sign a contract to start working with them</t>
  </si>
  <si>
    <t>Asif Khan</t>
  </si>
  <si>
    <t>888-632-1074 EXT.101</t>
  </si>
  <si>
    <t>She wants to know more about the service and how it can help her business</t>
  </si>
  <si>
    <t>He will be sending her more infor and she will check with her team and follow up with us ( GEORGE ) . she is not interested any more maybe in couple of months 06/19/2026</t>
  </si>
  <si>
    <t>VK DIAGNOSTICS</t>
  </si>
  <si>
    <t>AJAY KOHLI</t>
  </si>
  <si>
    <t>630-677-4534</t>
  </si>
  <si>
    <t>ajay@kohealthtech.com</t>
  </si>
  <si>
    <t>TX based, can bill medicare, and run NGS</t>
  </si>
  <si>
    <t>cohealth labs , this is the newlab name, he is very skyptical about the compliance and he wants to read the contract with the fixed amount fee and to review it with his team, he wants a specific explanation about the process the fees to be paid, i will send over an email for him</t>
  </si>
  <si>
    <t>EXCELSIOR DIAGNOSTIC LABORATORIES</t>
  </si>
  <si>
    <t>IRFAN S CHAUDHRY</t>
  </si>
  <si>
    <t>917-364-9486/ 718) 808-2822</t>
  </si>
  <si>
    <t>excelsiordiagnosticlab@gmail.com</t>
  </si>
  <si>
    <t>NJ based he do the ngs and the ngs machine , he said they are caped for now but will be able to start in month, he bill medicare a, accept patients nation wide , and would like to know more about us in a meeting tomw before we start all over when he is ready4/22</t>
  </si>
  <si>
    <t>he is interested to resume talks on the 14th of may 12 pm, he is already working with other marketers and looking to expand he wants us to send him our contract for him to send it to his attorney, send the regular email, if you are already send it send the contract in a different email and a calender invit , he is doing immuno neuro and cardio and cgx e on the 14th , you are waiting on audit from 30 to 60 days, still on audit when he is done will reach out to us.</t>
  </si>
  <si>
    <t>Interested, Spoke about prices, Loctaion, has multiple DMEs Doesn't have Medicare yet, only works with PPO</t>
  </si>
  <si>
    <t>Doesn't have Medicare yet, only works with PPO</t>
  </si>
  <si>
    <t>Purecure Medical, Inc</t>
  </si>
  <si>
    <t>GENOME INSIGHT INC</t>
  </si>
  <si>
    <t>Joseph F Dunn</t>
  </si>
  <si>
    <t>215-542-9220</t>
  </si>
  <si>
    <t>VEENA SINGH</t>
  </si>
  <si>
    <t>Thu 9th Jan 25</t>
  </si>
  <si>
    <t>veesingh08@gmail.com</t>
  </si>
  <si>
    <t>READY CARE DME</t>
  </si>
  <si>
    <t>Works Medicare, Wants to know if he can speak with some of our clients, had issue with reimbursements (quality of patients) , first time called him around 8pm cairo
NO CGM NO ORT NO LYMPH 12/12/2025</t>
  </si>
  <si>
    <t>Stupid and said he will never get paid for off the shelf, not experienced.</t>
  </si>
  <si>
    <t>Ca based able to do ngs ,bill medicare ,accept pt allstates</t>
  </si>
  <si>
    <t>Brian White</t>
  </si>
  <si>
    <t>send the CPT codes / what kind of tests and the reimbursmenets , he wants to summarize everything on an email on friday or early next week , need a follow up next week , she will work as a middle man , call her next friday if you find out the reimbursements</t>
  </si>
  <si>
    <t>774-418-4268 / 781-514-5414 WA</t>
  </si>
  <si>
    <t>readycaredme@gmail.com / brian@readycaredme.com</t>
  </si>
  <si>
    <t>-Medicare Liscenced, all states , CGM but he said if he liked us will expand ORT PCP he said he wants to work with telemarketers he said he will work with us as long as we follow the (medicare sfae harbour guidlines) meeting Fri 12 pm est 6 pm our time -selene 4/10 - He said he is interested to have another call he said to talk on fri 3 pm est 9 pm our time -selene 5/7</t>
  </si>
  <si>
    <t>Park Avenue Medical Equipment Llc</t>
  </si>
  <si>
    <t>PINNACLE BIOLABS, INC</t>
  </si>
  <si>
    <t>Interested in CGM, will require contract to review. plus the samples... Has concerns with payment and need referenece to check our service with. DOC 4/14/2025 We spoke about his contract and said we should meet in the middle in regards to the script he wants us to use! I will wait for him to get back to me after he talks to his Lawyer. Will call back on Monday because his lawyer didn't get back to him yet. DOC 4/18/2025. DOC 4/21/2025. his lawyer didn't get back to him yet, I will have to CB NO Answer 3 times 4/29/2025</t>
  </si>
  <si>
    <t>Puccini Inokon</t>
  </si>
  <si>
    <t>ANSHUMAN LUV BAKSHI</t>
  </si>
  <si>
    <t>646-244-8595</t>
  </si>
  <si>
    <t>512-909-8867</t>
  </si>
  <si>
    <t>banshumanluv@berkeley.edu</t>
  </si>
  <si>
    <t>"NY Based , supply All States, Medicare, doesn't do medicare but said he has affiliates sent email
resent mail,
Recheduled for wednesday 11 am</t>
  </si>
  <si>
    <t>May signup ofr PPO Patients per lead Tristate</t>
  </si>
  <si>
    <t>Tx based, do ngs and has the machine, bill medicare and accept pts from allstates 4/23, sent email</t>
  </si>
  <si>
    <t>follow up meeting on friday whatsapp group , he will introduce me to a lab in florida, me and him and mike and his referral will talk tomorrow night, he will create a group chat and we will decide the exact time</t>
  </si>
  <si>
    <t>8/22/2024(no show)
1/2/2025</t>
  </si>
  <si>
    <t>Star Dme Inc</t>
  </si>
  <si>
    <t>Arik Malakov</t>
  </si>
  <si>
    <t>888-918-0373</t>
  </si>
  <si>
    <t>Mon 10:30 PM</t>
  </si>
  <si>
    <t>NY Based, Interested CGM&amp;DME, no show -Spoke again, has concerns with compliance</t>
  </si>
  <si>
    <t>Greater Hills Med Supply Llc</t>
  </si>
  <si>
    <t>SEHTEJ LLC</t>
  </si>
  <si>
    <t>HARWINDER KAUR (SONIA)</t>
  </si>
  <si>
    <t>Ron Hill</t>
  </si>
  <si>
    <t>386-717-0081</t>
  </si>
  <si>
    <t>blooddraw.info@gmail.com</t>
  </si>
  <si>
    <t>FRI 8 PM</t>
  </si>
  <si>
    <t>214-900-7284</t>
  </si>
  <si>
    <t>BESTCHOICE DME, INC.</t>
  </si>
  <si>
    <t>Sonya,NGS, Medicare phlebotomy but said they can do, wants an email first 3/30
got the email, 4/29, wants a meeting</t>
  </si>
  <si>
    <t>greaterhillstransportation@yahoo.com</t>
  </si>
  <si>
    <t>STEPHANIE</t>
  </si>
  <si>
    <t>Collection site, will agree on a referral program where she is getting a profit share for free 3-6 months</t>
  </si>
  <si>
    <t>917736 2207</t>
  </si>
  <si>
    <t>Z Z Best Inc</t>
  </si>
  <si>
    <t>Mon 10:30PM</t>
  </si>
  <si>
    <t>Keith Brown</t>
  </si>
  <si>
    <t>ncastro@newsolutionny.com</t>
  </si>
  <si>
    <t>706-945-7913</t>
  </si>
  <si>
    <t>Tue 6:00:PM</t>
  </si>
  <si>
    <t>TX BASED, All States, knows about process</t>
  </si>
  <si>
    <t>Wed 9:15 PM</t>
  </si>
  <si>
    <t>CGM &amp; DME / GA based / Interested / all states, works medicare
-
Called him said they were busy with renovations</t>
  </si>
  <si>
    <t>MR NELSON, ny based , ship all states dme and cgm, have medicare licensed and waiting for the medicaid prefer to work with both license but he is intrested to attend meeting to speak about it then will see how it goes from there, pcp orders, meetoing tomw 6 pm ou time and 12 pm his time 4/14</t>
  </si>
  <si>
    <t>Very interested, will talk to his team to get them on a DEMO for tomorrow and once we are done we will drop a trial patient and wait for them to process and launch our campaign next week. We had a Demo today 4/16/2025 and we will start the trial potentially next Monday.. DOC 4/21/2025 He is still sitting up accounts with the suppliers, Will give me a call back this week to start trial. Will take trial on Friday because he can't bill before the 6th. DOC 4/29</t>
  </si>
  <si>
    <t>Elated Medical Supplies Llc</t>
  </si>
  <si>
    <t>Shekelia Stokes</t>
  </si>
  <si>
    <t>313-414-3120</t>
  </si>
  <si>
    <t>info@elatedmedical.com</t>
  </si>
  <si>
    <t>FEB 20TH</t>
  </si>
  <si>
    <t>Interested spoke about process,location. MI ONLY A FIRST, HIGH CHANCE FOR JUR B
works with medicare / Call her monday left a VM
She spoke to bassam
cb in a month</t>
  </si>
  <si>
    <t>We are waiting for her license and she should start as soon as she consult her team and get her license (EMAIL on 2/7/2025) She needs more time and when call when ready. Can't reach her, no answer 2 calls DOC 2/20/2025</t>
  </si>
  <si>
    <t>Reliable Power and Solar</t>
  </si>
  <si>
    <t>Chris DiPasquale</t>
  </si>
  <si>
    <t>(732) 367-1166</t>
  </si>
  <si>
    <t>chris@getrpsnow.com</t>
  </si>
  <si>
    <t>Wed 7:00:PM</t>
  </si>
  <si>
    <t>NJ Based seemed interested heard the entire pitch lol explained everything and he liked that he will not pay unless its for a sitdown appt 5/21</t>
  </si>
  <si>
    <t>we received Zipcode , Team is working on sending the first order, Communication method : Calls or Emails</t>
  </si>
  <si>
    <t>DHAMIR MED SUPPLIES LLC</t>
  </si>
  <si>
    <t>Kamilah Beyah
spoke to Natalie (office manager )</t>
  </si>
  <si>
    <t>ROSELITE LLC</t>
  </si>
  <si>
    <t>512-425-0744</t>
  </si>
  <si>
    <t>MUHAMMAD IMRAN GHAFOOR</t>
  </si>
  <si>
    <t>Mon 10:00 PM</t>
  </si>
  <si>
    <t>716-787-0552</t>
  </si>
  <si>
    <t>imrancallmeny@hotmail.com</t>
  </si>
  <si>
    <t>operator didnt know when she will be back she will call her husband and will let us know -selene 2/4
- left vm -selene 2/4
- i spoke to natalie the office manager she said they are medicare liscenced and they provide DME and CGM they provide all states except 7 and they can take as much patient we can provide- natalie@dhamirmedsupplies.net meeting friday at 2 pm their time and 10 pm our time -selene 2/5 - i called x2 times and they hung up -selene 2/11</t>
  </si>
  <si>
    <t>Direct Solar LLC.</t>
  </si>
  <si>
    <t>Mr.keith</t>
  </si>
  <si>
    <t>(973) 901-1233</t>
  </si>
  <si>
    <t>keith@localpowerauthority.org</t>
  </si>
  <si>
    <t>NJ based, serve ny nad nj, 2 appointments a day</t>
  </si>
  <si>
    <t>Really good prospect, we agreed to pretty much everything and we will finalize the deal next week. and start on Monday the 9th , Waiting on generation to Have him pay for his first appointment</t>
  </si>
  <si>
    <t>CASPIAN MEDICAL SUPPLY HEALTH CARE</t>
  </si>
  <si>
    <t>Siyavash Ziae
(I spoke office Manager/Owner Mahboba )</t>
  </si>
  <si>
    <t>747-323-7378 - 818 358-7080</t>
  </si>
  <si>
    <t>Thu 10:00 PM</t>
  </si>
  <si>
    <t>- owner mahboba said they are medicare licecensed , she said they deliver all states but most likely CA only they work with telemed she said cb in 20 min -selene 2/5 - i spoke to mahboba i calrified again that they are liscenced and work for all states she said yes caspiandme@gmail.com
tmrw meeting at 2 pm but she wanted to have a meeting in 20 min she was very interested -selene 2/5</t>
  </si>
  <si>
    <t>Your Partner in Solar</t>
  </si>
  <si>
    <t>Swift Medical Equipment, Inc.</t>
  </si>
  <si>
    <t>MR. WAYNE</t>
  </si>
  <si>
    <t>Tarique Pervez</t>
  </si>
  <si>
    <t>718 812 4758</t>
  </si>
  <si>
    <t>(734) 752-5822</t>
  </si>
  <si>
    <t>wayne@yourpartnerinsolar.com</t>
  </si>
  <si>
    <t>Swiftms2023@gmail.com</t>
  </si>
  <si>
    <t>NJ BASED, SEEM INTRESTED, SERVE NJ AND ALITTLE AREAS OF NY, EXPECT 2 PER DAY APPOINTMENTS, THE ZIPCODES HE WORK IN IS, 08873, 08854, 08846, 08901, 08902 WHICH IS AN HOUR AND HAVE FROM HIS PLACE 6/2</t>
  </si>
  <si>
    <t>Mon 7:00PM</t>
  </si>
  <si>
    <t>Ally Medical Supply Inc</t>
  </si>
  <si>
    <t>Intersted to start with one app up front, and increase volume moving forward. Will start after EID.</t>
  </si>
  <si>
    <t>Firas Abolgar</t>
  </si>
  <si>
    <t>ASKED TO THE BE CALLED ON MONDAY NEXT WEEK , he asked to call him after 2 pm like 9 pm
he called me backa nd apologized for late call back , mi based, ship allstates , cgn ort,medicare licensed, meeting monday 11:30 am , he was concerened that medicare doesnt pay for them when supply cgm for patients, he was like if do diabetic shoes also</t>
  </si>
  <si>
    <t>Spoke to the guy, DON'T CALL EVER AGAIN
He works in jur B, bills medicare,
he gets like 100 pt per week.</t>
  </si>
  <si>
    <t>NY Based, medicare liscenced , said can ships nationwide supplies ort cgm said wants a call on mon 5.30 our time -selene 4/24 said he will review it this week nd will send us an email said to text him company name and number 5/5</t>
  </si>
  <si>
    <t>He wants a road map for our process and the price list for Cgm and orthopedic braces and the contrac also leave my contact information because he will call me to discuss things over
said to text him, ben , he wants to see the marketing plan for ORT and CGM and talk again next wednesday same time Said he wants to reschedule he had a busy day, will send him calendly link selene might call him - ben 6/24</t>
  </si>
  <si>
    <t>MORNING LIGHT DME LLC</t>
  </si>
  <si>
    <t>Tofi sakris</t>
  </si>
  <si>
    <t>Best American Medical Supplies Llc</t>
  </si>
  <si>
    <t>Emmanuel E Dekpe</t>
  </si>
  <si>
    <t>MorningLightDME@gmail.com</t>
  </si>
  <si>
    <t>919-896-7222</t>
  </si>
  <si>
    <t>NC Based, Explained Process,ships All States,
no concerns, sent email scheduled meeting tue</t>
  </si>
  <si>
    <t>PZ Solutions</t>
  </si>
  <si>
    <t>Kashif Ali</t>
  </si>
  <si>
    <t>92 319327005</t>
  </si>
  <si>
    <t>kashifhussaindhakan5@gmail.com</t>
  </si>
  <si>
    <t>Fri 7:00PM</t>
  </si>
  <si>
    <t>Home improvement and auto insurance AND PCP ORDERS</t>
  </si>
  <si>
    <t>he didn't attend the meeting</t>
  </si>
  <si>
    <t>TLC MEDICAL SUPPLIES INC</t>
  </si>
  <si>
    <t>NOVUS MEDICAL INC</t>
  </si>
  <si>
    <t>Dwayne Dale Sharp</t>
  </si>
  <si>
    <t>Yemane Woldegabriel</t>
  </si>
  <si>
    <t>559-660-6295</t>
  </si>
  <si>
    <t>323 861 6800</t>
  </si>
  <si>
    <t>tlcmedicalsuppliesla@gmail.com</t>
  </si>
  <si>
    <t>Mon 10.00PM</t>
  </si>
  <si>
    <t>- LEFT A VM -SELENE 2/6
- dwayne gave a cb he said he works primarly california and wotld be willing to work all states he would like 100 pts per week and he filed 6 months ago he will be getting it in a few days and he was very intersted email dwayne@nusolutions-inc.com and wanted a meeting monday 2/10 around 10 pm our time works pcp and knows we are in cairo suppl;y DME and CGM -selene 2/7 - Dwayne gave a cb gave an email he said he doesnt want to deal with us because he doesnt want to deal with referrals and he doesnt want to deal with the FBI and he felt that we are fishy he said i do everything straight -selene 2/7</t>
  </si>
  <si>
    <t>CA BASED , MEDICARE LICENSED, SHIP ALL STATES,CGM, PCP he is will to work with us in manay other thing such as electric wheelcharis , meeting tomw 9 pm our time</t>
  </si>
  <si>
    <t>Ben please send an email with scenarios / products / sample / recording / typt of items / billing Codes and 3 months of supply</t>
  </si>
  <si>
    <t>Kings Home Realty Advisory Group</t>
  </si>
  <si>
    <t>Mr. Gregory King</t>
  </si>
  <si>
    <t>(718) 314-2100</t>
  </si>
  <si>
    <t>0.4
wants a callback on Friday because he is out of cash at the moment but may close a deal on Friday and asked me to call back then when he have thte liquidity</t>
  </si>
  <si>
    <t>ZOOM MEDICAL PRODUCTS INC.4275949</t>
  </si>
  <si>
    <t>Dustin Quinn Christensen</t>
  </si>
  <si>
    <t>469-878-0714</t>
  </si>
  <si>
    <t>Fri 10.00PM</t>
  </si>
  <si>
    <t>-spoke to owner ,DME only. worked with marketing , medicare liscenced , ships to all states but will confirm with biller discussed our process takes 60 pts per week seemed interested and wanted to have meeting on friday 10 pm our time -selene 2/11
- Confirmed that the email was recieved -selene 2/12
- He has an emergency he said he needs to do research cb on fri 10 pm -selene 2/19
- ni 4/24</t>
  </si>
  <si>
    <t>FIRST CALL MED SUPPLIES, LLC</t>
  </si>
  <si>
    <t>Not the primary owner of the Medicare account, doesn't want to decide yet and isn't sure if it will work out.</t>
  </si>
  <si>
    <t>Andrew Clayton Ledbetter/sarah</t>
  </si>
  <si>
    <t>704-472-0933/980-429-1019 /sarah</t>
  </si>
  <si>
    <t>FIRSTCALLMEDSUPPLIES@GMAIL.COM /</t>
  </si>
  <si>
    <t>TIGHTLYNX LLC</t>
  </si>
  <si>
    <t>Gyasi Jackson</t>
  </si>
  <si>
    <t>347-854-9137 / 3477912558</t>
  </si>
  <si>
    <t>Gjackson@TIGHTLYNX.com</t>
  </si>
  <si>
    <t>NATIONAL DIABETES CARE, LLC.</t>
  </si>
  <si>
    <t>NY based , Medicare liscenced , ships all states supplies lymph wraps interested to know more meeting tmrw at 8 pm our time 1 am est 11/12</t>
  </si>
  <si>
    <t>Hunter Tully</t>
  </si>
  <si>
    <t>954-621-6887</t>
  </si>
  <si>
    <t>meeting monday and tuesday same time
we need to send him a contract and price list for a pay per hour or per wrap</t>
  </si>
  <si>
    <t>HTULLY@NATDIACARE.COM</t>
  </si>
  <si>
    <t>NC Based, Medicare liscensced , CGM , ships all states said he wants a video meeting tuesday 4 pm est 4/30 980-429-1019 /sarah</t>
  </si>
  <si>
    <t>Called Mr Ledbetter to confirm that he recieved the email and he said he is a bit busy and might ot be able to attend the meeting but sarah his partner can she gave me her number and i told her on what we do/ call her at 980-429-1019 /sarah , we need to send the contract and the two proposal the pay per hour and pay per referral, next meeting friday same time , 05/08/2026 , I TRIED CALLING both andrew and sarah but no luck</t>
  </si>
  <si>
    <t>TRIPLE J MEDICAL SUPPLY</t>
  </si>
  <si>
    <t>Chelsie Maduagu</t>
  </si>
  <si>
    <t>678-819-2999</t>
  </si>
  <si>
    <t>Fri 7.00PM</t>
  </si>
  <si>
    <t>FL based , Medicare liscenced , ships all states supplies lymph wraps interested to know more meeting tmrw at 5 pm our time 10 am est 11/12</t>
  </si>
  <si>
    <t>- spoke to owner , medicare liscenced discused all process , never worked with marketing , interested GA based but willing to ship all states ,doesnt know how much she wants pts, takes PCP knows we are located cairo egypt , meeting at 12 est 7 pm our time fri -selene 2/11
- spoke to chelsea she was upset with the calling and didnt know meeting today reseudled to mon 24th 12 est -selene 2/17</t>
  </si>
  <si>
    <t>please send email and arrange a meeting on Monday // Called 2/27/2025 Concerned with prices and said as a startup she will stick with what she is doing at the moment</t>
  </si>
  <si>
    <t>voice mail 11/13/2025 I will call him back in an hour
- called him he said he was waiting our call he agreed on a meeting time tmrw at 8 pm our time selene 12/1</t>
  </si>
  <si>
    <t>RICHMOND MEDICAL EQUIPMENT AND SUPPLIES LLC</t>
  </si>
  <si>
    <t>Meeting Attended</t>
  </si>
  <si>
    <t>Anthony Iyoha</t>
  </si>
  <si>
    <t>281-846-0595</t>
  </si>
  <si>
    <t>- PCP, MEDICARE LISCENCED , TX based SHIP ALL STATES , INTERESTED , MEETING MON 9 PM OUR TIME 1 PM CST -SELENE 2/13
- I CALLED him he siad he is no longer interested -selene 3/19</t>
  </si>
  <si>
    <t>ON THE GO MEDICAL SUPPLY LLC</t>
  </si>
  <si>
    <t>Nicole Wilson</t>
  </si>
  <si>
    <t>888-914-6633</t>
  </si>
  <si>
    <t>MBS TRADERS</t>
  </si>
  <si>
    <t>nwilson@onthegomedicalsupply.net</t>
  </si>
  <si>
    <t>BUSHRA NAWAZ</t>
  </si>
  <si>
    <t>929-645-5952</t>
  </si>
  <si>
    <t>Wed 10:00PM</t>
  </si>
  <si>
    <t>mbstradersllc@hotmail.com</t>
  </si>
  <si>
    <t>TX-based, medicare lisenced, supplu mainley tx and la ,but can shipp other states, she was ni about marketing company scared of scams, but i told her our process and send email, she was okay send email and call nback late aftrnoon 2pm her time nwilson@onthegomedicalsupply.net</t>
  </si>
  <si>
    <t>NY Based, medicare liscenced , said can ships nationwide supplies ort cgm said wants a video call on mon 10 pm our time -selene 4/24</t>
  </si>
  <si>
    <t>they are pakistanians, they have a call center in pakistan and a biller from pakistan, they got everything covered but they want to see our prices, they won't agree on an upfront payment, probability is low to work with us , call you back later</t>
  </si>
  <si>
    <t>wound care products, nurse practioner multiple wound care, tx La , mo, nv . pending MS &amp; florida
she is accreditated and can work in them she would need a sample recordings prescriptions and the Fees that we will charge</t>
  </si>
  <si>
    <t>METROMED MEDICAL SUPPLY LLC</t>
  </si>
  <si>
    <t>Jessie M. Brown</t>
  </si>
  <si>
    <t>972-434-2005</t>
  </si>
  <si>
    <t>MR. brown said he didnt receive the email and asked to resend it to the right email,TX based , he works all states, pcp, have medicare license , dme and cgm meeting set on thursday 12pm cst , 8pm our time 2/14
-DIDNT ATTEND , RESCHEDULE TOMW 2PM THEIR TIM 10 PM OUR TIME 2/20, JANIT ASEND HER MESSAGE TO CHECK THE CALENDER INVITE AND TO CONFIRM SHE RECEIVED THE CALENDER 2/20 eddie is the one who handeles the products to patients , she is just in the back groud she received thee mail and will attentend at 2 pm, 10 pm our time 2/21
booked monday video meeting 10 pm 2/21</t>
  </si>
  <si>
    <t>Jessie isn't available and asked to send an email to reschedule. Please reschedule. After reviewing the documents and the requested links, they decided not to move forward with our propsal</t>
  </si>
  <si>
    <t>LIFE MEDICAL SUPPLY INC.</t>
  </si>
  <si>
    <t>Mr. Fedor assitant for MrsYankil Mark Abramov</t>
  </si>
  <si>
    <t>917-456-1315</t>
  </si>
  <si>
    <t>fedor her assistant said ,ny based , they said the will try to work with near by states, work pcp and have medicare licsence supply only dme set up a meeting on monday next week 1 pm est time and 8 pm our time 2/18
-i spoke with some wone explain to her what we do and we need them top supply it they said the dont deliver to pt at all only in one city , pt need to come in for sizes and fitting and the get their prescription from drs by fax 2/24
attended but not eligible</t>
  </si>
  <si>
    <t>Doesn't speak good English, very small and aren't a good fit for us.</t>
  </si>
  <si>
    <t>FIELD LABS DIAGNOSTICS</t>
  </si>
  <si>
    <t>APRIL PAULK</t>
  </si>
  <si>
    <t>404-452-2817</t>
  </si>
  <si>
    <t>Fieldlabsdiagnostics@gmail.com</t>
  </si>
  <si>
    <t>ANTIOCH CARE DME</t>
  </si>
  <si>
    <t>3K DME SUPPLIES INC</t>
  </si>
  <si>
    <t>Francisco A Mendez</t>
  </si>
  <si>
    <t>646-210-6644</t>
  </si>
  <si>
    <t>HEALTHQUEST DIAGNOSTIC LABORATORY INC</t>
  </si>
  <si>
    <t>Christopher Albert</t>
  </si>
  <si>
    <t>SONNY PATEL</t>
  </si>
  <si>
    <t>Tue 7:00 PM</t>
  </si>
  <si>
    <t>909-203-9763</t>
  </si>
  <si>
    <t>sonnyp007@gmail.com</t>
  </si>
  <si>
    <t>NY BASED , and will work to near by other states he said he supply only dme not cgm, and will, he said he have the medicare license file more than year ago, he can bill medicare and set up a meeting on tuesday 12pm their time and 7 pm our time 2/19
- he apologized it better to have meeting on friday 3pm 2/25
- RESCHEDULE ON THURSDAY 2:30 PM HIS 9:30PM OUR TIME 3/4
-- still no medicatre licensce , dont want to work ppo</t>
  </si>
  <si>
    <t>He can do immune, PGX, and UTI, he wants to know our volum and discuss further information</t>
  </si>
  <si>
    <t>925-350-0184</t>
  </si>
  <si>
    <t>they are getting around 1000 samples in a month for all tests, everything about the pricing , about our modules, and the tests that we provide, , tuesday same time , he is also asking about what other tests can we work with and he will check our pricing and come with a counter offer if he don't like it , set the meeting next tuesday same time , voice mail "</t>
  </si>
  <si>
    <t>- GA Based , medicare liscenced and accept patients all states does Immuno defiency and PGX meeting tuesday 5.30 our time 10.30 est (note lab under construction will reopen dec 15 )
- cb next monday 11/25 - said to cb next week 1/7 always busy aghh</t>
  </si>
  <si>
    <t>INFO@ANTIOCHCAREDME.com</t>
  </si>
  <si>
    <t>Mon 10:00:PM</t>
  </si>
  <si>
    <t>- CA based medicare liscenced ORT CGM ships locally but willing to expand interested in other campaigns too meeting 12 PDT 10 pm our time today -selene 8/7
- Meeting set for mon 15th 10.30 pm still wants CGM 12/11</t>
  </si>
  <si>
    <t>SHE Told me that she wants to reschedule after the holidays , and she was a bit rude as she hanged up after saying this</t>
  </si>
  <si>
    <t>HE is interested he wants an email contains everything regardings CGM
"- He needs contract, Scope of work stating compliance ,pricing and credintialing of lymph 11/13
- VM 11/25
- hUNG UP CB MONDAY 11/25 ", he said he will do the payment in an hour</t>
  </si>
  <si>
    <t>MEDAXIS SOLUTIONS LLC</t>
  </si>
  <si>
    <t>IQRA MUBEEN</t>
  </si>
  <si>
    <t>909-737-1774</t>
  </si>
  <si>
    <t>Comfort &amp; Healing Medical Supplies</t>
  </si>
  <si>
    <t>admin@apexhealthsolutions.live</t>
  </si>
  <si>
    <t>Omnia Ismail</t>
  </si>
  <si>
    <t>551-900-4004</t>
  </si>
  <si>
    <t>Wed 9:00 pm</t>
  </si>
  <si>
    <t xml:space="preserve">CA Based, ORT CGM Medicare liscenced meeting tmrw video 7 pm our time 5/18
-already working with other company that give him leads /billing he wanted to know our prices and asked me if we know suppliers who will help him drop ship 5/20
- Still discussing with his team said will reach out if they want to discuss more 6/2 said to give him a acb 7/28 </t>
  </si>
  <si>
    <t>NJ based, PCP only</t>
  </si>
  <si>
    <t xml:space="preserve">he is interested to know the prices the two modules for orthopedic braces Ben Arthur please send them over , they are still discussing this with the team, follow up 06/09/2026
said call in an hour, ben
- wants to talk evebing time 4 pm isuuse is he is in ca 7/29 </t>
  </si>
  <si>
    <t>H&amp;M MOLECULAR DIAGNOSTICS, LLC</t>
  </si>
  <si>
    <t>JOHN BELLANO</t>
  </si>
  <si>
    <t>RK MEDICAL SUPPLIES LLC</t>
  </si>
  <si>
    <t>267-337-0576</t>
  </si>
  <si>
    <t>Rajeshri Patel</t>
  </si>
  <si>
    <t>johnbellano@integrity-sciences.com</t>
  </si>
  <si>
    <t>267-334-0383</t>
  </si>
  <si>
    <t>FRI 7:30 PM</t>
  </si>
  <si>
    <t>He booked the meeting himself</t>
  </si>
  <si>
    <t>he is only doing PGX ( don't want to focus on medicare only, he wants to get other insurances as well ) he is looking for capital to help him expanding the business, he wants an email containing our scope of work / compliance structure and maybe a quotation for how much he would pay for 100 patients a month ( just an example ) / 898 200$ Reagenet + over head + shipping mobix labs on the ordering physician has to be the treating physician , he wants a marketing plan also</t>
  </si>
  <si>
    <t>- medicare liscenced , ship all states DME and CGM , looks small wanted everything to be legit so focus that we are very legit talked about demo does PCP takes 50 pts per week deals with dr offices directly -selene 2/19</t>
  </si>
  <si>
    <t>Replied to the email that is NI. Will not show up for meeting.</t>
  </si>
  <si>
    <t>AJK MEDICAL EQUIPMENT LLC</t>
  </si>
  <si>
    <t>DY MEDICAL SUPPLY INC</t>
  </si>
  <si>
    <t>Mrs Ella/ David Babaev</t>
  </si>
  <si>
    <t>929-434-3038</t>
  </si>
  <si>
    <t>ella is the manageer ny based , deliver all states, medicare and medicade license and PCP , MEETING ON MONDAY 9 PM AND 2PM HER TIME 2/19</t>
  </si>
  <si>
    <t>ABACOA MEDICAL SUPPLIES INC</t>
  </si>
  <si>
    <t>Will check the list of suppliers and talk again next Monday. interested propsect / Spoke today 3/4/2025, she will review the prices and the contract and talk again on Friday. DOC 3/7/2025, Please reschedule to Monday 10:30 AM her time. DOC 3/10/2025, said she isn't ready yet and needs more time to study our proposal. DOC 3/25/2025 Said she needs time again and will call me back. So I will just wait for her to call me back DNC</t>
  </si>
  <si>
    <t>JP Dickson</t>
  </si>
  <si>
    <t>561-843-8286</t>
  </si>
  <si>
    <t>jp@abacoamedical.com</t>
  </si>
  <si>
    <t>TABASSUM REHMAN</t>
  </si>
  <si>
    <t>Fri 7:30 PM</t>
  </si>
  <si>
    <t>312-799-9050 / 8474544975</t>
  </si>
  <si>
    <t>trehman@sbcglobal.net
Naheed.mir1234@gmail.com</t>
  </si>
  <si>
    <t>FL BASED, SUPPLY ONLY CGM ALL STATES AND BILL MEDICARE , SET METTING TOM W 7:30 OUR TIME,</t>
  </si>
  <si>
    <t>THU 7:00 PM</t>
  </si>
  <si>
    <t>nation wide , freestyle + dexcom g7</t>
  </si>
  <si>
    <t>she can not bill medicare herself but her partner can, she wants to partner up and do business all three, she can do ort+lymph+cgm</t>
  </si>
  <si>
    <t>she has a private insurance only not medicare and she has a doctor that can bill medicare , and a friend that has medicare license , Send a price list for braces and ort and contract for her to review then follow up with her on wednesday to make sure that she read this , blue cross, humana aetna,</t>
  </si>
  <si>
    <t>Primary Care Medical Supply</t>
  </si>
  <si>
    <t>James Blair</t>
  </si>
  <si>
    <t>770-881-8010</t>
  </si>
  <si>
    <t>primarycareusa@att.net</t>
  </si>
  <si>
    <t>Vidas Dme Llc</t>
  </si>
  <si>
    <t>Majid Niamat</t>
  </si>
  <si>
    <t>267-205-6949</t>
  </si>
  <si>
    <t>GA Based, Medicare Liscenced, ships to georgia only atm but willing to ship to all states
spoke to a gatekeeper 2/5</t>
  </si>
  <si>
    <t>vidasdme@gmail.com doesnt want to do marketing</t>
  </si>
  <si>
    <t>Tue 5:00 PM</t>
  </si>
  <si>
    <t>DOC 5/9/2025 Didnt see the email and prefered to speak on Monday same time. Said that he is interested and want to go for a trial first. I send him the prices and we will talk again on Monday
Reconnected and scheduled a meeting 10/16
VM (09/19/2025)</t>
  </si>
  <si>
    <t>- Medicare liscenced , DME , CGM all states , PCP explained process PA based meeting 10 am est 5 pm our time -selene 2/19
- he got the email -selene 2/24</t>
  </si>
  <si>
    <t>Interested in CGM doesn't want to do DME. Will get back to me after he talks with his partner. 3/5/2025 - Said he will do marketing himself.</t>
  </si>
  <si>
    <t>TARR GLOBAL ENTERPRISES LLC</t>
  </si>
  <si>
    <t>TEREA ROSE</t>
  </si>
  <si>
    <t>tmdiagnostics@tarrglobalent.org</t>
  </si>
  <si>
    <t>Tue 10:00 PM</t>
  </si>
  <si>
    <t>Tx based, she supply cgm and cpap and wheelchairs, she handles the in bound calls but whant to know more how the outbound call could be handled for her</t>
  </si>
  <si>
    <t>Samuil Lukovsky</t>
  </si>
  <si>
    <t>267-269-1946</t>
  </si>
  <si>
    <t>- supply Tri-state willing to expand need to talk to billers , medicare liscenced , DME CGM meeting fri 21 at 12 pm thier time 7 pm our time -selene 2/19
- Gave him a call they are obviously not ready and they will give acb when they are ready -selene 2/24</t>
  </si>
  <si>
    <t>Interested, will talk again on Monday and see f they are willing to do all states. VM called twice to follow up 2/24/2025</t>
  </si>
  <si>
    <t>PAYBACK TIME</t>
  </si>
  <si>
    <t>CHESKY FRIEDMAN</t>
  </si>
  <si>
    <t>845-866-1121</t>
  </si>
  <si>
    <t>chesky3048@gmail.com</t>
  </si>
  <si>
    <t>JAYCEE DME LLC</t>
  </si>
  <si>
    <t>JONATHAN CUMBERBATCH</t>
  </si>
  <si>
    <t>Thu 7:15 PM</t>
  </si>
  <si>
    <t>Pulsemed Equipment And Supplies Inc</t>
  </si>
  <si>
    <t>917-865-6258</t>
  </si>
  <si>
    <t>Syed Fahad Hussain</t>
  </si>
  <si>
    <t>TOTAL SCREENING SOLUTIONS INC</t>
  </si>
  <si>
    <t>- NY Based, Medicare Liscenced Ships locally but willing expand all states ORT meeting tmrw 6our time 1/21</t>
  </si>
  <si>
    <t>586-482-8605</t>
  </si>
  <si>
    <t>jayceedme@yahoo.com</t>
  </si>
  <si>
    <t>Tue 9.00:PM</t>
  </si>
  <si>
    <t>TERESA KING</t>
  </si>
  <si>
    <t>-HE CALLED US , HAS MEDICARE LICENSE ,HE IS INTRESTED , DELIVER ALL STATES, PCP, DME ANF CGM, MEETING 2 PM HIS TIME EST AND 9 PM OUR TIME 2/20</t>
  </si>
  <si>
    <t>708-829-6193</t>
  </si>
  <si>
    <t>Interested in Braces, has a lab and asked about Immune. Will discuss with his team and get back to me
-</t>
  </si>
  <si>
    <t>NY Based , ships locally , PPO (will look at the list of insurance he works with and will discuss it in meeting ) supply ORT CGM Lymph meeting mon 9 pm 6/12</t>
  </si>
  <si>
    <t>TERESA@TOTALSCREENINGSOLUTIONSINC.COM</t>
  </si>
  <si>
    <t>he desn't have any insurance no medicare and 1 private insurance he will apply for more - still applying for inurance still not accepted 7/20</t>
  </si>
  <si>
    <t>Send Price list , contract template , he has no problem to work in other , next thursday 7:00 pm ,he is waiting to verify some stuff and talk to his consultant and get back to us
- DOC said that he is interested but wants us to contact him next week fri -selene 2/5 , Mail box is full and he is not available -spoke to chesky said that when he sets up his company and ready to bill medicare he will call us he said he really wants to work with us and he said he was telling his friend about us and our work yesterday cb in 2 weeks -selene 2/25 cben 25/3
when he's ready he'll get back to george - ben
we signed the contract waiting for him to pay the invoice</t>
  </si>
  <si>
    <t>C &amp; G MEDICAL SUPPLY LLC</t>
  </si>
  <si>
    <t>Cynthia Coaxum</t>
  </si>
  <si>
    <t>770-892-1420</t>
  </si>
  <si>
    <t>-Medicare liscencesd , DME and CGM , All states, PCP , seemed interested will get her partner in the meeting meeting Thursday 27th 1 pm est 8 pm our time email CGMEDSUPPLY100@GMAIL.COM-selene 2/21</t>
  </si>
  <si>
    <t>NET TIME INC</t>
  </si>
  <si>
    <t>At the moment they aren't interested in our service as they are working with someone.</t>
  </si>
  <si>
    <t>ASHRUF KHAN</t>
  </si>
  <si>
    <t>admin@ai1ms.com</t>
  </si>
  <si>
    <t>TX based, asked about the outbound calls and wantto know the price an explore more</t>
  </si>
  <si>
    <t>DMECONNECTED CORPORATION</t>
  </si>
  <si>
    <t>Courtney Richards</t>
  </si>
  <si>
    <t>888-347-1275</t>
  </si>
  <si>
    <t>INFO@DMECONNECTED.COM</t>
  </si>
  <si>
    <t>-IL Based , Medicare liscenced,nationwide meeting tuesday 8.00 pm our time video meeting -selene 2/13
- Called and hung up staright to vm 2/25</t>
  </si>
  <si>
    <t>Fri 6.00:PM</t>
  </si>
  <si>
    <t>- Mr courthey has a DME platform website where we connects dr with DME companies to fulfill the dr all states he wanted to know how we get paid and iexplained the process and he was very interested and wanted zoom meeting immediatly and he actually set up the date and time fri 28th 11 am est 6 pm our time -selene 2/24</t>
  </si>
  <si>
    <t>After reviewing our proposal decided not to move forward.</t>
  </si>
  <si>
    <t>DME BRACES LLC</t>
  </si>
  <si>
    <t>PAUL DIAMOND</t>
  </si>
  <si>
    <t>718-864-3150</t>
  </si>
  <si>
    <t>dmebracesllc@gmail.com
dmemedicaldevices@gmail.com</t>
  </si>
  <si>
    <t>NY Based, Medicare B, wanting to open a new LLC, alr has marketers for his current dme (said they are too expensive), but needs new marketers for the new one 5/12</t>
  </si>
  <si>
    <t>SYED KIDWAI</t>
  </si>
  <si>
    <t>he mainly does Private insurance no medicare license, he will open another LLC to work with us will propaly take around 2 months to open but he is mainly interested to work with private insurance but he will try to apply to medicare license, , he got an appliance company that work within the tri state area, he is contacting me via whatsapp and he needs me to send him an email contact information</t>
  </si>
  <si>
    <t>ALLCARERX MEDICAL SUPPLIES, LLC</t>
  </si>
  <si>
    <t>Mr. Joseph O Chukwu Sr.</t>
  </si>
  <si>
    <t>919-268-9128</t>
  </si>
  <si>
    <t>Mon 8.00:PM</t>
  </si>
  <si>
    <t>NC BASED, DELIVER ALL STATES, MEDICARE LICSENSED, PCP AND TELEMED, DME CGM , MEETING ON MONDAY 8 PM OUR TIME , 1PM 2/25</t>
  </si>
  <si>
    <t>Asked me to Send him my Tax ID number right of the begining when he knew we are in Egypt. Said he doesn't want to work with us, stupid.</t>
  </si>
  <si>
    <t>MEDIHARBOR LLC</t>
  </si>
  <si>
    <t>THOMAS JOHNSON</t>
  </si>
  <si>
    <t>607-795-6447</t>
  </si>
  <si>
    <t>contact@mediharbor.net</t>
  </si>
  <si>
    <t>IMPACT RESOURCES SOLUTIONS</t>
  </si>
  <si>
    <t>Yolonda Castro</t>
  </si>
  <si>
    <t>678-272-2538</t>
  </si>
  <si>
    <t>NY, Software Engineering guy, knows some about the stuff 5/7</t>
  </si>
  <si>
    <t>Mon 7.00:PM</t>
  </si>
  <si>
    <t>- VM -SELENE 2/25
- GA based , PCP 15 to 20 per week , ship all states , medicare liscence , worked with marketing which was telmed and she doensnt like telemedicine due to medicare audit meeting monday 3rd 12 est 7 pm our time -selene 2/26 - i reached yolanda she said that there is a delay in her ptan number i will reach her by end of march -selene 3/6
ni - 8/6</t>
  </si>
  <si>
    <t>VM no show for 2 days</t>
  </si>
  <si>
    <t>SUPPLYING WITH CARE</t>
  </si>
  <si>
    <t>MOTOLA MEDICAL SUPPLY INC.</t>
  </si>
  <si>
    <t>Jazmin Ortiz</t>
  </si>
  <si>
    <t>IL, Interested, confirmed email asked for prices, sent it 2/17</t>
  </si>
  <si>
    <t>ABIODUN DAYISI</t>
  </si>
  <si>
    <t>267-275-2881</t>
  </si>
  <si>
    <t>718-613-9095</t>
  </si>
  <si>
    <t>ni 8/5</t>
  </si>
  <si>
    <t>motolamedical@outlook.com</t>
  </si>
  <si>
    <t>FRI 5:30 PM</t>
  </si>
  <si>
    <t>- 5 to 6 weeks to get paid
VM - ben
send an email to find which states he can bill for so we can send a trial - ben
-VM Reschedule
- call in 2 hours</t>
  </si>
  <si>
    <t>-spoke to owner jazmin medicare liscence ship all states pcp 10 to 15 pts per week meeting next thursday march 6th at 12 pm est 7 pm our time -selene 2/27
- ni when called again -selene 4/16</t>
  </si>
  <si>
    <t>NY, Medicare active, gave him info about dmedesk but he said he didnt have that many patients and he does braces, couldn't not offer him patients</t>
  </si>
  <si>
    <t xml:space="preserve">doesnt believe palmetto nor free zone states, need to send him those and try to talk him into shipping all states
he didnt see the email, spoke with him reexplanied and asked him to check his biller, still fears about medicare and the states thing, also wants us to refer him a biller
vm </t>
  </si>
  <si>
    <t>Vs Medical Supply Inc</t>
  </si>
  <si>
    <t>Yakoubov Viacheslav</t>
  </si>
  <si>
    <t>929-604-5886</t>
  </si>
  <si>
    <t>Thu 9:00:PM</t>
  </si>
  <si>
    <t>COMPASSIONATE TOUCH LAB SERVICES LLC</t>
  </si>
  <si>
    <t>D'ANDRA HAWKINS</t>
  </si>
  <si>
    <t>ny basede, dme , allstates and medicare licensed works pcp, meeting thursday 2pm their time, 9 pm our time 3/4</t>
  </si>
  <si>
    <t>Doesn't have the license yet</t>
  </si>
  <si>
    <t>586-328-7287</t>
  </si>
  <si>
    <t>info@COMPASSIONATETOUCHLAB.com</t>
  </si>
  <si>
    <t>GERMAN CARE MEDICAL SUPPLIES LLC</t>
  </si>
  <si>
    <t>CHOWDHURY FOYSAL AHMED</t>
  </si>
  <si>
    <t>929-569-7139</t>
  </si>
  <si>
    <t>foysal.chowdhury292@gmail.com</t>
  </si>
  <si>
    <t>NY Based, Medicare liscence, Nationwide supplies ORT ,CGM,Lymph compression meeting tmrw 8 pm video -selene 6/1</t>
  </si>
  <si>
    <t xml:space="preserve">he wants another email and he wants to speak to his partners, he wants to know more info about the prices and what we do and let's do another call on thursday to talk it over / VM 06/04/2026 said will call me back 7/20 said to give him a acb 7/28 said to send him prices and marketing plan via email and what sapp cb tmrw 7/29 </t>
  </si>
  <si>
    <t>LEGACY CARE &amp; SUPPLIES INC</t>
  </si>
  <si>
    <t>Fizza Abid</t>
  </si>
  <si>
    <t>551-364-7031</t>
  </si>
  <si>
    <t>- spoke to owner pcp 15 per week DME and CGM medicare liscenced all states meeting at fri 12.30 est 7.30 our time mahzuzmediccorp@gmail.com -selene 3/4
- He said that he discussed it ina meeting with his team and he said he could work in the future but not now -selene 3/27</t>
  </si>
  <si>
    <t>Interested and is currently working with a pakistani company. Liked us more and will talk again next Thursday or Friday. DOC 3/7/2025 NO answer again DOC 3/25/2025
- No longer in DME Business 11/25</t>
  </si>
  <si>
    <t>COASTAL1 MEDICAL EQUIPMENT LLC</t>
  </si>
  <si>
    <t>ATZ MEDICAL &amp; RESPIRATORY INC</t>
  </si>
  <si>
    <t>ERIC DEWAYNE RUFFIN</t>
  </si>
  <si>
    <t>Mr. Joel Katz</t>
  </si>
  <si>
    <t>877-436-8095</t>
  </si>
  <si>
    <t>tel:855-272-1900,ext101</t>
  </si>
  <si>
    <t>info@COASTAL1DME.com</t>
  </si>
  <si>
    <t>office@atzmedical.com</t>
  </si>
  <si>
    <t>He can shipt 18 to 20 states</t>
  </si>
  <si>
    <t>He was interested to know the price for this services</t>
  </si>
  <si>
    <t>we sent him the price list and he will look at it, call back thursday 1:00 CT</t>
  </si>
  <si>
    <t>PLUSPARK MEDICAL SUPPLY</t>
  </si>
  <si>
    <t>DME HEALTH SOLUTIONS LLC</t>
  </si>
  <si>
    <t>Efe K Owen</t>
  </si>
  <si>
    <t>615-403-2916</t>
  </si>
  <si>
    <t>NAYAN S PATEL</t>
  </si>
  <si>
    <t>888-454-5526</t>
  </si>
  <si>
    <t>TN BASED, MEDICARE LICENSED, WORK ALL STATES , CGME AND DME, PCP ONLY 3/4 MEETING FRIDAT 9 CT PM OUR TIME 1 PM HIS TIME 3/4</t>
  </si>
  <si>
    <t>Doesn't agree with our prices</t>
  </si>
  <si>
    <t>CARTER MEDICAL EQUIPMENT &amp; SUPPLIES</t>
  </si>
  <si>
    <t>MEDQ MEDICAL SUPPLY</t>
  </si>
  <si>
    <t>Latitia Carter</t>
  </si>
  <si>
    <t>STEVE PIERRE</t>
  </si>
  <si>
    <t>214-527-6621</t>
  </si>
  <si>
    <t>561-859-8322</t>
  </si>
  <si>
    <t>cartermedicalsupply@gmail.com</t>
  </si>
  <si>
    <t>medqmedicalsupply@gmail.com</t>
  </si>
  <si>
    <t>Tue 9:00PM</t>
  </si>
  <si>
    <t>She usually works alone and want the ai assistant as receptionist , taking nots and do the verfication for insuransea and takes notes, thats what she was looking for because her patients are frustrated she is not answereing while she is out of store, she wanted to know the prices and how it works</t>
  </si>
  <si>
    <t>SC Based, MEDICARE ALL STATES, not sure if he can do lymphedema interesday in all but mostly interested in CGM, told him we are at cap said he wants to be on the waitlist</t>
  </si>
  <si>
    <t>voice mail
rescheduled for jan 6
vm ben
vm again - ben</t>
  </si>
  <si>
    <t>DARGASH MEDICAL INC</t>
  </si>
  <si>
    <t>Joel Weingarten</t>
  </si>
  <si>
    <t>732-538-4555</t>
  </si>
  <si>
    <t>joelw@compressionhealthstore.com</t>
  </si>
  <si>
    <t>Thu 10:00:PM</t>
  </si>
  <si>
    <t>- VM -SELENE 3/4
- spoke to owner medicare liscence ships all states DME only PCP and Telemed meeting thursday 6th 3 pm est and 10 pm our time -selene 3/4 - Called the man he said that he was expecting the price sheet to be sent but he didnt reciece it then he will set the meeting date -selene 3/12</t>
  </si>
  <si>
    <t>Very interested in Live transfer but didn't show up for second meeting.. DOC 3/19/2025, Doesn't agree with prepayment but maybe we can do end of week payment, He will get approval from his manamgent and get back to me next week, no answer (DOC 3/24/2025) DOC 3/26/2025 NO naswer again
- Spoke to him still no answer from his team he siad he will give me a cb -selene 4/3
- NI -selene 5/15</t>
  </si>
  <si>
    <t>DIGITIXMD LLC</t>
  </si>
  <si>
    <t>YOUSAF ZUBAIR</t>
  </si>
  <si>
    <t>267-277-7536</t>
  </si>
  <si>
    <t>Gulf Coast Medical FL</t>
  </si>
  <si>
    <t>yousaf@digitixmd.com</t>
  </si>
  <si>
    <t>Mark Peterson</t>
  </si>
  <si>
    <t>201-736-3819</t>
  </si>
  <si>
    <t>gulfcoastmedicalfl@gmail.com</t>
  </si>
  <si>
    <t>PA Based, he get around 10-20 inbound calls a week, he still waiting to get the medicare license, he only have private insurances like humana and also got medicaid , main concern is to be complient and also the pricing must be good as he is a new company and not making alot of revenues</t>
  </si>
  <si>
    <t>FL Based, knows what he's doing, we spoke about everything process / prices, interested about ort but discussed CGM as well but he doesnt seem that keen on it</t>
  </si>
  <si>
    <t>wanted to see a contract + sample Patient for the orthobedic braces and recordings
Vm ( 09/19/2025
VM - BEN
disconnected - ben</t>
  </si>
  <si>
    <t>NZ MEMON INC</t>
  </si>
  <si>
    <t>Avais Ali Memon/ spoke to Qadir the office manager</t>
  </si>
  <si>
    <t>214 898 8537</t>
  </si>
  <si>
    <t>- Medicare licenced , ship all states DME and CGM PCPcb fri 3 pm 1- pm sent email will discus it with the partner -selene 3/3 - i spoke to avais he gave me qadir number the office manager he said they do dr chasing and they work with pcp and telemed supply dme and cgm for all states medicare liscenced meeting fri 7th 3 pm central time 11 pm our time he said he wants to read the business propsal and to send it in whatsapp -selene 3/5
- got the email -selene 3/6</t>
  </si>
  <si>
    <t>Spoke about mutual benefits for Telemed and PCP. also wants to do PPO lead gen. We should talk again soon to finalize the deal. DOC 3/18/2025 said they are full with PPO and don't take no more PPO patients</t>
  </si>
  <si>
    <t>SAFEHAUL SCREEN LLC</t>
  </si>
  <si>
    <t>QUACHANDRA HAWKINS</t>
  </si>
  <si>
    <t>229-938-2486</t>
  </si>
  <si>
    <t>APEX MED SUPPLIES LLC</t>
  </si>
  <si>
    <t>quachandrahawkins@yahoo.com</t>
  </si>
  <si>
    <t>Haris Khan</t>
  </si>
  <si>
    <t>PUBLIC MEDICAL EQUIPMENT</t>
  </si>
  <si>
    <t>437-826-9690</t>
  </si>
  <si>
    <t>Mohamed Alabadi</t>
  </si>
  <si>
    <t>Ga based, do ngs immune defiency and pgx a, bill medicare and accept patients all states,meeting on tuesday 11am est 5/6</t>
  </si>
  <si>
    <t>tk5678@hotmail.com</t>
  </si>
  <si>
    <t>313-377-7266</t>
  </si>
  <si>
    <t>reschduled today 11 pm, she was a bit irritated on the call and kept asking for how much not interested to hear the process so i will send her the price list and if she agrees she will replay to the email , 06/09/2026 voice mail</t>
  </si>
  <si>
    <t>Mon 4:30:PM</t>
  </si>
  <si>
    <t>Mon 12:00 am</t>
  </si>
  <si>
    <t>VA based, dme, medicare licsenced, ships for now just va , but he is willing to expand to all states when i told him we have suppliers will help you with this, pcp meeting 4;30 pm and 9:30am his time 5/1
recheduled on monday same time, he has dr appt and very busy 5/2</t>
  </si>
  <si>
    <t>- spoke to owner medicare liscenced ship all states DME and CGM PCP and Telemedicine meeting fri 7th 3 pm est 10 pm our time -selene 3/5
- he got th email -selene 3/6
- left him a vm that we will call him next mon 6 pm his time -selene 3/7 - called him he said he can show up at 12 am our time -selene 3/10 - spoke to him again he said he is NI -selene 3/18</t>
  </si>
  <si>
    <t>ALLIED MEDICAL HEALTH LLC</t>
  </si>
  <si>
    <t>Wants to do PPO LT, will talk tomorrow and see how we can collaborate on that DOC 5/5/2025
unavailable - ben
Number temporary unavailable, again - ben</t>
  </si>
  <si>
    <t>FERMON GRAYS</t>
  </si>
  <si>
    <t>305-788-0000</t>
  </si>
  <si>
    <t>SQUAD MEDICAL SUPPLY LLC</t>
  </si>
  <si>
    <t>ZYPHRA HEALTH LLC</t>
  </si>
  <si>
    <t>fermon.grays@me.com</t>
  </si>
  <si>
    <t>haider ali/ John Smith</t>
  </si>
  <si>
    <t>DALJIT SINGH</t>
  </si>
  <si>
    <t>call this no 954-363-1664/ 404442 2019</t>
  </si>
  <si>
    <t>479-262-0410</t>
  </si>
  <si>
    <t>uchimata770@gmail.com</t>
  </si>
  <si>
    <t>GA BASED he said he do work all states and he is said can bill medicare AND DO PPO , pcp , dme only meeting on monday 3PM THEIR TIME , 9PM OUR TIME 3/6
chris said will call us back tyo reschdule the meeting and gave me the right no 3/11
haider ali is in charge of every thing cuz john smith is he is out of the town 3/18
i spoke with chris regarding to set meeting with mr haider ali asked to call back after hour and half 3/27</t>
  </si>
  <si>
    <t>TUE 7:30 PM</t>
  </si>
  <si>
    <t>He has off the shelf braces and is interested in knowing more about what we do / accepts medicare patients and operates nation wide.</t>
  </si>
  <si>
    <t>thinks our prices are a bit too much... Will send me an email with their current prices and we will see if we can match it. DOC 3/25/2025 No answer and still didn't get the email with their prices. Gave me his prices... Very low price list, will talk again to Haider and let me know if they can work with our prices. DOC 3/27/2025
not intrestead still thinks ou r prices too high according to him 5/5</t>
  </si>
  <si>
    <t>his real name is yacoub from pakistan, he is interested about doing ORT PPO only and he asks us if we can provide them with a biller, i need to send him Marketing plan for ORT and a contract + ask him 3 questions in the email , List of insurances that he can cover , list of good states , what products he wants to promote for ( ORT , CGM , Lymph , Wheel chairs ), Also i will talk to him later today to introduce a biller</t>
  </si>
  <si>
    <t>Wellcare Dme Inc</t>
  </si>
  <si>
    <t>He said he is not ready for Medicare, can do PPO FL based just got his medicare license and ready now</t>
  </si>
  <si>
    <t>David Rozner</t>
  </si>
  <si>
    <t>516-850-7699</t>
  </si>
  <si>
    <t>david@wellcaredme.com</t>
  </si>
  <si>
    <t>Business : CGM
NY based all states, works with medicare, interested spoke about prices, waiting for Medicare to re-approve his business and then he would be able to work with us DOC 11/4/2024. Should follow up on Monday the 11th.</t>
  </si>
  <si>
    <t>david@wellcaredme.com. Working on his Software so he can take patients from us. DOC 3/26/2025. Interested in VA too, wants me to call first week of may he wants to touch base in 3 months (07/21/2025)
Call back in march
VM - sent email ben VM- ben</t>
  </si>
  <si>
    <t>Ex software engineer, no expereince in DME, had issues before is very scared, wants to do JUR A,B &amp;C
not interested in paying upfront sent an email anyways, george; he will have a followup call on wednesday same time , he would pay 50% upfront we didn't say anything about some trials and on wednesday we would decide the starting date, we need to send him a contract / scope of work 4/20/26</t>
  </si>
  <si>
    <t>GUARDIAN MEDICAL SUPPLIES, INC.</t>
  </si>
  <si>
    <t>Mr. Onye Paul Onuoha</t>
  </si>
  <si>
    <t>919-426-1653</t>
  </si>
  <si>
    <t>moshe@discountsurgical.com / noah@lymphrx.com</t>
  </si>
  <si>
    <t>WellSpring Egypt</t>
  </si>
  <si>
    <t>Maron Maged</t>
  </si>
  <si>
    <t>NC based, pcp, all sates, Medicare licensed and can bill Medicare, dme and cgm meeting pon tuesday 5pm outime 11am his time 3/7</t>
  </si>
  <si>
    <t>Doesn't want to pay upfront. He is very new to the business and doesn't really understand how things work. Either way refused to pay upfront for anything</t>
  </si>
  <si>
    <t>he wants to get on a google meet to discuss everything friday afternoon, waiting for his text to confirm the exact time Doc 01/13/2026/ now only interested with lymphadema wrap but if we had surplus paitents for lymphedema wrapsd we can contact him 2/5, i spoke to noah he was a bit interested and he told me he will try fto get moshe over the phone and then call me</t>
  </si>
  <si>
    <t>Giye Homes</t>
  </si>
  <si>
    <t>Daisy Pacheco</t>
  </si>
  <si>
    <t>(610) 885-8559</t>
  </si>
  <si>
    <t>GALAXY TECH 786 LLC</t>
  </si>
  <si>
    <t>ALI RAZA</t>
  </si>
  <si>
    <t>239-504-1237</t>
  </si>
  <si>
    <t>galaxytech786@gmail.com</t>
  </si>
  <si>
    <t>Thu 7:00:PM</t>
  </si>
  <si>
    <t>Real estate, told her what we offer, and she seemed interested</t>
  </si>
  <si>
    <t>B &amp; A PHARMACY CORP</t>
  </si>
  <si>
    <t>NJ Based (number showed another dme in NC, different comp name and auth), Knows what he's doing,MedB/Nationwide</t>
  </si>
  <si>
    <t>Very very small, wants 1 agent for commerical.</t>
  </si>
  <si>
    <t>DAVID NNAWUIHE</t>
  </si>
  <si>
    <t>no show up</t>
  </si>
  <si>
    <t>856-278-1899</t>
  </si>
  <si>
    <t>BAPHARMACY22@GMAIL.COM</t>
  </si>
  <si>
    <t>PA Based, Medicare liscenced , ORT ,CGM meeting tuesday 7 pm our time video meeting -selene 5/22</t>
  </si>
  <si>
    <t>I spoke to david he only said that he is interested in the CGM, He wants to know the reimbursements and the cost and how many can we get him , also send him the presentation / hung up cb later 7/20</t>
  </si>
  <si>
    <t>RIVAS MEDICAL SUPPLIES LLC</t>
  </si>
  <si>
    <t>Alan Berman</t>
  </si>
  <si>
    <t>973-249-8989</t>
  </si>
  <si>
    <t>HOMETOWN MEDICAL EQUIPMENT</t>
  </si>
  <si>
    <t>- VM -SELENE 3/4
- spoke to alan himself said he supplies DME but not through Rivas anymore , medicare liscenced , all states , pcp telemed, meeting tmrw 3/11 2 pm est 8 pm our time -selene 3/10</t>
  </si>
  <si>
    <t>KATINA MILES</t>
  </si>
  <si>
    <t>Will review the files and responed to the email with the timing for the meeting next week. Spoke to his team members and said it is something they cannot do</t>
  </si>
  <si>
    <t>706-507-2222</t>
  </si>
  <si>
    <t>info@htmeq.com</t>
  </si>
  <si>
    <t>Ga based, ort, cgm supply, medicare licensed, ship allstates, meeting on monday</t>
  </si>
  <si>
    <t>USA DME SUPPLY INC</t>
  </si>
  <si>
    <t>AKWASI APPIAH</t>
  </si>
  <si>
    <t>267-560-0562</t>
  </si>
  <si>
    <t>akwasi@1800dme.com</t>
  </si>
  <si>
    <t>she just stepped out of the office, she is out on a vacation call back next week, spoke with katina reschduled next week on wednesday</t>
  </si>
  <si>
    <t>PA Based, Medicare liscenced , ORT ,CGM said wants to recieve a phone call tmrw 10.30 our time</t>
  </si>
  <si>
    <t>ALPHABEST MEDICAL SUPPLY</t>
  </si>
  <si>
    <t>Richard Bryce</t>
  </si>
  <si>
    <t>- said cb in 30 min , send the presentation / modules for pricing for both CGM and ort , call back tomorrow vm 7/20</t>
  </si>
  <si>
    <t>469-774-1724</t>
  </si>
  <si>
    <t>Wed 10:00:PM</t>
  </si>
  <si>
    <t>he is TX based, work only ppo pts blue cross, blue sheild ethhna, hummana, cgmand dme, allstates , he is okay with not providing him with priorauthorization and prescription, he is medicare licsences and said he dont want to bill medicare worried about the audits, pcp meeting wednesday at 3:30 pm his time and 10 :30 our time 3/10</t>
  </si>
  <si>
    <t>RAPID REACH MED SUPPLIES LLC</t>
  </si>
  <si>
    <t>USMAN MOHAMMAD</t>
  </si>
  <si>
    <t>409-302-2640</t>
  </si>
  <si>
    <t>rapidreachmedsupplies@gmail.com</t>
  </si>
  <si>
    <t>LEGACY MEDICAL CONCEPTS LLC</t>
  </si>
  <si>
    <t>HILDA MARSEILLE</t>
  </si>
  <si>
    <t>800-869-5428</t>
  </si>
  <si>
    <t>THU 9:00 PM (Wednesday)</t>
  </si>
  <si>
    <t>legacymedicalconceptsllc@gmail.com</t>
  </si>
  <si>
    <t>Acqurate Medical Supply Llc</t>
  </si>
  <si>
    <t>Mr.ERIC/ Tengiz Agayev</t>
  </si>
  <si>
    <t>FL based ort and cgm, , medicare liscenced, ship allstates, meeting tomw</t>
  </si>
  <si>
    <t>call this no(917) 602-2252 /929-219-1000/ tel eric 917 443 2615</t>
  </si>
  <si>
    <t>IN Based, PPO (Humana ,Wellmed, Bluecross) , provides ORT CGM dropshisp nationwide wants a video meeting thursday at 9 pm our time 6/10</t>
  </si>
  <si>
    <t>MED SUPPLY PROS LLC</t>
  </si>
  <si>
    <t>Tue 4:30 PM</t>
  </si>
  <si>
    <t>Ben Arthur can you send her the intro email</t>
  </si>
  <si>
    <t>FRANCKY BASTIEN</t>
  </si>
  <si>
    <t>he has the insurances written + anthem + he can work in all states but he only wants to start with 2-3 patients only as it's a new DME , I told him i will check with the team about this possibility and get back to you and also we will talk around monday 8 pm our time if it's not available choose a slot from 8 pm to 10 pm our time - Will create a whatsapp group to discus the prices and see when to start he said they might start second week of july and george will send the prices 6/29</t>
  </si>
  <si>
    <t>407-963-7299</t>
  </si>
  <si>
    <t>NY BASED , work DME only willing tp expand to all states now work just work new york, pcp orders, medicare and medicade license can bill medicare , meeting tuesday 4:30pm our time and 10;30am his time 3/10
he asked to call him back next week he is out of ny now 5/5 eric said it not suitable to do the work with us for now thats what his lawyer told him , but they will contact us if they changed their mind</t>
  </si>
  <si>
    <t>medsupplyprosllc@gmail.com</t>
  </si>
  <si>
    <t>CB after 1 PM, he isn't available. HealthymedicalDME@gmail.com, dmemedsupply@yahoo.com. DOC 3/27/205 gave me a new email to send the proposal. Will talk again on Wedensday DOC 4/2/2025: We spoke and he had questions. I answered everything and said give me a couple of days to review the contract and then we can talk again. DOC 4/7/2025, said he will speak to his partner and call me back.DOC 4/28/2025 said his partner spoke with his lawyer, he said he will get updates from his partner and call me back.</t>
  </si>
  <si>
    <t>FRI 6:00 PM</t>
  </si>
  <si>
    <t>FL Based, Medicare liscenced ships nationwide ort meting 6.00 pm our time fri (wazowski lead) -selene 5/14
- Spoke to francky said that he supplies Lymph products but he only works as PPO (humana /eitna ) said wants to know more details about prices and how it works 6/2</t>
  </si>
  <si>
    <t xml:space="preserve">he has 2 companies, one he worked with a pakistanian call center and they scammed him and another one he just opened, he is not sure that he is medicare licensed most probably he isn't he is only doing private insurances, he is looking for a biller but once he starts working again , we will have another meeting on tuesday same time so he can check which insurances does he have and get back to me,
- spoke to francky said will email george today,spoke to his partner about the work 6/15 , he has a realestate business also / vm 7/29 </t>
  </si>
  <si>
    <t>DURAMED MEDICAL EQUIPMENT LLC</t>
  </si>
  <si>
    <t>VITAL HEALTH SERVICES, LLC</t>
  </si>
  <si>
    <t>MUSSA RAHIMEE</t>
  </si>
  <si>
    <t>Felix Adizue</t>
  </si>
  <si>
    <t>313-578-1911</t>
  </si>
  <si>
    <t>919-679-3022</t>
  </si>
  <si>
    <t>DURAMEDDME@GMAIL.COM</t>
  </si>
  <si>
    <t>Thu 9:30:PM</t>
  </si>
  <si>
    <t>- NC based PCP, Telemed DME and CGM could work all states but scared due to fraud wants legit work meeting thursday 13th 3.30 pm their time 9.30 our time -selene 3/11</t>
  </si>
  <si>
    <t>Didn't pick up after rescheduling because he was in a meeting... Please call to reschedule. DOC 3/20/2025 NO ANSWER
- Called him x2 hears everything then hangs up NI -selene 3/27</t>
  </si>
  <si>
    <t>ILY-LARC LLC</t>
  </si>
  <si>
    <t>YVONNE NKWEN-TAMO</t>
  </si>
  <si>
    <t>702-985-9120</t>
  </si>
  <si>
    <t>ilylerc@gmail.com</t>
  </si>
  <si>
    <t>THU 12:00 AM (Wednesday)</t>
  </si>
  <si>
    <t>NV, Provide ORT CGM, she said she Bills for medicare then she said its still in process
discussed lymphadema priv insurance, didnt explain much</t>
  </si>
  <si>
    <t>Ridge Ez Medical Supply</t>
  </si>
  <si>
    <t>Dr. Mohamed Bahlool</t>
  </si>
  <si>
    <t>347-806-6678</t>
  </si>
  <si>
    <t>PLATINUMCARE DME LLC</t>
  </si>
  <si>
    <t>-Medicare Liscenced , NY based but willing to ship all states ,PCP , this man is a dr so he wants to discuss the prescriptions that we provide , meeting Mon 17th 1 pm est and 7 pm our time -selene 3/14</t>
  </si>
  <si>
    <t>OMAIDULLAH NOORI</t>
  </si>
  <si>
    <t>Doesn't want to work nationwide, only NY.</t>
  </si>
  <si>
    <t>978-227-7910</t>
  </si>
  <si>
    <t>usmc.force1991@gmail.com 5/22</t>
  </si>
  <si>
    <t>MI based, Medicare liscenced , ships locally but interested to expand nationwide he said he wants acall meeting at wed 8 pm 2 pm est -selene 3/24</t>
  </si>
  <si>
    <t>FRI 11:00 PM</t>
  </si>
  <si>
    <t>He can bill medicare, and ship nationwide - ORT/CGM</t>
  </si>
  <si>
    <t>keeps hanging up</t>
  </si>
  <si>
    <t>REGIONS HEALTHCURE LLC</t>
  </si>
  <si>
    <t>FARAZ ZAHEER</t>
  </si>
  <si>
    <t>he is not really understanding the business he has partners from overseas that handles everything but he is interested to open another llc and apply for other insurance ( i will send him an email to find a way that we can work together) / he will call the partners because they are claiming before shipping / he is asking about whether he needsto get preapproved before shipping the item , he got humana insurance He will talk to his partner and get back to george / humana optim all states 5 patients,</t>
  </si>
  <si>
    <t>(732) 762-9955</t>
  </si>
  <si>
    <t>deepbluehealthcare@gmail.com</t>
  </si>
  <si>
    <t>Hilltop Medical Llc</t>
  </si>
  <si>
    <t>Muhammad Umar</t>
  </si>
  <si>
    <t>667-803-0636</t>
  </si>
  <si>
    <t>He mentioned having ORT/CGM/LYMPHEDEMA and is interested in knowing more and has some questions regarding the quality wants to try it for a week first and see the results as he has 5 DMES (humana/aetna/welmed/welfare commercial insurances) ships nation wide</t>
  </si>
  <si>
    <t>he is MN BASED, PCP , ALL STATES, MEDICARE LICENSE D AND BILL MEDICARE, HE IS INTRESTED FOR PPO PTS TOO,DME AND CGM , MEETING ON MONDAY 7; 30 OUR TIME AND 12:30 HIS TIME CST3/14</t>
  </si>
  <si>
    <t>he has a couple of dmes that he is managing + 2 labs, He can work in private insurances in the dme space insurances are ( humana / cigma . anthem / zing / well med) , and medicare in labs , he is interested to know more about our pricing, so have ben send out the marketing plan for ORT and the Price per brace + the marketing plan for the labs , Also in the email send him the question about what prices do you have in mind for the Private insurance ( pay per referral module) and the calender link to book an appropiate timing with him</t>
  </si>
  <si>
    <t>PPO more, doesn't have Medicare license yet... Doesn't want to work with our PPO module</t>
  </si>
  <si>
    <t>HSR MEDICAL LI INC</t>
  </si>
  <si>
    <t>Harmeet Singh</t>
  </si>
  <si>
    <t>516-716-9742</t>
  </si>
  <si>
    <t>GOOD SAMARITAN MEDICAL</t>
  </si>
  <si>
    <t>BEYOND BIO LAB LLC</t>
  </si>
  <si>
    <t>-Spoke to Harry (woman ) she said Medicare Liscescned, PCP, All states ,DME and CGM meeting friday at 1 pm est 7 pm our time -selene 3/17 - Harry told me that they looked over the email and decided that they dont want to attend the meeting and NI -selene 3/20</t>
  </si>
  <si>
    <t>ANGELA KING</t>
  </si>
  <si>
    <t>CONSTANCE GOVERNALE</t>
  </si>
  <si>
    <t>734-604-8688
260-960-9055"</t>
  </si>
  <si>
    <t>954-663-0040</t>
  </si>
  <si>
    <t>aking@goodsammed.com</t>
  </si>
  <si>
    <t>kkochinski@beyondbiolab.com</t>
  </si>
  <si>
    <t>WED 9:00 PM</t>
  </si>
  <si>
    <t>She wants to discover the AI service and how it can help her Business</t>
  </si>
  <si>
    <t>HOLISTIC MEDICAL SUPPLY INC</t>
  </si>
  <si>
    <t>Mavluda Marufova</t>
  </si>
  <si>
    <t>716-339-7311</t>
  </si>
  <si>
    <t>holistic766@gmail.com</t>
  </si>
  <si>
    <t>- medicare liscenced , DME and CGM , all states ,pcp sent email -selene 3/18 - She read the email and she said she will respond to it and she wants to talk to her partner but she was willing to have a meeting tommrow at 1 pm est 7 pm our time thursday 20th 3/19 selene</t>
  </si>
  <si>
    <t>Reveiewed the email and said they aren't interested.</t>
  </si>
  <si>
    <t>STRYKEFOX MEDICAL</t>
  </si>
  <si>
    <t>ADAM STRYKER</t>
  </si>
  <si>
    <t>612-499-6561</t>
  </si>
  <si>
    <t>Fl based, has NGS machine and does immuno defiency ,accept nationwide medicare patients sounds experienced and knows what is she doing knows that we are a marketing group she knows that we do telemedicne but she is interested in pcp orders too. She was also asking if we work with a lab in florida because she doesnt want competitors and to cross with other lab meeting monay 10 am est video call 4 pm our time -selene 3/27</t>
  </si>
  <si>
    <t>adam@strykefox.com</t>
  </si>
  <si>
    <t>vm several times</t>
  </si>
  <si>
    <t>Can do all products, can accept medicare PT and asked me if we can do private I said yes we can</t>
  </si>
  <si>
    <t>MCCOY MEDICAL EQUIPMENT LLC</t>
  </si>
  <si>
    <t>ARTHUR MCCOY</t>
  </si>
  <si>
    <t>215 900 9382</t>
  </si>
  <si>
    <t>MCCOYMED520@GMAIL.COM</t>
  </si>
  <si>
    <t>- Medicare liscenced, PCP Telemed, DME CGM, JUR B doesnt want to expand because he doesnt want a redflag with medicare, worked with many marketing want to work with one with suitable price he knows we are upfront meeting tmrw at 11 am est 5 pm our time fri 21 -selene 3/20
- he hung up when heard midblue obviously NI called him from another number -selene 4/7</t>
  </si>
  <si>
    <t>Interested and wants start small in Jur B first and then expand in all Jursdications , We discussed pricing and all, next meeting Monday 11 AM his time. DOC 4/3/2025 NO ANSWER
- VM 11/25</t>
  </si>
  <si>
    <t>AN AMAZING PLACE MEDICAL EQUIPMENT &amp; SUPPLIES LLC</t>
  </si>
  <si>
    <t>LINDA TAYLOR</t>
  </si>
  <si>
    <t>WELLNESS MOBILITY SOLUTIONS INC</t>
  </si>
  <si>
    <t>318-450-9852</t>
  </si>
  <si>
    <t>SABRINA MORGAN</t>
  </si>
  <si>
    <t>lt121957@gmail.com</t>
  </si>
  <si>
    <t>TexLa Development Group &amp; Consulting, Inc.</t>
  </si>
  <si>
    <t>302-342-0828</t>
  </si>
  <si>
    <t>Ms. Ja Cee L Stanley Boren</t>
  </si>
  <si>
    <t>WELLNESSMOBILITYSOLUTIONS@Gmail.com</t>
  </si>
  <si>
    <t>(409) 656-8850</t>
  </si>
  <si>
    <t>MON 6:30 PM</t>
  </si>
  <si>
    <t>texladevelopment@gmail.com
jc@texla.solutions</t>
  </si>
  <si>
    <t>OK Based can do all 3 products, can ship nation wide, and can accept medicare PT. she will get her partner included in the meeting</t>
  </si>
  <si>
    <t>Mon 4:30 PM</t>
  </si>
  <si>
    <t>She does a lot of things she does RE and several other things that I don't know, she is very interested to speak more about everything</t>
  </si>
  <si>
    <t>Send the contract and the pricings and follow up on tuesday same time if she did not get back to us she wants to start with sth of 20 PTs</t>
  </si>
  <si>
    <t>Her customers come with WOM and she doesn't do lead generation. too small</t>
  </si>
  <si>
    <t>JFB DISTRIBUTORS &amp; DELIVERY SERVICES INC</t>
  </si>
  <si>
    <t>JULIET KALUNGI</t>
  </si>
  <si>
    <t>LA Based, Medicare liscenced, drops ships nationwide ORT CGM meeting 1 pm CST 8 pm our time -selene 3/27</t>
  </si>
  <si>
    <t>617-502-0784</t>
  </si>
  <si>
    <t>jfbDISTRIBUTORS@outlook.com</t>
  </si>
  <si>
    <t>MON 9th 6:00 PM</t>
  </si>
  <si>
    <t>MA based supply ort , shipp alls states,medicare licensed</t>
  </si>
  <si>
    <t>she doesn't have credentials for both orthopedic braces and cgm devices, I talked to stephanie ( her biller ) and she said the same thing</t>
  </si>
  <si>
    <t>ALBERMARLE MEDICAL SUPPLY</t>
  </si>
  <si>
    <t>Fredia B Owens</t>
  </si>
  <si>
    <t>704-408-6950</t>
  </si>
  <si>
    <t>fredia.owens@albermarlemed.com</t>
  </si>
  <si>
    <t>NC based, ship allstates, dme and cgm, pcp orders,medicare licsened, can bill medicare, meeting wednesday 8 pm our time and 2 pm her time 3/21
i called her she said she was sick allweek and didnt review it and asked to resend it and have meeeting on wednesday next week wednesday 9;30 our time and 3:30 her time nc based3/27</t>
  </si>
  <si>
    <t>No answer 3 times</t>
  </si>
  <si>
    <t>ORTHO-AID DISTRIBUTION INC</t>
  </si>
  <si>
    <t>CIMA CARE DME, INC</t>
  </si>
  <si>
    <t>VIKTOR KOZHANOV</t>
  </si>
  <si>
    <t>ANA VAZQUEZ MORALES</t>
  </si>
  <si>
    <t>718-541-3216</t>
  </si>
  <si>
    <t>786-326-7017</t>
  </si>
  <si>
    <t>ortho-aid@gmail.com</t>
  </si>
  <si>
    <t>mainoffice@cimacaredme.com</t>
  </si>
  <si>
    <t>FL based, medicarebill, ship localy and willing to drop ship to other states, supply only ort, MEETING ON MONDAY 10 AM EST</t>
  </si>
  <si>
    <t>she didnt review it yet and want to disscus it with her partner and call me back by end of the week, she moved out and doing her accredzation, so she can work now</t>
  </si>
  <si>
    <t>SCOG HOME MEDICAL SUPPLY</t>
  </si>
  <si>
    <t>Ozenim Paul Igumbor</t>
  </si>
  <si>
    <t>770-557-9921</t>
  </si>
  <si>
    <t>support@scoghomemeds.com</t>
  </si>
  <si>
    <t>Wed 6:30:PM</t>
  </si>
  <si>
    <t>NC based, ship all states , medicare and medicad licensed can bill medicare, pcp, meeting on friday 5;30 our time and 11;30 am his time 3/24</t>
  </si>
  <si>
    <t>NI with the project. But he said he will look into it and let us know.</t>
  </si>
  <si>
    <t>DOCTORS EQUIPMENT SERVICE INC</t>
  </si>
  <si>
    <t>Ny Based, Medicare liscenced ort said to give him a call on monday at 11.30 am est 4/3</t>
  </si>
  <si>
    <t>Anthony Gorsek</t>
  </si>
  <si>
    <t>816-523-6644</t>
  </si>
  <si>
    <t>Buy Sell Real Estate Solutions</t>
  </si>
  <si>
    <t>anthony@drsequip.net</t>
  </si>
  <si>
    <t>(321) 323-3000</t>
  </si>
  <si>
    <t>TUE 8:00</t>
  </si>
  <si>
    <t>MO,KS BASED BUT CAN SHIP NATIONWIDE / ORT/LYMPHEDEMA (medicare, humana, aetna, some united and more) Anthony Flathers is the operation manager and he mentioned that they are interested in marketing recently they have a little background with marketing</t>
  </si>
  <si>
    <t>He didn't want to go through the process of scheduling a meeting and wanted to know the prices.</t>
  </si>
  <si>
    <t>Meeting attended he wants ORT and can dropship nationwide so sent him an email containing the marketing plan for ORT and the contract to review and will follow-up with him on Friday 7/10</t>
  </si>
  <si>
    <t>Said he is testing another company for one agent. Said he will call back again if things didn't work out well with them. Please don't call that person again. Thinks we are dogs we get paid as he wish. Throwing conclusions everywhere.</t>
  </si>
  <si>
    <t>NANO SOLUTIONS LABORATORY LLC</t>
  </si>
  <si>
    <t>AHMAD TINEH</t>
  </si>
  <si>
    <t>DURAMED, INC</t>
  </si>
  <si>
    <t>469-267-0087 / (903) 808-0339 ( personal )</t>
  </si>
  <si>
    <t>Ricky Walter Decastro Sr.</t>
  </si>
  <si>
    <t>ph (504) 259-2211/ 504-467-4057</t>
  </si>
  <si>
    <t>said to call him back in 2029 ???</t>
  </si>
  <si>
    <t>ricky@duramed.org</t>
  </si>
  <si>
    <t>MEDICO PHARMACY LLC</t>
  </si>
  <si>
    <t>Wed 8:30:PM</t>
  </si>
  <si>
    <t>ALEX OUZA</t>
  </si>
  <si>
    <t>louisiana based, medicare licensed, bill medicare shipp all states, pcp, dme and cgm , meeting on wednesday , 8:30 pm our time and 1;30 pm his time</t>
  </si>
  <si>
    <t>313-587-0212</t>
  </si>
  <si>
    <t>Said he isn't interested</t>
  </si>
  <si>
    <t>ouza22@gmail.com</t>
  </si>
  <si>
    <t>MI Based, CGM Only, Medicare liscenced and all insurance too work MI only meeting tmrw 5.30 our time</t>
  </si>
  <si>
    <t>Meeting attended wants ORT sent marketing plan meeting follow up 11 am tmrw 7/1 , he wants to follow up on monday , he is super sick , but he is interested - George put him in whatsapp group and george will send the info 7/20
- call to get whats app 7/24</t>
  </si>
  <si>
    <t>KARIM'S, LLC.</t>
  </si>
  <si>
    <t>Abdul Karim</t>
  </si>
  <si>
    <t>601-565-5767</t>
  </si>
  <si>
    <t>TX Based Mediacre liscenced accept nationwide does NGS and immunodefiency test meeting fri 9 pm 2 pm cst -selene 2/27</t>
  </si>
  <si>
    <t>karim@medsitis.com</t>
  </si>
  <si>
    <t>(903) 808-0339</t>
  </si>
  <si>
    <t>Wed 5:30:PM</t>
  </si>
  <si>
    <t>MS based , medicare licensed , a can bill medicare for now just work only MS ,but willing to supply all states,PCP he has Other parters will help with that and attend the meeting ON WEDNESDAY 10:30 am his time and 5;30 pm our time 3/27</t>
  </si>
  <si>
    <t>Very interested, we covered pretty much everything. He is just starting up and has some billing concerns but he trusts, we will talk agian next Wednesday same time to answer his questions and hopefully start with trial. DOC 4/9/2025: His biller isn't back yet from her holiday, he will wait for her and then get back to me to start. Still interested, good sign. DOC 4/29 no answer. DOC 5/12/2025 His biller adviced against it because she isn't comfortable with our module.</t>
  </si>
  <si>
    <t>HAMID HAMID</t>
  </si>
  <si>
    <t>greenmedicalsupplyllc@gmail.com</t>
  </si>
  <si>
    <t>MI BASED wants to work PPO in MI only for braces works with humana / Bluecross blue shield</t>
  </si>
  <si>
    <t>he gave me the prices and the insurances that he can work with, I told him i will check with the team and get back with him, So we need to send him a price list ( i will prepare it ) for the PPO leads + contract , tomorrow 12:30 EST MI State only Humana meriedian mclaren BCBS commercial plan PPO, he might work with medicare ( strict criteria ) vm 7/29 
some of them BSBC they get billed with north wood and they can't accept it if it's BCBS</t>
  </si>
  <si>
    <t>EASY STICKS &amp; PRICKS LLC</t>
  </si>
  <si>
    <t>A1 MEDICAL SUPPLIES LLC</t>
  </si>
  <si>
    <t>Mr. Zach John</t>
  </si>
  <si>
    <t>AALIYAH GARZA</t>
  </si>
  <si>
    <t>517-366-1447</t>
  </si>
  <si>
    <t>229-201-0781</t>
  </si>
  <si>
    <t>a1medical supplies11@gmail.com</t>
  </si>
  <si>
    <t>garzaaaliyah316@gmail.com</t>
  </si>
  <si>
    <t>MI BASED , PPO PTS DME, WORK MI FOR NOW BUT WILL TO SHIP TO ALL STATES, HE IS OKAY WITH GETTING THE PRESCRIBTIONS AND PRIOR OTH FROM THEIR DRS, MEETING THURSDAY 3PM HIS TIME AND 9 PM OUR TIME 3/28
- he said rescheduled meeting on friday same timing and asked to recall after noon to remind him 4/7</t>
  </si>
  <si>
    <t>Only works with Arrow and workers compensation.</t>
  </si>
  <si>
    <t>GA based, do ngs immune test, has the machine, bill medicare and accept patient nationwide, send email tome meeting either call or goole meet 7 pm</t>
  </si>
  <si>
    <t>reschedules meeting on 23rd april</t>
  </si>
  <si>
    <t>GLOBAL E-LINK LLC</t>
  </si>
  <si>
    <t>SHUJAD ZAIDI</t>
  </si>
  <si>
    <t>346-332-7278</t>
  </si>
  <si>
    <t>Capital Area Home Buyers</t>
  </si>
  <si>
    <t>iceman625@hotmail.com</t>
  </si>
  <si>
    <t>Avi Ron</t>
  </si>
  <si>
    <t>(703)302-0657</t>
  </si>
  <si>
    <t>Fri 8:30:PM</t>
  </si>
  <si>
    <t>TX Based, Medicare LIscenced , PPO but more comfertable with PPO because of medicare issues ORT CGM and they also have immune lab nationwide meeting Friday 7 pm our time 7/7</t>
  </si>
  <si>
    <t xml:space="preserve">Spoke with mike send prescriptions ORT / Lab samples / contarct for immune / ORT call back next week / said will review it today/ left a vm 7/16 said that he is interested in uti sti pgx / ngs bit difficult / fraud concern / asked prices / cb next monday to set date / left vm and email 7/29 spoke to zaidi said he has problem with medicare and he ows them 65000 dollars said he will fix his problems and will get back to us 7/29 </t>
  </si>
  <si>
    <t>Anbpo</t>
  </si>
  <si>
    <t>Atif Jan</t>
  </si>
  <si>
    <t>ADVENTUS LABS</t>
  </si>
  <si>
    <t>320-322-7489</t>
  </si>
  <si>
    <t>Justin Thompson</t>
  </si>
  <si>
    <t>Medicare licensed</t>
  </si>
  <si>
    <t>561-577-7641</t>
  </si>
  <si>
    <t>justin@adventuslabs.com</t>
  </si>
  <si>
    <t>MON 11:00 PM</t>
  </si>
  <si>
    <t>REVIVE PHARMACY LLC</t>
  </si>
  <si>
    <t>TN based , do the ngs test by sending it to there refrence lab,bill medicare, accept patients nation wide meeting on monday 11pn ourtime</t>
  </si>
  <si>
    <t>ZIAD GAMAL ABDELNABI</t>
  </si>
  <si>
    <t>973-449-0091</t>
  </si>
  <si>
    <t>revivepharmacy3@gmail.com</t>
  </si>
  <si>
    <t>NY Based, CGM and ORT , Medicare liscenced , locally meeting tmrw 10.30 our time 7/6</t>
  </si>
  <si>
    <t>he is an egyptian pharmacist , he is interested but he will check with the billing team what insurance and what states to work with , and to see the availability to do audits , please send him my contact information</t>
  </si>
  <si>
    <t>JZ Marketing</t>
  </si>
  <si>
    <t>Zulqarnain Naqvi &amp; Zulfiqar Syed</t>
  </si>
  <si>
    <t>Medicare licensed, all states, he has offices in the US in GA, Pakistan, India, and Egypt has been working in braces for about 8 years, he will be attending the meeting with his brother</t>
  </si>
  <si>
    <t>VITALTOUCH COLLECTIONS</t>
  </si>
  <si>
    <t>BRITTANY WILLIAMS</t>
  </si>
  <si>
    <t>689-465-6752</t>
  </si>
  <si>
    <t>info@VITALTOUCHLABS.com</t>
  </si>
  <si>
    <t>TUE 8:00 PM</t>
  </si>
  <si>
    <t>NFINITY INNOVATIVE SOLUTIONS LLC</t>
  </si>
  <si>
    <t>KIMBERLY GHOLAR</t>
  </si>
  <si>
    <t>FL BASED She operates as a collection site and works with a reference lab that performs the testing. Typically, the lab handles the billing; however, she also has the capability to manage billing on her end if needed.</t>
  </si>
  <si>
    <t>(844) 244-2430/ 912-294-1284</t>
  </si>
  <si>
    <t>KGHOLAR@NFINITYSOLUTIONS.INFO</t>
  </si>
  <si>
    <t>Life Medical Supplies LLC</t>
  </si>
  <si>
    <t>THU 8:00 pm</t>
  </si>
  <si>
    <t>Zuhaib Alam</t>
  </si>
  <si>
    <t>live:.cid.a6b6bfab64a5c010</t>
  </si>
  <si>
    <t>Ms based do immune deficiency test, she owns two labs but dont have the machine do it in other lab, medicare licensed, accept allstates , meeting on thursday</t>
  </si>
  <si>
    <t>called back and asked to reschedule on thursday 1;30 cst, send a marketing plan for immune , set a meeting on tuesday 9:30 our time, i called her and she said she cant pay upront she dont have the budget for that, she said it a great oppourtunity but she dont have the money can cover that even to pay 50|% up Front , i told her will check with the team if their is discount</t>
  </si>
  <si>
    <t>TX based but willing to do all states, Medicare licensed and works with PPO patients as well</t>
  </si>
  <si>
    <t>SAFEPATH DIAGNOSTICS LLC</t>
  </si>
  <si>
    <t>SHAMEKA BROWN</t>
  </si>
  <si>
    <t>336-726-1658</t>
  </si>
  <si>
    <t>SAFEPATHDIAGNOSTICSLLC@GMAIL.COM</t>
  </si>
  <si>
    <t>MEDLINE MEDICAL SUPPLIES LLC</t>
  </si>
  <si>
    <t>Mr.Noman</t>
  </si>
  <si>
    <t>OFFICE NO /3133261583 313-622-7648 - His cell 3135981155</t>
  </si>
  <si>
    <t>nomanpt@gmail.com</t>
  </si>
  <si>
    <t>NC based, can do NGS, can accept medicare PT</t>
  </si>
  <si>
    <t>TEST AND GO LABS</t>
  </si>
  <si>
    <t>She wants to know the average reimbursment then talk to her team about and get back to us</t>
  </si>
  <si>
    <t>BREYONA STEWART</t>
  </si>
  <si>
    <t>I received call from Mr.noman, MI based pcp , he thinks his license just work in michighan , i told him its okay to send to all states, pcp orders dme and cgm , meeting opn tuesday 12: 30pm and 6 ;30 pm his time and 4/7</t>
  </si>
  <si>
    <t>317-746-3263</t>
  </si>
  <si>
    <t>He is interested and will meet again on Thursday with his ORT manager and biller. DOC 4/21/2025 said he will call back, DOC 4/28/2025 No answer. NI, SO STUPID PLS DNC AGAIN</t>
  </si>
  <si>
    <t>testandgolabs@gmail.com</t>
  </si>
  <si>
    <t>Called her she said that last time she was having a probelm with her phone that is why she could not attend WED 8:30 PM 7/6/26 10:46 She is a collection site, she works with Lap corp and CRL I mentioned that we ask for a marketing fee and she said that this is sth acceptable from her side</t>
  </si>
  <si>
    <t>LINCOLN MEDICAL SUPPLIES LLC</t>
  </si>
  <si>
    <t>York Medical Supplies</t>
  </si>
  <si>
    <t>Harry Pervaiz</t>
  </si>
  <si>
    <t>Mr. Abdul Mannan</t>
  </si>
  <si>
    <t>267) 327-9722</t>
  </si>
  <si>
    <t>646-742-7567</t>
  </si>
  <si>
    <t>LINCOLNMEDSUPPLY@GMAIL.COM</t>
  </si>
  <si>
    <t>yorkmedical24@gmail.com</t>
  </si>
  <si>
    <t>Fri 10:00 PM</t>
  </si>
  <si>
    <t>Pa based,supply ort and cgm, bill medicare and do ppo ,ship allsttaes</t>
  </si>
  <si>
    <t>He was a little hesitant about the meeting as he wanted to know the prices, but I explained to him our process thoroughly and why there is no price list, I don't think that he has worked with maketing before, his team understands a lot more about this than he is so I suggested that he can bring someone from his team to attend the meeting as well, so he might bring someone</t>
  </si>
  <si>
    <t>He spoke with his team and decided not to move forward</t>
  </si>
  <si>
    <t>WEST DIAGNOSTICS L L C</t>
  </si>
  <si>
    <t>SAED SADEGHI</t>
  </si>
  <si>
    <t>310-962-9523/ 310-882-6132</t>
  </si>
  <si>
    <t>contact@sholdingsllc.com/ admin@amgdx.com/, saedsadeghi2721@gmail.com</t>
  </si>
  <si>
    <t>Atlantic Medical Supplies Llc</t>
  </si>
  <si>
    <t>Sana Khan</t>
  </si>
  <si>
    <t>631-827-2363</t>
  </si>
  <si>
    <t>atlanticmedsupplies@gmail.com</t>
  </si>
  <si>
    <t>CA based, medicare licensed, accwepts pt all states,he can provide the test we need what know what we want and the volume of samples he open a lab every 3 month and now working on doing on new one asked to call him 8;30pst</t>
  </si>
  <si>
    <t>PPO only, all states, she doesn't understand alot of things about DME, probably didn't work with marketing before</t>
  </si>
  <si>
    <t>Doesn't have medicare and only 3 PPOs, Unqualified</t>
  </si>
  <si>
    <t>he will aquire a Lab a florida, he is interested but he would be able to work in july , he is interested in PGX and immuno</t>
  </si>
  <si>
    <t>CAREFIRST RX INC</t>
  </si>
  <si>
    <t>Mr Rafael</t>
  </si>
  <si>
    <t>718-994-4444</t>
  </si>
  <si>
    <t>ambarpharmacy@live.com</t>
  </si>
  <si>
    <t>NY Based, Medicare liscenced, ships locally but willing to expand has ort cgm spoke to dr shirin husband he said he handles the work but his wife is the decesion maker said he wants a pnone call tmrw at 12.30 est 4/23</t>
  </si>
  <si>
    <t>i spoke to lydia, She said that she is not in the office and her husband is not in the office, and asked to check in again on wednesday</t>
  </si>
  <si>
    <t>TASK SUPPLY</t>
  </si>
  <si>
    <t>Alex Tsirulnik</t>
  </si>
  <si>
    <t>718-735-3400</t>
  </si>
  <si>
    <t>tasksupply@gmail.com</t>
  </si>
  <si>
    <t>PRECISION DIAGNOSTICS LABORATORY LLC</t>
  </si>
  <si>
    <t>Raul Pardo handle everything amd marketing / MICHELLE ROCHA owner</t>
  </si>
  <si>
    <t>- NY Based Medicare liscenced , all states , PCP CGM only Subjective chart notes medicine included (he said he only wants subjective no exceptions ) meeting wed 5 pm our time 11 am his time-selene 4/14</t>
  </si>
  <si>
    <t>raul 7862626143 / office 7866236886</t>
  </si>
  <si>
    <t>Doesn't understand anything. Fears the audits and doesn't even know what he is talking about VERY STUPID DON'T CALL HIM EVER AGAIN.</t>
  </si>
  <si>
    <t>rpardo@precisiondiagnosticslab.com</t>
  </si>
  <si>
    <t>Fl based , do genetic testing for immuno deficiency, uti, pgx, cgx, bill medicare and serve for allstates except new york asked about the volume of referrals, said tomw 2 pm meeting</t>
  </si>
  <si>
    <t>wants an email for everything that we do , they handle very large volume from 200-300, he do everything inhouse but he might think that our prices are a bit high
Send him an email with a contract and everything (meeting friday 2:00 pm )
they are not taking any new clients, george's proposal - ben, he said the pipe line is full for now but if ther is anychance for uti , will get me an update and call me</t>
  </si>
  <si>
    <t>RB MEDICAL EQUIPMENT, LLC</t>
  </si>
  <si>
    <t>Mrs. Rhonda Brozovich/ Michelle Manager</t>
  </si>
  <si>
    <t>662-335-8420</t>
  </si>
  <si>
    <t>charterofgreenville@gmaill.com</t>
  </si>
  <si>
    <t>Tue 5:30:PM</t>
  </si>
  <si>
    <t>michelle the manager and rhonda owner, MS based , she doit it locally but she is intrested to shipp all states if we help her with our suppliers to deliver that, dme, ortho pcp orders medicare licensed, meeting on tuesday 5:30 pm and 10:30 pm there time 4/14</t>
  </si>
  <si>
    <t>Michelle is unavailable. CB in few hours she said.</t>
  </si>
  <si>
    <t>LUX Diagnostics (APL)</t>
  </si>
  <si>
    <t>JONATHAN GOSS M.D.</t>
  </si>
  <si>
    <t>AJIMI INC</t>
  </si>
  <si>
    <t>(713) 819-6417</t>
  </si>
  <si>
    <t>JABEEN AHMED</t>
  </si>
  <si>
    <t>jonathan@gossmd.com</t>
  </si>
  <si>
    <t>All American Real Estate Services, LLC</t>
  </si>
  <si>
    <t>973-772-7600</t>
  </si>
  <si>
    <t>Lee Woodley</t>
  </si>
  <si>
    <t>(850) 585-5491</t>
  </si>
  <si>
    <t>cliftonave@sheefa.com</t>
  </si>
  <si>
    <t>cleewoodley@gmail.com</t>
  </si>
  <si>
    <t>Fri 6:30:PM</t>
  </si>
  <si>
    <t>NY and GA BASED / metabolic tests, UTI, STI, molecular / medicare and private insurances he has worked with similar companies before so a little skeptical and will have questions</t>
  </si>
  <si>
    <t>FL based only, commercial and residential but mostly residential, he's interested and I think he knows</t>
  </si>
  <si>
    <t>GA based lab, he wants to work mainly on PCT (UTI specifically), we sent him the marketing plan and the contract so he and his lawyers can review them and scheduled a follow-up meeting for WED 9:30 our time, also asked him in the email his preferred states and insurances and whether he wants to proceed in the annual contract only with UTI or add another test</t>
  </si>
  <si>
    <t>Didn't do marketing before, seems like he doesn't have the budget and wants to pay after he sees the outcome. He doesn't buy homes but he offer to lease the houses with the option to buy eventually. Not qualifed</t>
  </si>
  <si>
    <t>REHANA DME INC</t>
  </si>
  <si>
    <t>ANGIOGENESIS MEDICAL LLC</t>
  </si>
  <si>
    <t>Ajmal Khan</t>
  </si>
  <si>
    <t>PATRICK SCALLAN</t>
  </si>
  <si>
    <t>516-240-2277</t>
  </si>
  <si>
    <t>225-364-2400</t>
  </si>
  <si>
    <t>info@rehanadme.com</t>
  </si>
  <si>
    <t>NJ Based, Medicare Liscenced, Nationwide ,ORT CGM Video meeting next tuesday at 6 pm our time -selene 4/29</t>
  </si>
  <si>
    <t>patrick@agenmed.com</t>
  </si>
  <si>
    <t>ny based, medicare licensed, supply dme and cgm , ship all states, meeting wednesday 5 pm hour time an 11 am his time 4/18</t>
  </si>
  <si>
    <t>LA BASED supply ort and lymphadema wrap, bill medicare , ship alstates, meeting 7 tuesday</t>
  </si>
  <si>
    <t>Said they don't have Medicare license yet and was confused why there was a meeting.</t>
  </si>
  <si>
    <t>he said he is swapmed with patients now asked to call end of the week to rescdule another one, still busy will all me when avalible at end of week call him back, HE IS INTERESTED  MORE IN ORT BACK BRACE, WANT TO TAKE 5 OR 10 PT ASKED TO FOR THE PRICES PER LEAD OR PT, SAID TO CALL HIM BACK NEXT WEEK HE WANT TO WORK WITH US BUT WANT TO DO MORE RESEARCH ABOUT US, ask to call him tomw he is busy today, asked to call him back after 10days, he will give me his last desicion after checking this if its okay to do that with medicare</t>
  </si>
  <si>
    <t>PRIME MEDICAL SUPPLY LLC</t>
  </si>
  <si>
    <t>Ephraim Okpara</t>
  </si>
  <si>
    <t>919-332-3814</t>
  </si>
  <si>
    <t>primemedical2015@gmail.com</t>
  </si>
  <si>
    <t>LIHIM TECHNOLOGIES, LLC</t>
  </si>
  <si>
    <t>NC based , Medicare licensed and dme and cgm ,pcp , meeting on Thursday 4pm his time and 10 pm our time, he was concerned about us not having registration in the US , he dont want to get in trouble, but he want to work with us .4/18</t>
  </si>
  <si>
    <t>Cassandra (Office Manager)</t>
  </si>
  <si>
    <t>very sceptical, asked for a w8 form for our company in the states... said he wants to verify the existence first. I said I'll send him the price list first and then if we have an agreement we can resume our talks with the paperwork. Said there is no point to call him because he doesn't want to do business with us anyway. DNC</t>
  </si>
  <si>
    <t>877-361-3627</t>
  </si>
  <si>
    <t>info@lihimtech.com</t>
  </si>
  <si>
    <t>TX BASED / she confirmed UTI, CMP BMP (metabolic) and maybe NGS and Immunodeficiency / they accept medicare and private insurances(Follow-up rescheduled for thursday 7:30)</t>
  </si>
  <si>
    <t>PREMIER LABORATORIES LLC</t>
  </si>
  <si>
    <t>Licensed in TX, LA, AR / can do PGx and UTI, but still waiting for confirmation about the immunodeficiency (NGS) / sent her the marketingplan for all three and the contract for review and scheduled a follow-up meeting for WED 6:00 / she confirmed that they can do NGS in-house</t>
  </si>
  <si>
    <t>DAVID DEL VECCHIO</t>
  </si>
  <si>
    <t>973-508-8319</t>
  </si>
  <si>
    <t>david.delvecchio@premier-healthgroup.com</t>
  </si>
  <si>
    <t>NJ Based, Medicare Liscenced, Immune meeting tmrw 10pm our time -selene 5/4</t>
  </si>
  <si>
    <t>didn't attend ( VM )</t>
  </si>
  <si>
    <t>End of 2024</t>
  </si>
  <si>
    <t>Round Medical Supply &amp; Uniforms</t>
  </si>
  <si>
    <t>Gary Vaysberg</t>
  </si>
  <si>
    <t>415-806-0213</t>
  </si>
  <si>
    <t>roundmed@pacbell.net</t>
  </si>
  <si>
    <t>ADT</t>
  </si>
  <si>
    <t>CA Based, old lead was doing ca only but now all states, medicare, asked about our other verticals</t>
  </si>
  <si>
    <t>Jerome</t>
  </si>
  <si>
    <t>too stupid, doesn't understand anything at all. He asked me where are the patients, I said nationwide orders he said I am NI thank you?????</t>
  </si>
  <si>
    <t>352 443 9760</t>
  </si>
  <si>
    <t xml:space="preserve">JARich@adt.com
</t>
  </si>
  <si>
    <t>MON 10:30</t>
  </si>
  <si>
    <t xml:space="preserve">Have been following up with him thru the email and we sat a time to discuss how we can do business together </t>
  </si>
  <si>
    <t>DEMETRICES MED SUPPLIES, LLC</t>
  </si>
  <si>
    <t>MRS. ESTHER</t>
  </si>
  <si>
    <t>914-306-7644 PRESS 2</t>
  </si>
  <si>
    <t>demetricesmedicalsupplies46@gmail.com</t>
  </si>
  <si>
    <t>NY BASED, MEDICARE LICENSE, SHIP ALL STATES, DME , PCP.</t>
  </si>
  <si>
    <t>she postponed the meeting but then didn't answer when I called. She said she will get back to us when she is free. Not really interested to even take the call DOC 5/5/2025</t>
  </si>
  <si>
    <t xml:space="preserve">USA Medical Alert
</t>
  </si>
  <si>
    <t>Bernie</t>
  </si>
  <si>
    <t>Bernie@usamedalert.com</t>
  </si>
  <si>
    <t>WED 11:00</t>
  </si>
  <si>
    <t xml:space="preserve">He wants to know how we can collab togethter </t>
  </si>
  <si>
    <t>SIMPLYDME LLC</t>
  </si>
  <si>
    <t>David Alayev</t>
  </si>
  <si>
    <t>516-600-0161</t>
  </si>
  <si>
    <t>info@simply-dme.com</t>
  </si>
  <si>
    <t>Fri 10:30:PM</t>
  </si>
  <si>
    <t>ny based, medicare licsensed and can bill medicare, ships in ny for now , but if we helped him with our supplier and it worked , he is willing to ship to all states, dme only, but cgm is not frequent as the orthotics, pcp orders, meeting on tuesday 9 30 our time and 3;30 his time 4/23
he so overwhelmed by the companies calling him he said he will pass it for now,maybe will do it later 5/5</t>
  </si>
  <si>
    <t>05/13/26 She wants to know more about the service and how it can help her business</t>
  </si>
  <si>
    <t>Medical Guardian</t>
  </si>
  <si>
    <t xml:space="preserve">Rose (Florida Territory Manager) </t>
  </si>
  <si>
    <t>Office: 888-349-2400  
Mobile: 561-307-4473</t>
  </si>
  <si>
    <t>ROkaty@guardianmedicalmonitoring.com</t>
  </si>
  <si>
    <t>WED 8:00</t>
  </si>
  <si>
    <t>We will talk on how we can collab with them</t>
  </si>
  <si>
    <t>RENAISSANCE DME, INC.</t>
  </si>
  <si>
    <t xml:space="preserve">talked to her, she wanted to know what companies we collaboratted with and their names, and she has to check with her manager on the business collaboration, and the pricings. Will follow via mail with her 7/29/26 8:40 </t>
  </si>
  <si>
    <t>Mrs. Dottie Nunez</t>
  </si>
  <si>
    <t>956-631-3747</t>
  </si>
  <si>
    <t>renaissancedme@hotmail.com</t>
  </si>
  <si>
    <t>Tue 9:30:AM</t>
  </si>
  <si>
    <t>tx based, supply dme, medicare licensed and bill medicare, she deliversis in tx for now, but may be will be able to deliver to other states with our network of suppliers pcp orders , meeting tuesday 4:30 our time and 9:30 her time 4/28</t>
  </si>
  <si>
    <t>robert said Mrs . nunez said not intrested after the read the email</t>
  </si>
  <si>
    <t>CAPITAL MEDICAL AND SURGICAL INC.</t>
  </si>
  <si>
    <t>MEDULLA INC.</t>
  </si>
  <si>
    <t>HOWARD MILLER</t>
  </si>
  <si>
    <t>Ovais (Operation Manager)</t>
  </si>
  <si>
    <t>835 2300046</t>
  </si>
  <si>
    <t>850-942-0198 / 850 339 7016</t>
  </si>
  <si>
    <t>ceo@medullainc.com sales@medullainc.com</t>
  </si>
  <si>
    <t>kmiller@cmsidirect.com</t>
  </si>
  <si>
    <t>Thu 8:30PM</t>
  </si>
  <si>
    <t>FRI 10:30 PM</t>
  </si>
  <si>
    <t>- Medicare liscenced , Tx based but want to expand all states , ORT CGM PCP meeting Thursday 12.30 cst 8.30 pm -selene 4/29</t>
  </si>
  <si>
    <t>FL based, supply ort and lympedema wraps,bill medicare, shipallstates, meeting friday 12 pm est6/22 6/22</t>
  </si>
  <si>
    <t>Doesn't have Medicare License yet, will need to acquire that first before we do any business. Has prepayment concern. May not workout.</t>
  </si>
  <si>
    <t>he was in a long holiday just came in and saw the email will send email to reschdule a meeting by the end of the day, left a message</t>
  </si>
  <si>
    <t>EQUIMED GLOBAL LLC</t>
  </si>
  <si>
    <t>LAKEISHA MONIQUE JACKSON</t>
  </si>
  <si>
    <t>229-349-3363</t>
  </si>
  <si>
    <t>jivesmcd@gmail.com</t>
  </si>
  <si>
    <t>GA based supply ort and cgm, bill mediacre ship allstates meetind next monday 5/22</t>
  </si>
  <si>
    <t>Jnj Wholesale Medical Equipment Llc</t>
  </si>
  <si>
    <t>Jonathan Fuzailov</t>
  </si>
  <si>
    <t>347-662-1061</t>
  </si>
  <si>
    <t>eli@msbestsupply.com</t>
  </si>
  <si>
    <t>ALL STAFFING INC</t>
  </si>
  <si>
    <t>Fri 5:30:PM</t>
  </si>
  <si>
    <t>MICHELLE WIKE</t>
  </si>
  <si>
    <t>ny based medicare licensed, supply dme and cgm, ship all states, pcp, meting tomw 10;30 am his timeand 5:30 pm ou time 5/1</t>
  </si>
  <si>
    <t>dissolved</t>
  </si>
  <si>
    <t>410-486-8650/ +1 443-250-2220</t>
  </si>
  <si>
    <t>michelle@allstaffinginc.com</t>
  </si>
  <si>
    <t>Tue 5:30 PM</t>
  </si>
  <si>
    <t>MD supply ort, cgm, lymph dema wraps, she can supply what our needed, medicare and medicaid licenced, drop ship any plac</t>
  </si>
  <si>
    <t>office closed today for the holiday, SHE ATTENTED BUT SAID SHE IS SO SORRY , CUZ SHE HAS ALOT TO DO WITH PATEINTS ASKED TO CALL ON FRIDAY AND RESCHEDULE she is soo busy this weekbut she said they are interested to work with us, she will get back to us next week</t>
  </si>
  <si>
    <t>ANGELIC MEDCERTS &amp; LAB SOLUTIONS, LLC</t>
  </si>
  <si>
    <t>DONNITA A REYNOLDS</t>
  </si>
  <si>
    <t>770-899-7102</t>
  </si>
  <si>
    <t>info@angelicmedcertslab.org</t>
  </si>
  <si>
    <t>MON 7:00 PM</t>
  </si>
  <si>
    <t>GA based, can accept private insurance ( Humana ) Can run NGS</t>
  </si>
  <si>
    <t xml:space="preserve">ST Peter's Health Partners </t>
  </si>
  <si>
    <t>QUALITY DME, INC.</t>
  </si>
  <si>
    <t xml:space="preserve">Briana </t>
  </si>
  <si>
    <t>Mrs.jaya</t>
  </si>
  <si>
    <t xml:space="preserve">845-293-8152 </t>
  </si>
  <si>
    <t>703-288-9131 ext224</t>
  </si>
  <si>
    <t xml:space="preserve">brianna.hall001@sphp.com </t>
  </si>
  <si>
    <t>jlewis@qualitydme.com</t>
  </si>
  <si>
    <t xml:space="preserve">THU 5:00 PM </t>
  </si>
  <si>
    <t xml:space="preserve">Sent her an email to review the company's info and agreed on a meeting </t>
  </si>
  <si>
    <t>VA BASED , CGM ONLY , SHIP ALL STATES , MEDICARE LICENSED ,PCP , JAYA IS THE ONE RESPONSIBLE FOR THE CGM ORDERS MEETING ON MONDAY 12PM THEIR TIME AND 7 PM OUR TIME 5/1</t>
  </si>
  <si>
    <t>PROCARE ORTHOTICS &amp;PROSTHETICS</t>
  </si>
  <si>
    <t>Will send her the prices and the contract and she will check with the board, the final decision is for her, will follow up with her next Monday 8/6/26 5:24</t>
  </si>
  <si>
    <t>She received the email and discussed it with her Manager. Said at the time they are NI in outsourcing that part of their business.</t>
  </si>
  <si>
    <t>BILL</t>
  </si>
  <si>
    <t>procare123@yahoo.com</t>
  </si>
  <si>
    <t>TX based supply only ort , he dont have lymphadema wraps but can order some, billmediare , ship , fax 7137991260 nationwide. meeting tomw 6pm</t>
  </si>
  <si>
    <t>RelPro LLC</t>
  </si>
  <si>
    <t>Jose Cruz</t>
  </si>
  <si>
    <t>(727) 342-3332</t>
  </si>
  <si>
    <t>relpro@relproperty.com</t>
  </si>
  <si>
    <t xml:space="preserve">Alert 1 </t>
  </si>
  <si>
    <t>Victoria</t>
  </si>
  <si>
    <t>FL only he wants to work in NC as well but he's too busy with FL, residential, spoke about the process and the prices</t>
  </si>
  <si>
    <t>(986) 228-3033</t>
  </si>
  <si>
    <t xml:space="preserve">victoriaj@alert1.com
</t>
  </si>
  <si>
    <t>THU 6:30 PM</t>
  </si>
  <si>
    <t>NEXUS DME INC</t>
  </si>
  <si>
    <t>ABDUL MOIZ</t>
  </si>
  <si>
    <t>315-202-9404</t>
  </si>
  <si>
    <t xml:space="preserve">she asked about the marketing plan and everything, she will check her boss and the team and we agreed on a follow up next Monday 8/6/26 6:56 </t>
  </si>
  <si>
    <t>aspiredmecorp@gmail.com</t>
  </si>
  <si>
    <t>NY Based, PPO deals with Eitna Humana Bluecross Blueshield and many more suplies all braces and CGM meeting mon 8 pm -selene 6/11</t>
  </si>
  <si>
    <t>will be back tmrw in office</t>
  </si>
  <si>
    <t>Abraham Gonzalez</t>
  </si>
  <si>
    <t>(813) 217-2836</t>
  </si>
  <si>
    <t>Tue 10:30:PM</t>
  </si>
  <si>
    <t>FL only, commercial, spoke about the process, he didn't work with marketing before</t>
  </si>
  <si>
    <t>Don't call him again, He decided not to be interested when I told him that he will buy the calling list for us to work on it. Stupid and rude he cursed while hanging up at my face.</t>
  </si>
  <si>
    <t>Senior protection</t>
  </si>
  <si>
    <t xml:space="preserve">ASH </t>
  </si>
  <si>
    <t>866-416-0838ext. 403</t>
  </si>
  <si>
    <t>mehul@seniorprotection.ca
ash@seniorprotection.ca</t>
  </si>
  <si>
    <t>EXCELLENCE MEDICAL EQUIPMENT LLC</t>
  </si>
  <si>
    <t>Juan Ibarra</t>
  </si>
  <si>
    <t>956-459-7266</t>
  </si>
  <si>
    <t>SOUTH MED SUPPLIES LLC</t>
  </si>
  <si>
    <t>JCIBARRA1@HOTMAIL.COM</t>
  </si>
  <si>
    <t>Sent him the prices for his review 
Senior Protection 
- not a live transfer , we submit it on the portal and they will call them 
- payouts are low 
- Closing from our side 
- getting card information from our side 
- availability To work on canada leads
- has 24 months contract in canada / 60% of the rmr - 20$ , so if it's 50 $ / monthly it will be 60% out of the 30$ 
- 100$ upfront and another 50 if it hits 9-12 month 
- 120 Day charge back</t>
  </si>
  <si>
    <t>Farhana Mazhar</t>
  </si>
  <si>
    <t>341-243-3701</t>
  </si>
  <si>
    <t>THU 9:30 PM</t>
  </si>
  <si>
    <t>genius.harrison13@gmail.com</t>
  </si>
  <si>
    <t>TX Based, supplies ORT , CGM he is setting up another DME interested to know more about our services 6/10</t>
  </si>
  <si>
    <t>- Medicare liscenced , ships all states ,ORT CGM , unfortunatly they give the vibe of indian billers but i asked them do u own them or only bill he said both and i explained that we accept upfront payment and the trial patient and he liked but that he wanted to work with the percentage thing , he was very interested in a live transfer arragment too meeting tmrw by google meet 1 pm cst 9 pm -selene 5/6</t>
  </si>
  <si>
    <t>Not okay with upfront payment.</t>
  </si>
  <si>
    <t>Macrinus Solutions Llc</t>
  </si>
  <si>
    <t>Gary A Clowers</t>
  </si>
  <si>
    <t>PRECISION CLINICAL LABORATORY PCL</t>
  </si>
  <si>
    <t>(678) 848-4894 /678-545-9195</t>
  </si>
  <si>
    <t>Dawit (lab director)</t>
  </si>
  <si>
    <t>clowersmarketing.training@gmail.com / g.clowers@preventivehealthcareusa .com</t>
  </si>
  <si>
    <t>720-400-4412</t>
  </si>
  <si>
    <t>call onmid april 3/7 for m.license ready
he asked me to call him tomw 11 am to speak more about it he supply dme and cgm, medicare liscensed now 5/7
ga based, shipp all states bill medicare and licsenced , pcp , dme and cgm 5/8</t>
  </si>
  <si>
    <t>dawit@pclcare.com</t>
  </si>
  <si>
    <t>Hadn't recieved his license yet waiting for inspection DOC 5/9/2025. Said he has connections with other DMEs and he will get back to me if they are interested , i spoke to him he said they already have marketers working eith thenm currently, he said he will review every thing with his partner till they get the ptan , then the will contact us 5/12.</t>
  </si>
  <si>
    <t>QASIM PHARMACY INC</t>
  </si>
  <si>
    <t>SHAHEER AHMAD</t>
  </si>
  <si>
    <t>718-919-5075</t>
  </si>
  <si>
    <t>Qasimpharmacy934@gmail.com</t>
  </si>
  <si>
    <t>UTI and PGx validation in progress / VA, OH, CO offices and they operate nationwide / Medicare and private insurances / meeting is friday 9:00 pm our time with Dawit (lab director)</t>
  </si>
  <si>
    <t>NY Based, Medicare liscenced CGM meeting wednesday 7 pm our time call meeting -selene 5/26</t>
  </si>
  <si>
    <t>wants to postpone meeting because he is very busy today will tell me new timing via email 6/3</t>
  </si>
  <si>
    <t>GreenSky Energy LLC</t>
  </si>
  <si>
    <t>Mr. Juan Orellana,</t>
  </si>
  <si>
    <t>(786) 308-0757</t>
  </si>
  <si>
    <t>Mon 10:30:PM</t>
  </si>
  <si>
    <t>FL based he is busy rn cuz will attend a meeting couldnt waitt o transfer him asked to call back after an hour to discuss about prices 5/19</t>
  </si>
  <si>
    <t>EASY STICK LAB SERVICES LLC</t>
  </si>
  <si>
    <t>ASHLEY HOLLOWAY</t>
  </si>
  <si>
    <t>941-545-0840</t>
  </si>
  <si>
    <t>ashleyh@clearpointonsite.com</t>
  </si>
  <si>
    <t>All Electric &amp; Solar LLC</t>
  </si>
  <si>
    <t>Gerardo Silvera Todino</t>
  </si>
  <si>
    <t>WED 29th 7:00 pm</t>
  </si>
  <si>
    <t>(917) 604-5849</t>
  </si>
  <si>
    <t>She is a collection site, I told her if she has a refrence lab we a offer a refferal program, she mentioned that she is in rebranding process and I mentioned that we ask for a marketing fee and she understood that and asked for an email and a meeting invitaion on the 29th</t>
  </si>
  <si>
    <t>He is full of work for the next 2-3 yeras</t>
  </si>
  <si>
    <t>EPOCH HEALTH CARE LLC.</t>
  </si>
  <si>
    <t xml:space="preserve">She is a collection site, will send her the prices and the presentaion and she will follow up with Quest if we can do business together 8/5/26 7:12 </t>
  </si>
  <si>
    <t>ERNST APPOLON</t>
  </si>
  <si>
    <t>781-709-6317</t>
  </si>
  <si>
    <t>ernst.a@epochhealthcareservice.com</t>
  </si>
  <si>
    <t>MA Based, PPO , provides ORT CGM Lymph wants a call tmrw at 9 pm our time 6/10 never billed before 7/22</t>
  </si>
  <si>
    <t>- Assistant said stuck in a meeting that will take till end of the day , said cb on mon 6/12</t>
  </si>
  <si>
    <t>CE Team Inc.</t>
  </si>
  <si>
    <t>Daniel Cardillo</t>
  </si>
  <si>
    <t>(732) 558-3368</t>
  </si>
  <si>
    <t>Thu 10:45 PM</t>
  </si>
  <si>
    <t>NJ</t>
  </si>
  <si>
    <t>Not big, works very small deals locally</t>
  </si>
  <si>
    <t>VIRGINIA ORTHOTICS CENTER, INC.</t>
  </si>
  <si>
    <t>TARIF ZAKI (Owner)
Khadija ZAKI (Office Manager)</t>
  </si>
  <si>
    <t>804-358-7669</t>
  </si>
  <si>
    <t>voc2119@aol.com</t>
  </si>
  <si>
    <t>SoPro</t>
  </si>
  <si>
    <t>INPAK MEDICALS LLC</t>
  </si>
  <si>
    <t>Mr. Gregory Bowden</t>
  </si>
  <si>
    <t>INNOCENT UBAK</t>
  </si>
  <si>
    <t>(860) 799-1349</t>
  </si>
  <si>
    <t>Based in VA. They supply ORT. Certified Medicare and private insurances, however ships just in VA for now. He had some concerns about fitting, that PTs need to come in for a fitting then said he will have to check with Medicare first. He said his process is that they chase for the prescription, CNs, and LOMN, so I said we do all that for him and we take PTs' sizes to avoid the hassle of going for a fitting, so he agreed to a meeting next Monday at 12 pm EST.</t>
  </si>
  <si>
    <t>240-701-3882</t>
  </si>
  <si>
    <t>inpakmedicals@gmail.com
inpakhealthcare@yahoo.com</t>
  </si>
  <si>
    <t>Sent him the ORT marketing plan &amp; agreement, a sample prescription, workflow, and L-codes. He said he will review it with his manager, she was supposed to be there but had an emergency, so we can follow up with them in a couple days 8/17</t>
  </si>
  <si>
    <t>-CT BASED , HE WAS LIKE WE HAVE OUR SOURSE UT WHEN HE KNEW WE CHARGE FOR SIT APPOINTMENT HE WAS INTRESTED AND ASKED TO CALL AFTER HOUR TO KNOW MORE ABOUT US AND HOW WE GET OUR LEADS 5/22</t>
  </si>
  <si>
    <t>FRI 9:30 PM</t>
  </si>
  <si>
    <t>VM, serve only CT, NOT ELIGABLE FOR US 5/23</t>
  </si>
  <si>
    <t>MD BASED, ort mainly and cgm, meeting with his partner, no medicare , discussed ppo/hmo</t>
  </si>
  <si>
    <t>SunPlus1</t>
  </si>
  <si>
    <t>MR. PADILLA</t>
  </si>
  <si>
    <t>BANNER MEDICAL EQUIPMENT &amp; SUPPLIES</t>
  </si>
  <si>
    <t>(646) 281-9532</t>
  </si>
  <si>
    <t>UCHE OKEKE</t>
  </si>
  <si>
    <t>ppadillasunplus1@gmail.com</t>
  </si>
  <si>
    <t>SNOREIX PLLC
(Zennity Sleep)</t>
  </si>
  <si>
    <t>202-650-9302</t>
  </si>
  <si>
    <t>KRISTINA ROGOZHKINA
Meeting with Ryan, Head of operations</t>
  </si>
  <si>
    <t>- NY BASED, HE WANTED TO KNOW ABOUT US , WANTED TO KNOW THE PRICES</t>
  </si>
  <si>
    <t>ulokeke@gmail.com</t>
  </si>
  <si>
    <t>Spanish VM</t>
  </si>
  <si>
    <t>303-421-4820</t>
  </si>
  <si>
    <t>ryan@zennitysleep.com</t>
  </si>
  <si>
    <t>Previous DMEDesk meeting, Based in MD. She supplies ORT, CGM, and Lymph. She deals with Medicare and BCBS and can ship nationwide. She said that she had a bad experience before with marketing for CGMs. She also inquired about incontinence supplies I said we currently don't market for them but maybe in the future 8/10</t>
  </si>
  <si>
    <t>Got a call back from him, CO Based website : zennitysleep.com</t>
  </si>
  <si>
    <t>They have a marketing team and they were interested in the Lymph products more. They had a couple concerns regarding the legitimacy and billing, but asked us to send them the pricing, marketing plan, contract, and samples. Will follow up with them in a week 8/11</t>
  </si>
  <si>
    <t>Solanta</t>
  </si>
  <si>
    <t>Dean Santa</t>
  </si>
  <si>
    <t>(833) 765-2682</t>
  </si>
  <si>
    <t>paddy@solanta.com</t>
  </si>
  <si>
    <t>CLEARCLAIM MEDICAL BILLING INC.</t>
  </si>
  <si>
    <t>NY based, spoke about the process and how pricing works, he seems interested, he said in 30 mins I'll be available but in case I didn't pick up that doesn't mean there's a lack of interest so he gave me this email said to send an email to this address if he didn't pick up</t>
  </si>
  <si>
    <t>ABDULRAFAY MAHMOOD</t>
  </si>
  <si>
    <t>307-289-2158</t>
  </si>
  <si>
    <t>CLEARCLAIMMBI@GMAIL.COM</t>
  </si>
  <si>
    <t>I are currently planning to acquire an existing Medicare store that is already operational and has all the necessary credentials, including a PTAN and other required registrations.
At this stage, we are in the evaluation and discussion phase, and the acquisition has not yet been finalized. If the deal is successfully completed, we will proceed with taking over the store.
In the meantime, we would like to discuss potential lead generation opportunities and AI-driven marketing strategies that could help us grow the business 6/11/26 7:44</t>
  </si>
  <si>
    <t>Medco Dme Llc</t>
  </si>
  <si>
    <t>Raj. Kalketi</t>
  </si>
  <si>
    <t>518-941-9278/ cell 732 421 4096</t>
  </si>
  <si>
    <t>rk@medcominds.com</t>
  </si>
  <si>
    <t>BEAUREGARD MEDICAL SOLUTIONS LLC</t>
  </si>
  <si>
    <t>CWENTEENIA LACOLE WILSON</t>
  </si>
  <si>
    <t>702-463-8850</t>
  </si>
  <si>
    <t>cwenwilson@icloud.com</t>
  </si>
  <si>
    <t>ny based , ort and cgm, has his ptan, 5 pts per week, deliver all states with ny</t>
  </si>
  <si>
    <t>relocating out of lousiana, moving into dropshipping ,asked abt amt of patients, suggested starting from 10-30 then scaling to whatever she would get into agrreem,ent with you, seems v interested ,</t>
  </si>
  <si>
    <t>We are capped for ORT, but he said he will wait until we are able to take new orders. Paying upfront is not acceptable for him</t>
  </si>
  <si>
    <t>Roofing</t>
  </si>
  <si>
    <t>HAZELS TOUCH LABORATORY SERVICES L.L.C</t>
  </si>
  <si>
    <t>DIAMOND DILLARD</t>
  </si>
  <si>
    <t>252-484-5413</t>
  </si>
  <si>
    <t>hazelstouchlab@gmail.com</t>
  </si>
  <si>
    <t>NC based Can do NGS and PGx want to discuss further info</t>
  </si>
  <si>
    <t>Doesn't Qualify</t>
  </si>
  <si>
    <t>Harrow Construction</t>
  </si>
  <si>
    <t>Tariq Khan</t>
  </si>
  <si>
    <t>(212) 470-9153</t>
  </si>
  <si>
    <t>spoke with Tariq, they do roofing, he said that the one who handles new collaborations is the marketing manager his name is bobby so he's the only one attending the meeting</t>
  </si>
  <si>
    <t>Mostly NY, NJ CT , roofing, shingles , govermental or commericial only not private homes</t>
  </si>
  <si>
    <t>LOVE CARE DME</t>
  </si>
  <si>
    <t>LARRY LOVE</t>
  </si>
  <si>
    <t>817-681-5354</t>
  </si>
  <si>
    <t>lovecaredme@gmail.com</t>
  </si>
  <si>
    <t>Tx based supply ort and cgm, ship nation wide, bill medicare and ppo, asked to send email,meeting</t>
  </si>
  <si>
    <t>voice mail, rescheduled on monday 1 pm cst, he asked to call him on thursday to rescduled her is out of the office these days</t>
  </si>
  <si>
    <t>Solar Professionals of Illinois</t>
  </si>
  <si>
    <t>louis vigo</t>
  </si>
  <si>
    <t>(855) 765-4255</t>
  </si>
  <si>
    <t>- Serves IL only told him about getting his own data said he is interested to know more about our services meeting tmrw 9 cdt 5 pm our time 6/19</t>
  </si>
  <si>
    <t>Talked to him, He wanted to pay a comission per closed Deal , ( a very low price )</t>
  </si>
  <si>
    <t>RADIANCE TECH LLC</t>
  </si>
  <si>
    <t>Hammad Ali</t>
  </si>
  <si>
    <t>(307) 655-1490</t>
  </si>
  <si>
    <t>HammadAli6085@gmail.com</t>
  </si>
  <si>
    <t>New notes</t>
  </si>
  <si>
    <t>BB&amp;C Solar Inc.</t>
  </si>
  <si>
    <t>I talked to him again and we discussed sth about doing the business but for private insurance, he wants to know the prices, he thought that we just give him the PTs, but I told him that we do the quality, the chasing and the marketing from our side and we provide a complete lead for him 6/29/26 10:15 IL based, supply ort+ lymph , PPO liscensed ,ship nationwide, meeting MON 01/05/25 8:30</t>
  </si>
  <si>
    <t>Mr. Will</t>
  </si>
  <si>
    <t>708) 745-3500</t>
  </si>
  <si>
    <t>"He said he is out of service for now, and now he can't take our leads, he said we might check with him again after a couple of month 1/21/25 10:12 NA 1/19/26 4:37
He stated that he attended the meeting but while talking to me He sounded confused. He added that he was busy at the time and would follow up later. 1/13/25 5:23 " voice mail 03/18/2026</t>
  </si>
  <si>
    <t>IL BASED, WE SPOKE ABOUT MODULE WE OFFER ASKED ABOUT PRICES SERV ONLY IL</t>
  </si>
  <si>
    <t>wants to pay on comission after 60 days</t>
  </si>
  <si>
    <t>Unity Energy</t>
  </si>
  <si>
    <t>Mr. Cleting</t>
  </si>
  <si>
    <t>203 307 0350</t>
  </si>
  <si>
    <t>CT BASED , SERVE ONLY CT, WE SPOKE ABOUT THE MODULES WE OFFER , ASKED ABOUT THE PRICES HE WANTED TO BE SEND BY EMAIL, I TOLD HIM HE WILL GET CALL REGARDING PRICES</t>
  </si>
  <si>
    <t>he is NI</t>
  </si>
  <si>
    <t>TIM'S HOME MEDICAL LLC</t>
  </si>
  <si>
    <t>TIMOTHY SLOAN</t>
  </si>
  <si>
    <t>912-294-1284</t>
  </si>
  <si>
    <t>tls70@yahoo.com</t>
  </si>
  <si>
    <t>EDDIE TEST MEDICAL EQUIPMENT INC</t>
  </si>
  <si>
    <t>Mr.ROGER</t>
  </si>
  <si>
    <t>706-965-8378</t>
  </si>
  <si>
    <t>Tue 7:30 AM</t>
  </si>
  <si>
    <t>testmedical86@yahoo.com</t>
  </si>
  <si>
    <t>GA BASED , MEDICARE LICENSED, SHIP ALL STATES BUT USUALLY LOCALLY, SUPPLY ORT, SENT EMAIL MEETING 10 PM OUR TIME AND 3 PM HIS TIME 7/1</t>
  </si>
  <si>
    <t>the Operator answered saing that she is NI , i spoke with the operator she said they are short handed with products and already have shortage cant handle any extra orders.</t>
  </si>
  <si>
    <t>Ga based, supply ort , medicare licenced,able to ship jurcdiction C only MEETING 12:30 TUESDAY</t>
  </si>
  <si>
    <t>no answer vmail</t>
  </si>
  <si>
    <t>Healthcare Durable Medical Equipment Llc</t>
  </si>
  <si>
    <t>Ashfaq A Kadwani</t>
  </si>
  <si>
    <t>734-961-2665</t>
  </si>
  <si>
    <t>akadwani@healthcareoneworddme.com</t>
  </si>
  <si>
    <t>MI based but they ship nation wide, he's licensed and told me that he works with several insurance companies other than medicare, wants to know how much he's going to pay</t>
  </si>
  <si>
    <t>they don't do telemarketing</t>
  </si>
  <si>
    <t>Charles Motel Inc</t>
  </si>
  <si>
    <t>With a patient call back later</t>
  </si>
  <si>
    <t>Mr. PATEL</t>
  </si>
  <si>
    <t>256-828-4801</t>
  </si>
  <si>
    <t>gm.charlesmotel@gmail.com</t>
  </si>
  <si>
    <t>PRIMECARE MEDICAL SUPPLY INC</t>
  </si>
  <si>
    <t>- ALBAMA based, he asked to send emai, with prices ai told him to need to get into meeting call regarding prices, then said to calll</t>
  </si>
  <si>
    <t>MAHMOUD ZAYED</t>
  </si>
  <si>
    <t>he was a renter at the hotel not the owner / he said that he might need an assistant to pick up his glasses and reserve a doctor appointment for him ( not our guy )</t>
  </si>
  <si>
    <t>470-298-8992</t>
  </si>
  <si>
    <t>primecaremedical26@gmail.com</t>
  </si>
  <si>
    <t>Mon 7:30 PM</t>
  </si>
  <si>
    <t>GA Based, new dme, does private insurance waiting for medicare</t>
  </si>
  <si>
    <t>Rescheduled for today</t>
  </si>
  <si>
    <t>BLUE HAVEN MEDICAL SUPPLY, INC.</t>
  </si>
  <si>
    <t>Jennifer Woody</t>
  </si>
  <si>
    <t>903-328-7120</t>
  </si>
  <si>
    <t>jmwoody@protonmail.com</t>
  </si>
  <si>
    <t>Tx based, medicare licensed, ship all states, ORT ONLY , PCP, MEETING TOMW 9;30 OUR TIME AND 1: 30 HER TIME PM</t>
  </si>
  <si>
    <t>automatic voice message / left a voice mail , she said she is already traumatized from her experince with ort with a call center in the phlippeen, so, she cant do it agin , but she said she knows were legit but she lost of moneya nd charged by the government in her last experience 7/17</t>
  </si>
  <si>
    <t xml:space="preserve">wants to work 100 patient a week but not an upfront payment </t>
  </si>
  <si>
    <t>MEGA MEDICAL SUPPLY LLC</t>
  </si>
  <si>
    <t>WALCARE LLC</t>
  </si>
  <si>
    <t>KENNETH EKIKO</t>
  </si>
  <si>
    <t>Sara Hassan (HENRY)</t>
  </si>
  <si>
    <t>720-400-8979</t>
  </si>
  <si>
    <t>717-514-1455</t>
  </si>
  <si>
    <t>MEGAMEDICAL22@gmail.com</t>
  </si>
  <si>
    <t>WALCAREMEDICAL@GMAIL.COM sarahassan14@outlook.com</t>
  </si>
  <si>
    <t>- PA based Medicare liscenced , CGM ships locally but willing to expand very new to the industry and wanted to understand the full process meeting tmrw noon 7 pm our time -selene 7/29</t>
  </si>
  <si>
    <t>CO Based He is just having some concerns on how we operate and whether it is safe or not, he had another company reaching out to him for the same reason, but he said that he is a bit okay with us because we shared with him all the docs that he might need. Can accept medicare PT.</t>
  </si>
  <si>
    <t>wants to work only in PA + he doesn't want us to reach the patient he want the patients to reach him through his website</t>
  </si>
  <si>
    <t>PROLIFE MEDICAL SUPPLY INC</t>
  </si>
  <si>
    <t>David LIZ</t>
  </si>
  <si>
    <t>(212) 710-5555</t>
  </si>
  <si>
    <t>DME-NOW, LLC</t>
  </si>
  <si>
    <t>prolifemedicalsupply@gmail.com</t>
  </si>
  <si>
    <t>Dr.DAWSHEEN T HAYNES</t>
  </si>
  <si>
    <t>Fri 9:30:PM</t>
  </si>
  <si>
    <t>ny based MEETING THURSDAY 9PMM OUR TIME AND 2 PM HIS TIME, MEDICARE LICENSED SHIP ALLSTATES SUPPLY BOTH ORT AND CGM, HE WILL CHECK WITH HIS BILLER IF HIS CAN BILL FOR PATIENTS OUT OF NY,</t>
  </si>
  <si>
    <t>817-710-4220</t>
  </si>
  <si>
    <t>he said that he looked on our website he didn't find what we exactly do and he is NI to do any work with us</t>
  </si>
  <si>
    <t>drdhaynesdc@gmail.com</t>
  </si>
  <si>
    <t>Tx based can order all items ort, cgm,lymphedema, waiting on his medicare licensed to be approved in next 3 months, but works with blue sheild and blue cross, ship localt but if reimberstment good in other states he said he can meeting next tuesday 11:30 central</t>
  </si>
  <si>
    <t>no show</t>
  </si>
  <si>
    <t>Cyberstate Technologies</t>
  </si>
  <si>
    <t>Nadeem Al-Hashemi</t>
  </si>
  <si>
    <t>289 429 0354</t>
  </si>
  <si>
    <t>Wed 9:40:PM</t>
  </si>
  <si>
    <t>-He needs a call center for an IT Campaign for cyberonium 7/30</t>
  </si>
  <si>
    <t>waiting for him to send me info over whats app</t>
  </si>
  <si>
    <t>KEY MED SERVICES LLC</t>
  </si>
  <si>
    <t>WED 10:00 PM</t>
  </si>
  <si>
    <t>Emmanuel Buabeng</t>
  </si>
  <si>
    <t>281-780-1499</t>
  </si>
  <si>
    <t>She can do private insirace PPO</t>
  </si>
  <si>
    <t>info@dynaroservices.com / Info@tylermedservices.com - George</t>
  </si>
  <si>
    <t>wants to pay</t>
  </si>
  <si>
    <t>He wants an email of a full breakdown on how much will cost and how much revenue will he make , I will discuss and get back to you late friday or monday (08/01/2025)</t>
  </si>
  <si>
    <t>SUREPATH MEDICAL SUPPLY LLC</t>
  </si>
  <si>
    <t>ANAM SADDAM</t>
  </si>
  <si>
    <t>832-757-3030</t>
  </si>
  <si>
    <t>anam.saddam@outlook.com</t>
  </si>
  <si>
    <t>REVIVE MEDICAL SUPPLIES</t>
  </si>
  <si>
    <t>Janet office maanger/Cory Jacobsen</t>
  </si>
  <si>
    <t>833 653 0695, press 2</t>
  </si>
  <si>
    <t>jfigueroa@revivemedicalsupplies.com</t>
  </si>
  <si>
    <t>Mon 11:00:PM</t>
  </si>
  <si>
    <t>-CA BASED , MEDICARE LICENSED, SHIP ca and otherrs nearby STATES,CGM, PCP ,meeting 1pm her time and 11 pm our time</t>
  </si>
  <si>
    <t>TX Based, PPO LIscenced , ORT CGM , nationwide , worked with marketing before meeting thursday 10 pm our time 7/7</t>
  </si>
  <si>
    <t>ART MEDICAL SUPPLY INC</t>
  </si>
  <si>
    <t>Arthur Aylaroff</t>
  </si>
  <si>
    <t>718-844-6333</t>
  </si>
  <si>
    <t>aaylaroff@artmedicalsupply.com</t>
  </si>
  <si>
    <t>- Spoke to owner medicare liscence ship all states pcp and telemd meeting fri 7 12 pm est 7 pm our time -selene 3/4
- he got th email -selene 3/6
- He said he is NI right now-selene 8/14
- vm 11/25</t>
  </si>
  <si>
    <t>Very interested but will talk to his lawyer first because he has some compliance concerns. and will get back to me DOC 3/7/2025. DOC 3/11/2025 will move out to a new place and will take some time for the accreditation. we will be in touch</t>
  </si>
  <si>
    <t>ACT FAST LAB LLC</t>
  </si>
  <si>
    <t>send him an email ( patient , recording , Marketing Agreement , scope of work ) also make sure to include our website and he will get back to us ( seems interested to start ) , Didn't Receive an email 08/05/2025</t>
  </si>
  <si>
    <t>DERISHA L LINSEY</t>
  </si>
  <si>
    <t>903-386-5486</t>
  </si>
  <si>
    <t>actfastlab@gmail.com</t>
  </si>
  <si>
    <t>TX based She has the equipment and can accept medicare PT</t>
  </si>
  <si>
    <t>IBT: No. 1 BPO Company in Middle East</t>
  </si>
  <si>
    <t>Mr. Sayed</t>
  </si>
  <si>
    <t>Tue 4:00 PM</t>
  </si>
  <si>
    <t>he said will reach to his team, and call back</t>
  </si>
  <si>
    <t>Pending / Callback</t>
  </si>
  <si>
    <t>Nova Dme Llc</t>
  </si>
  <si>
    <t>Kevin Edward Katschanow</t>
  </si>
  <si>
    <t>248-250-3393</t>
  </si>
  <si>
    <t>kevin@kkachan.com</t>
  </si>
  <si>
    <t>DME and CGM, Licensed, MI based but can ship to most states, he was a bit confused and uncertain but he wanted to know more details about what we do</t>
  </si>
  <si>
    <t>HEALTH FIRST MEDICAL SUPPLIES INC</t>
  </si>
  <si>
    <t>Emmanuel Alada/Denise Manager</t>
  </si>
  <si>
    <t>212-234-4770</t>
  </si>
  <si>
    <t>healthfirstmedicalsupplies@gmail.com</t>
  </si>
  <si>
    <t>Fri 5:00:PM</t>
  </si>
  <si>
    <t>-GA Based ,Medicare liscenced Ships all states ORT CGM meeting 10 am est 5 pm august 1st our time we will call denise the manager and she will connect emmnauel on the line denise handles everything emmanuel is an african man with a thick accent they want to know the prices they seem they have experience -selene 7/31
- NI cheap man said they dont want to pay upfront -selene 8/22</t>
  </si>
  <si>
    <t>Ben Arthur: send the price list for CGM &amp; braces and a sample prescription and recordings, Selene myles please schedule a meeting on monday at 5:00 Pm our time</t>
  </si>
  <si>
    <t>Wednesday 7:00 pm our time 08/05/2025</t>
  </si>
  <si>
    <t>Sami Mughal</t>
  </si>
  <si>
    <t>Teams: https://teams.live.com/l/invite/FEABNOqyILpb0k9Vhs?v=g1</t>
  </si>
  <si>
    <t>Mon 8:00PM</t>
  </si>
  <si>
    <t>WI based, Medicare licensed</t>
  </si>
  <si>
    <t>not very reliable , he will send us couple of campaigns</t>
  </si>
  <si>
    <t>he only does medicare advantage</t>
  </si>
  <si>
    <t>SEA LORD HOTEL &amp; BEACH CLUB</t>
  </si>
  <si>
    <t>RICHARD</t>
  </si>
  <si>
    <t>reservations@sealordhotel.com</t>
  </si>
  <si>
    <t>richard the owner said emill is the one handelin g the stuff and he will call nme back after 30min .reservations@sealordhotel.com, i spoke with richard , he wanted to know the prices.</t>
  </si>
  <si>
    <t>emil is the manager ( 3123034110), he will co-ordinate with email and have a second meeting all together</t>
  </si>
  <si>
    <t>A Plus Medical Supplies Llc</t>
  </si>
  <si>
    <t>Raed Immteirah</t>
  </si>
  <si>
    <t>770-282-8784 / Personal 4709019070</t>
  </si>
  <si>
    <t>aplusmedicalservicesllc@gmail.com</t>
  </si>
  <si>
    <t>20th 9:00 PM</t>
  </si>
  <si>
    <t>"GA Based, Nationwide V Interested, spoke about Process and Location, seems to have worked in marketing before, 3 way meeting with him and his partner with hank
12 pm est"</t>
  </si>
  <si>
    <t>Call back on monday08/04/2025 / 08/01/2025 , he is selling his 2 DME's</t>
  </si>
  <si>
    <t>DOC 3/20/2025 waiting for the license, passed inspection. DOC 5/7/2025 NO ANSWER same raed and Doctor malik he will call me later (07/21/2025)</t>
  </si>
  <si>
    <t>D.a. Surgical Supply Inc.</t>
  </si>
  <si>
    <t>Alla Rostomian</t>
  </si>
  <si>
    <t>718-743-6600</t>
  </si>
  <si>
    <t>Rostomianalla@gmail.com</t>
  </si>
  <si>
    <t>Thu 9:00PM</t>
  </si>
  <si>
    <t>Medicare licensed, willing to do all states, she's a bit rude needs to be spoken to in a firm way, at the end of the call she asked what do we get from providinf patients to them so she wants to know the prices</t>
  </si>
  <si>
    <t>he is NI and he wants patients to come to his office</t>
  </si>
  <si>
    <t>Vitalwave Medical Llc</t>
  </si>
  <si>
    <t>James Mills</t>
  </si>
  <si>
    <t>609-405-6258</t>
  </si>
  <si>
    <t>Business : CGM
Call Time : {10:17} only do CGM , spoke about process, prices and locations
main concern is they only do JUR A,
Spoke again set a meeting, wants to hsip to the NE Only, spoke about our suppliers, sent him the list</t>
  </si>
  <si>
    <t>Topsey Medical Equipment Supply Llc</t>
  </si>
  <si>
    <t>Clement Ojo</t>
  </si>
  <si>
    <t>214-909-3378</t>
  </si>
  <si>
    <t>TopseyMedicalEquipmentSupply@gmail.com</t>
  </si>
  <si>
    <t>TX Based,All States</t>
  </si>
  <si>
    <t>Hang up then no answer... CB to reschedule</t>
  </si>
  <si>
    <t>Global Care Medical Supply, Llc</t>
  </si>
  <si>
    <t>Hussein Baydun</t>
  </si>
  <si>
    <t>313-573-9505</t>
  </si>
  <si>
    <t>talked to him on whats app waiting for him to respond</t>
  </si>
  <si>
    <t>tel: 855-272-1900,ext 101</t>
  </si>
  <si>
    <t>NY based, medicare licensed ship all states, supply cgm and ort pcp, meeting on thursday 8:30pm</t>
  </si>
  <si>
    <t>Tuesday 07/30/2025 meeting at 8:30</t>
  </si>
  <si>
    <t>he wanted somekind of v.a to do some medical review &amp; he wanted us to send him all the info for the CGM and how much we charge and everything how does our prescriptions look alike and the contract</t>
  </si>
  <si>
    <t>ORT CPL</t>
  </si>
  <si>
    <t>Azeem Ul Haque</t>
  </si>
  <si>
    <t>salsmarketingbpo@gmail.com</t>
  </si>
  <si>
    <t>CPL ORT, meeting 10pm, on teams</t>
  </si>
  <si>
    <t>ONPOINT DIAGNOSTIC</t>
  </si>
  <si>
    <t>Joann Harris</t>
  </si>
  <si>
    <t>602-907-1473</t>
  </si>
  <si>
    <t>joann@onpoint-az.com</t>
  </si>
  <si>
    <t>AZ based but accepts medicare patients from all states except NY, spoke about process and how we get our patients</t>
  </si>
  <si>
    <t>they don't do any kind of medicare insurance / they refer them to ruba health lab or excess medical</t>
  </si>
  <si>
    <t>ON THE ROAD LABS, LLC</t>
  </si>
  <si>
    <t>Crystal Smith</t>
  </si>
  <si>
    <t>757-726-7950</t>
  </si>
  <si>
    <t>crystalsmith56@yahoo.com</t>
  </si>
  <si>
    <t>Accepts patients from all states, spoke about the process, she wanted to know who provides the kits and I told her it's them, she seemed interested, meeting for tmr sent to her personal mail</t>
  </si>
  <si>
    <t>she is a lab tech , She wants the patients to walkin her office to do the test</t>
  </si>
  <si>
    <t>we might get from her some lab referrals</t>
  </si>
  <si>
    <t>BOCA MEDICAL SUPPLY LLC</t>
  </si>
  <si>
    <t>Carl L English</t>
  </si>
  <si>
    <t>561-430-2526</t>
  </si>
  <si>
    <t>carl@bocamedicalsupply.com</t>
  </si>
  <si>
    <t>FL based , Medicare liscenced , ships all states supplies lymph wraps interested to know more meeting next wed at 5pm our time 10 am est 11/13
work number 561-368-7430 personal number 561 430 2526 meeting tmrw 5 pm 11/20</t>
  </si>
  <si>
    <t>he will check with his biller about the prescriptions and the patients we need to send him the price list with the pay per hour and per wrap 11/21
spoke to him with this number he said for now he will pass for now and NI selene 11/26</t>
  </si>
  <si>
    <t>STORMS MEDICAL LLC</t>
  </si>
  <si>
    <t>Yoel Katz</t>
  </si>
  <si>
    <t>347-489-2187</t>
  </si>
  <si>
    <t>yoelweb@gmail.com</t>
  </si>
  <si>
    <t>Tue 11:00PM</t>
  </si>
  <si>
    <t>NY Based , ships all states Medicare liscenced said he has the accreditation for the lymphatic products but he doesnt supply them and he said that he is interested in supplying them considering we know wholesellers he said to send him email meeting tommrow at 11 pm -selene 11.10
- ni 12/2 said to take him out of calling list 12/2</t>
  </si>
  <si>
    <t>left him a voice mail 11/11/2025</t>
  </si>
  <si>
    <t>Journal Square Medical Supply Llc</t>
  </si>
  <si>
    <t>551-232-7778</t>
  </si>
  <si>
    <t>Medicare licensed, all states, PCP</t>
  </si>
  <si>
    <t>DME MARKET LLC</t>
  </si>
  <si>
    <t>Berit Suriel</t>
  </si>
  <si>
    <t>956-800-4269</t>
  </si>
  <si>
    <t>bsuriel@dmemarket.net</t>
  </si>
  <si>
    <t>Tx based supply ort , medicare liscensed,ship allstates, sent email tomw meeting 7;30 our time</t>
  </si>
  <si>
    <t>he is out off office b will be back in anhour, said he is not intrested</t>
  </si>
  <si>
    <t>IOWA MEDICAL SUPPLY</t>
  </si>
  <si>
    <t>BENJAMIN LAFLEUR</t>
  </si>
  <si>
    <t>515-564-7272</t>
  </si>
  <si>
    <t>IOWAMEDICALSUPPLY@gmail.com</t>
  </si>
  <si>
    <t>Tue 8:00PM</t>
  </si>
  <si>
    <t>IA Based , Medicare and Medicaid Liscenced Ships all states meeting tuesday 12 pm cst 8 pm our time 12/15</t>
  </si>
  <si>
    <t>he is too skyptical and it's not convinced at all ( he will pass)</t>
  </si>
  <si>
    <t>We spoke and covered everything, we will send a prive list and talk again on Friday. DOC 5/16/2025, Said she sent the price list to her Partner and we will touch base again on Wedensday instead becuase he isn't available today.</t>
  </si>
  <si>
    <t>PREFERRED INCORPORATED</t>
  </si>
  <si>
    <t>Mr. Chijioke Stanly Alaribe</t>
  </si>
  <si>
    <t>919-757-9438</t>
  </si>
  <si>
    <t>preferredincorporated@gmail.com</t>
  </si>
  <si>
    <t>Joe home buyer</t>
  </si>
  <si>
    <t>Thu 5:00PM</t>
  </si>
  <si>
    <t>Brandon Long</t>
  </si>
  <si>
    <t>NC based shipallstates, nc based has ort and cgm medicare licensed meeting tomw 5 pm, 10 pm his time</t>
  </si>
  <si>
    <t>770-501-7864</t>
  </si>
  <si>
    <t>NI to proceed 11/07/2025</t>
  </si>
  <si>
    <t>blong@joehomebuyer.com</t>
  </si>
  <si>
    <t>left him a voice mail</t>
  </si>
  <si>
    <t>- They are cash buyers they work GA and Brandon the decision maker is open to the idea for lead generation i explained our process he asked an email he said he is flying to utah so meeting Monday 1 pm est 8 pm our time -selene 10/28</t>
  </si>
  <si>
    <t xml:space="preserve">he has 3 philipinos working for him
I will send him all the info 11/10/2025 8 :00 pm our time
</t>
  </si>
  <si>
    <t>PLUS UP MEDICAL SUPPLIES CORP</t>
  </si>
  <si>
    <t>FELIPE MEIERHOFF</t>
  </si>
  <si>
    <t>786-771-9324</t>
  </si>
  <si>
    <t>plusupmedicalsupplies@gmail.com</t>
  </si>
  <si>
    <t>FL BASED, MEDICARE NATIONWIDE, already do lymphedema, doesnt supplt for the codes we do but can bill them, will send sigvaris catalog and example for modules with no pricing</t>
  </si>
  <si>
    <t>wheel chairs caines , medicare insurance</t>
  </si>
  <si>
    <t>he is only working with medicaid insurance not medicare insurance</t>
  </si>
  <si>
    <t>New Again Houses</t>
  </si>
  <si>
    <t>Zac Chrisman</t>
  </si>
  <si>
    <t>(252)-581-8050</t>
  </si>
  <si>
    <t>sales@newagainhouses.com</t>
  </si>
  <si>
    <t>MEEPCO LLC</t>
  </si>
  <si>
    <t>- NC based , explained all procces , he got to motivated about the packages want to send email and spaek about it tomw</t>
  </si>
  <si>
    <t>ZANDRA NEIGOOT</t>
  </si>
  <si>
    <t xml:space="preserve">he will see if he might get us onboard,wants to know the pay per hour module if he provides his own data,
he is not available he will give me a call back
</t>
  </si>
  <si>
    <t>770-309-1312</t>
  </si>
  <si>
    <t>admin@westnewyorkop.com</t>
  </si>
  <si>
    <t>Wed 6:00PM</t>
  </si>
  <si>
    <t>NY Based, Medicare, was busy but very interested in wraps, seems to know what shes doing</t>
  </si>
  <si>
    <t>she hanged up on me</t>
  </si>
  <si>
    <t>Fair Cash Offer Fast/ Grey Brick Group</t>
  </si>
  <si>
    <t>Andrew Mills</t>
  </si>
  <si>
    <t>(404) 369-0809</t>
  </si>
  <si>
    <t>andrew@greybrickgroup.com</t>
  </si>
  <si>
    <t>- GA Based cash buyers explained process and he is interested to know more about our process and prices meeting tommrow at 5.30 our time 10.30 am est 11/3</t>
  </si>
  <si>
    <t>he is already doing PPC ( pay per click ) but he wants to know all of our information incase he is interested to work with us in a month or so</t>
  </si>
  <si>
    <t>Speedy Cash Buyer</t>
  </si>
  <si>
    <t>Mark Detrio</t>
  </si>
  <si>
    <t>813-388-1199</t>
  </si>
  <si>
    <t>webuyhouses4cashfl@gmail.com / 813doc@gmail.com</t>
  </si>
  <si>
    <t>HEALTH RECOVERY EQUIPMENT INC</t>
  </si>
  <si>
    <t>STEVEN GRAY</t>
  </si>
  <si>
    <t>Florida based, if it can't pass for inspection , roof and hvac</t>
  </si>
  <si>
    <t>917-797-1172</t>
  </si>
  <si>
    <t>waiting for his reply on the Criteria</t>
  </si>
  <si>
    <t>info@thedmeconsultant.com</t>
  </si>
  <si>
    <t>Wed 5:30PM</t>
  </si>
  <si>
    <t>NY based , Medicare liscenced , ships all states supplies lymph wraps interested to know more and he seems to know what hes doing he has a DME consultant business meeting TMRW at 5.30 pm our time 10.30 am est 11/13</t>
  </si>
  <si>
    <t>Agreeable Offer</t>
  </si>
  <si>
    <t>Rickey Miller</t>
  </si>
  <si>
    <t>(254)-813-3408</t>
  </si>
  <si>
    <t>rickey@agreeableoffer.com,</t>
  </si>
  <si>
    <t>- TX based, rickey miller is the home buyers pecialist , asked for more detail to know more about us , and meeting on tuesday 10 pm</t>
  </si>
  <si>
    <t>need to draft an email for 40 leads maximum maybe even 20 , he will review it and we will discuss it friday 10:00pm our time
Left him Voice mail 11/07/2025</t>
  </si>
  <si>
    <t>CGM+Lymph W</t>
  </si>
  <si>
    <t>Cash Property Offers</t>
  </si>
  <si>
    <t>Mr. Andy</t>
  </si>
  <si>
    <t>(803) 889-0840</t>
  </si>
  <si>
    <t>Follow Ups</t>
  </si>
  <si>
    <t>sales@cashpropertyoffers.com</t>
  </si>
  <si>
    <t>Thu 8:00PM</t>
  </si>
  <si>
    <t>TDDP, INC.</t>
  </si>
  <si>
    <t>-NC / SC BASED , he was like he has lead generation in house but when explained the process and our module , asked to send email acall him tomw 8:30</t>
  </si>
  <si>
    <t>DARRYL PREVOST</t>
  </si>
  <si>
    <t>832-798-1655</t>
  </si>
  <si>
    <t>No-Show</t>
  </si>
  <si>
    <t>he doesn't need lead generation only contracts with people signed to sell their houses , he is a wholeseller looking for dispo ( people already signed a contract to sell)</t>
  </si>
  <si>
    <t>prevost@royaljudahconstruction.net</t>
  </si>
  <si>
    <t>TUE 9:15 PM</t>
  </si>
  <si>
    <t>Dead Leads</t>
  </si>
  <si>
    <t>TX Based, accept medicare seniors provide lymph W + Ortho Braces, Can ship nationwide</t>
  </si>
  <si>
    <t>he is not interested</t>
  </si>
  <si>
    <t>Big door homebuyers</t>
  </si>
  <si>
    <t>Mr. David</t>
  </si>
  <si>
    <t>Temporary Inactive</t>
  </si>
  <si>
    <t>(815) 451 3878</t>
  </si>
  <si>
    <t>dave@bigdoorhomebuyers.com</t>
  </si>
  <si>
    <t>Thu 10:30PM</t>
  </si>
  <si>
    <t>PAVILION HEALTH COMPANY, LLC</t>
  </si>
  <si>
    <t>-IL Based, David is the (Aquisition Manager) and is interested in lead generation and I explained the entire process he said to give him a call at 10.30 our time 2.30 cst -selene 11/5</t>
  </si>
  <si>
    <t>NAGARAJ V KUNDA</t>
  </si>
  <si>
    <t xml:space="preserve">he will do a comparison with us and two other companies, he might start with 3 agents if the recordings and the quality that we send is good
left him a voice message 11/10/2025
</t>
  </si>
  <si>
    <t>314-312-5588</t>
  </si>
  <si>
    <t>DISQUALIFIED</t>
  </si>
  <si>
    <t>raj@pavilion.care</t>
  </si>
  <si>
    <t>Email Sent</t>
  </si>
  <si>
    <t>AK and MO based said he can ship around 15 states has ort lymph and medicare liscenced meeting friday 6 pm our time -selene 12/3
- Resent email and he said we can call him next thursday 8 pm our time 12/5 - doesnt want to preceed said they got into something new -selen 1/15</t>
  </si>
  <si>
    <t>forwarded to voice mail</t>
  </si>
  <si>
    <t>4 Brothers Home</t>
  </si>
  <si>
    <t>Mr Jordan</t>
  </si>
  <si>
    <t>(929) 651-9269</t>
  </si>
  <si>
    <t>info@4brothershome.net</t>
  </si>
  <si>
    <t>Thu 7:30PM</t>
  </si>
  <si>
    <t>-NY Based Jordan said he is really interested in lead Generation and he really wanted to know the prices i told him our head of parnerships george will give you a call today at our time 7.30 pm , 12.30 est 11/6 selene - He is busy he said to send him an email and text him that we sent the email he said he will follow up back himself</t>
  </si>
  <si>
    <t>MEDICARE DROP LLC</t>
  </si>
  <si>
    <t>RYAN SAMPSON</t>
  </si>
  <si>
    <t xml:space="preserve">he had a sudden work to do he will call in an hour
left him a voice message 11/07/2025
</t>
  </si>
  <si>
    <t>888-408-2055</t>
  </si>
  <si>
    <t>garrett@medicaredrop.com
ryan@medicaredrop.com</t>
  </si>
  <si>
    <t>Mon 11:59PM</t>
  </si>
  <si>
    <t>CA Based Meeting with Garrett, Partner and CMO, they work braces, have medicare national, floriday and CA, used to do all states but stopped because they were scaling up "too fast", good prospect plannin on working all states soon</t>
  </si>
  <si>
    <t>Close Fast get Cash</t>
  </si>
  <si>
    <t>Mr Thomas</t>
  </si>
  <si>
    <t>(602) 641-4012</t>
  </si>
  <si>
    <t>thomas@closefastgetcash.com</t>
  </si>
  <si>
    <t>Mon 9:30PM</t>
  </si>
  <si>
    <t>SOUTH TEXAS MEDICAL EQUIPMENT &amp; SUPPLIES</t>
  </si>
  <si>
    <t>GERARDO VARGAS	956-712-4354</t>
  </si>
  <si>
    <t>-AZ Based said , thomas said will disscuss it with his partner after i explained the process he asked to send email and have meeting on monday 9:30pm</t>
  </si>
  <si>
    <t>956-712-4354</t>
  </si>
  <si>
    <t>he is NI to move forward and he hanged up the call</t>
  </si>
  <si>
    <t>stxmes05@gmail.com</t>
  </si>
  <si>
    <t>- Tx based, medicare liscenced interested to expand nationwide meeting mon 9.30 our time 1/16</t>
  </si>
  <si>
    <t>he is in lunch call back in an hour</t>
  </si>
  <si>
    <t>he thinks he can only work in texas, he is not interested to go any where outside of texas and not interested to the whole idea</t>
  </si>
  <si>
    <t>Blandon Realty, Inc.</t>
  </si>
  <si>
    <t>Jose J. Blandon</t>
  </si>
  <si>
    <t>(305) 310-4184</t>
  </si>
  <si>
    <t>HMA MEDICAL SUPPLIERS</t>
  </si>
  <si>
    <t>brandonrealty@msn.com</t>
  </si>
  <si>
    <t>Muhammad (MR ABU)</t>
  </si>
  <si>
    <t>609-237-9512</t>
  </si>
  <si>
    <t>muhammadhashimchaudhry754@gmail.com/ jaxjohan624@gmail.com</t>
  </si>
  <si>
    <t>FL based, he was a bit rude said " you guys make it quick I'll give you 10 mins in the meeting" I told him we don't want that if this is how you're going to speak with us we better not work at all he said yes cancel this, when told him yeah that's better he said I just don't want to stay on the phone for 2 hrs I informed him that I didn't say 2hrs but we have to know if working with you would be suitable for us he said okay call me on Monday (needs someone stern)</t>
  </si>
  <si>
    <t>Nj based, medicare licensed, ship all states, supply ort and cgm sent wemail, meeting today</t>
  </si>
  <si>
    <t>Interested, wanted "More locally FL leads.. We will provide everything" Haven't done this before. Will listen to the call recording and get back to us.
call back in tuesday (Doc 09/19/2025)</t>
  </si>
  <si>
    <t>left a voice mail 01/21/2025</t>
  </si>
  <si>
    <t>RAINBOW SUPPLY, INC.</t>
  </si>
  <si>
    <t>Gelena Gotto</t>
  </si>
  <si>
    <t>718-375-5875 EXT 809</t>
  </si>
  <si>
    <t>rainbowmedical@yahoo.com</t>
  </si>
  <si>
    <t>Ny based ,medicare licensed, ship allstates, supply lymphodema wraps,meeting tomw 6:30pm our time</t>
  </si>
  <si>
    <t>I called her but she has someone in her office she will call me back Doc 11/24/2025, she asked to give her a call back on monday after holiday its really crazy before the holidays that why she was unreachable 11/25 she cant move forward</t>
  </si>
  <si>
    <t>PRESTIGE ADV MED</t>
  </si>
  <si>
    <t>MICHAEL LUNA</t>
  </si>
  <si>
    <t>559-940-9471</t>
  </si>
  <si>
    <t>andrewthis@gmail.com</t>
  </si>
  <si>
    <t>Timestamp</t>
  </si>
  <si>
    <t>Ca based ship supply ort allstates, medicare licensed , meeting friday 8 pm</t>
  </si>
  <si>
    <t>voice mail 01/08/2025</t>
  </si>
  <si>
    <t>SOUTH ORANGE MEDICAL SUPPLIES CORP</t>
  </si>
  <si>
    <t>Mr. Heinrich Chigirinsky (henry)</t>
  </si>
  <si>
    <t>973-763-7869</t>
  </si>
  <si>
    <t>southorangems@gmail.com</t>
  </si>
  <si>
    <t>User</t>
  </si>
  <si>
    <t>Wed 7:30PM</t>
  </si>
  <si>
    <t>NJ Based medicare license, shi[p all states supply lymphadema wraps meeting tomw 7:30 pm our time</t>
  </si>
  <si>
    <t>prices for ort is too high for him and he isNI for CGM and lymphadema wraps</t>
  </si>
  <si>
    <t>ORT (back , Knee , Braces) , send him the email for orthopedic braces + Price list</t>
  </si>
  <si>
    <t>Details</t>
  </si>
  <si>
    <t>The Compression Store</t>
  </si>
  <si>
    <t>Mord Weingarten</t>
  </si>
  <si>
    <t>212 224 9550 ext 303/ dnc (845)-596-2501</t>
  </si>
  <si>
    <t>Row Moved</t>
  </si>
  <si>
    <t>mordechaiw@compressionhealthstore.com</t>
  </si>
  <si>
    <t>NY BASED SPECIALIZE IN LYMPHADEMA COMMPRESSION WRAPS AND PUMPS, SHIP ALL STATE , MEDICARE LISENCED AND ACCREDATED MEETIN 1:PM OUR TIME</t>
  </si>
  <si>
    <t>voice mail doc 11/25/2025</t>
  </si>
  <si>
    <t>New Meetings → Dead Leads | Company: TDDP, INC.</t>
  </si>
  <si>
    <t>voice mail 11/14/2025, need reffrence</t>
  </si>
  <si>
    <t>ben.arthur.wiz@gmail.com</t>
  </si>
  <si>
    <t>Meeting Scheduled</t>
  </si>
  <si>
    <t>EXODUS MEDIA | 1/14/2025, 3:00:00 PM</t>
  </si>
  <si>
    <t>MAIN STREET MEDICAL SUPPLY LLC,</t>
  </si>
  <si>
    <t>MARGARITA TEJEDA</t>
  </si>
  <si>
    <t>661-754-0439</t>
  </si>
  <si>
    <t>EXODUS MEDIA | 1/14/2026, 3:00:00 PM</t>
  </si>
  <si>
    <t>mainstreet@myyahoo.com</t>
  </si>
  <si>
    <t>CA based medicare liscensed, supply the lyphadema wraps, ship allsttaes, meeting tomw same time</t>
  </si>
  <si>
    <t>voice mail 12/04/2025, she call said will call us after reviewing the email, busy these days</t>
  </si>
  <si>
    <t>Meeting with George VESTAVIA MEDICAL SUPPLY LLC -  Dr.THOMAS GLENN SPURLOCK / L0637 , L0456, L0651  , 1833 , 1852 , l3916 , those are the L codes that he is using , ort samples +price list ort + Contract , + l codes that we are using</t>
  </si>
  <si>
    <t>Source Sheet</t>
  </si>
  <si>
    <t>Original Row</t>
  </si>
  <si>
    <t>New Meetings → Dead Leads | Company: PAVILION HEALTH COMPANY, LLC</t>
  </si>
  <si>
    <t>ALL CARE DIABETES LLC</t>
  </si>
  <si>
    <t>FERNANDO VASQUEZ( no logner in the company)</t>
  </si>
  <si>
    <t>978-888-1024 Fernando's number / 9789352525</t>
  </si>
  <si>
    <t>PNANDOV@OUTLOOK.COM</t>
  </si>
  <si>
    <t>-MA Based, Medicare liscenced ,ships all states CGM only meeting tmrw 11.30 est 6.30 pm our time 12/8 - called the new number its regional homecare got the Marketing and partnership numbers and called them and sent email 12/17 Paul O'Reilly
paul.o'reilly@regionalhc.com
917-583-0724
Marketing Executive and Creative Director
Matt Sharris 617-784-5547
Director of Strategic Partnerships and Optimization</t>
  </si>
  <si>
    <t>New Meetings</t>
  </si>
  <si>
    <t>New Meetings → Dead Leads | Company: MEDICARE DROP LLC</t>
  </si>
  <si>
    <t>he hanged up after hearing my name and selene's name</t>
  </si>
  <si>
    <t>Batch Queue</t>
  </si>
  <si>
    <t>Row 114 in New Meetings queued.</t>
  </si>
  <si>
    <t>PRIMELIFE EQUIPMENT LLC</t>
  </si>
  <si>
    <t>Row 101 in New Meetings queued.</t>
  </si>
  <si>
    <t>Shaheer Bin Hassan</t>
  </si>
  <si>
    <t>773-796-0812</t>
  </si>
  <si>
    <t>has.shaheer@gmail.com</t>
  </si>
  <si>
    <t>Medicare liscenced , DME ,CGM wants to work lymphedema , IL based but interested to expand and he has big scam concerns he said he is scared from indian people i explained how we work meeting tmrw 8 pm our time -selene 12/3</t>
  </si>
  <si>
    <t xml:space="preserve">he is not interested </t>
  </si>
  <si>
    <t>Row 115 in New Meetings queued.</t>
  </si>
  <si>
    <t>Row 60 in New Meetings queued.</t>
  </si>
  <si>
    <t>PIONEER ORTHOTICS AND PROSTHETICS</t>
  </si>
  <si>
    <t>DARYA AMIRSHAHROKHI</t>
  </si>
  <si>
    <t>949-945-9606</t>
  </si>
  <si>
    <t>info@pioneerop.com</t>
  </si>
  <si>
    <t>- CA Based ,Medicare Liscence. open to shipping all states prices sent today cb tmrw 9 pm our time -selene 1/29</t>
  </si>
  <si>
    <t>he wants to pay us after 5 months, and he don't want to work with any medicare patients</t>
  </si>
  <si>
    <t>AK and MO based said he can ship around 15 states has ort lymph and medicare liscenced meeting friday 6 pm our time -selene 12/3
- Resent email and he said we can call him next thursday 8 pm our time 12/5 
- doesnt want to preceed said they got into something new -selen 1/15</t>
  </si>
  <si>
    <t>PLANET HEALTH INC</t>
  </si>
  <si>
    <t>KRINABEN SHAH</t>
  </si>
  <si>
    <t>949-568-7886</t>
  </si>
  <si>
    <t>karinarx@gmail.com</t>
  </si>
  <si>
    <t>CA Based open to dropshipping, Med B active</t>
  </si>
  <si>
    <t>Row 98 in New Meetings queued.</t>
  </si>
  <si>
    <t>Logistics</t>
  </si>
  <si>
    <t>Jeebly</t>
  </si>
  <si>
    <t>Joel Vaz</t>
  </si>
  <si>
    <t>Row 116 in New Meetings queued.</t>
  </si>
  <si>
    <t>joel.vaz@jeebly.com</t>
  </si>
  <si>
    <t>Thu 6:00PM</t>
  </si>
  <si>
    <t>-Talked to Joel in linkdin he works as operation supervisor at Jeebly a UAE delivery/ logistics app i told him about us supporting them with chat and customer service he was interested to talk to us on thursday 6 pm he said he wants our profile to read about us 10/6</t>
  </si>
  <si>
    <t>not the right person to talk to</t>
  </si>
  <si>
    <t>New Meetings → Dead Leads | Company: SOUTH TEXAS MEDICAL EQUIPMENT &amp; SUPPLIES</t>
  </si>
  <si>
    <t>Row 135 in Dead Leads queued.</t>
  </si>
  <si>
    <t xml:space="preserve">he is in lunch call back in an hour </t>
  </si>
  <si>
    <t xml:space="preserve">he thinks he can only work in texas, </t>
  </si>
  <si>
    <t>PIONEER DIAGNOSTIC LABS INC</t>
  </si>
  <si>
    <t>Row 14 in New Meetings queued.</t>
  </si>
  <si>
    <t>ALI ALI REFAE</t>
  </si>
  <si>
    <t>PERSONAL 847 915 8226/ OFFICE 2143779997</t>
  </si>
  <si>
    <t>info@pioneercdxlabs.com</t>
  </si>
  <si>
    <t>Mon 9:00PM</t>
  </si>
  <si>
    <t>he is tx based, provide immunodeficiency,pgx, uti medicare liscenced , work nation wide for all patients, meeting on monday 9pm our time and 1 pm their time</t>
  </si>
  <si>
    <t>Client is super skyptical wants guranttees to sign the contract</t>
  </si>
  <si>
    <t>muhammadhashimchaudhry754@gmail.com/  jaxjohan624@gmail.com</t>
  </si>
  <si>
    <t>Row 44 in New Meetings queued.</t>
  </si>
  <si>
    <t>Row 112 in New Meetings queued.</t>
  </si>
  <si>
    <t>ALTA DIAGNOSTIC LABORATORIES, INC</t>
  </si>
  <si>
    <t>New Meetings → Dead Leads | Company: HMA MEDICAL SUPPLIERS</t>
  </si>
  <si>
    <t>MAYA CHAKHALYAN</t>
  </si>
  <si>
    <t>818-573-0434</t>
  </si>
  <si>
    <t>INFO@ALTALABS.NET / maya@altalab.net</t>
  </si>
  <si>
    <t>New Meetings → Dead Leads | Company: RAINBOW SUPPLY, INC.</t>
  </si>
  <si>
    <t>- CA Based accepts medicare patients from other states works on UTI sent email video meeting 9 pm our time 11 am CA time Mon 10/14</t>
  </si>
  <si>
    <t xml:space="preserve">she said that they only work in California but we need to send her the an email explaining what kind of states can she work with/ doing basic blood work </t>
  </si>
  <si>
    <t>follow up call on november 3rd</t>
  </si>
  <si>
    <t>New Meetings → Dead Leads | Company: PRESTIGE ADV MED</t>
  </si>
  <si>
    <t>New Meetings → Dead Leads | Company: SOUTH ORANGE MEDICAL SUPPLIES CORP</t>
  </si>
  <si>
    <t>New Meetings → Dead Leads | Company: The Compression Store</t>
  </si>
  <si>
    <t>New Meetings → Dead Leads | Company: MAIN STREET MEDICAL SUPPLY LLC,</t>
  </si>
  <si>
    <t>New Meetings → Dead Leads | Company: ALL CARE DIABETES LLC</t>
  </si>
  <si>
    <t>Speedy Recovery Equipment And Supplies Inc.</t>
  </si>
  <si>
    <t>Emil Sumaliyev</t>
  </si>
  <si>
    <t>917-981-5765</t>
  </si>
  <si>
    <t>Amonearro@gmail.com</t>
  </si>
  <si>
    <t>New Meetings → Dead Leads | Company: PRIMELIFE EQUIPMENT LLC</t>
  </si>
  <si>
    <t>NY BASED SHIP ALL STATES, ALSO KNOWS 10+ COMPANIES, discussed ort back in april, was interested but his partner was out of state, now interested in glucose</t>
  </si>
  <si>
    <t>daniel collegue tommy wouldn't go for it</t>
  </si>
  <si>
    <t>Doc 02/04/2026 he hanged up on me and said that you are not legit</t>
  </si>
  <si>
    <t>Row 94 in New Meetings queued.</t>
  </si>
  <si>
    <t>Enala for hotels and resorts</t>
  </si>
  <si>
    <t>Mohamed Hossam</t>
  </si>
  <si>
    <t>Mo7md7ossam@icloud.com</t>
  </si>
  <si>
    <t>Wed 3:00PM</t>
  </si>
  <si>
    <t>KSA based its HOTELS and he is the operation manager , interested to speak about customer support</t>
  </si>
  <si>
    <t>he said he is not the right person regarding customer support will send us his college profiles to reach out to them to do meeting</t>
  </si>
  <si>
    <t>COLLIER HOME MEDICAL LLC</t>
  </si>
  <si>
    <t>BRUCE SCOTT MAYS</t>
  </si>
  <si>
    <t>740-574-0327</t>
  </si>
  <si>
    <t>smays@colliermedical.com</t>
  </si>
  <si>
    <t>OH based medicare licencend supply cgm,ship allsates , meeting tomw</t>
  </si>
  <si>
    <t>Row 117 in New Meetings queued.</t>
  </si>
  <si>
    <t>he is interested but he is waiting for the Ky office to open in the next 6 month (long shot)</t>
  </si>
  <si>
    <t>Row 119 in New Meetings queued.</t>
  </si>
  <si>
    <t>PROMEDEQ INC</t>
  </si>
  <si>
    <t>FIRDAV KHOLMURATO</t>
  </si>
  <si>
    <t>215-494-6744</t>
  </si>
  <si>
    <t>promedeqinfo@gmail.com</t>
  </si>
  <si>
    <t>Row 108 in New Meetings queued.</t>
  </si>
  <si>
    <t>CA based medicare liscensed,  supply the lyphadema wraps, ship allsttaes, meeting tomw same time</t>
  </si>
  <si>
    <t>Mon 6:00PM</t>
  </si>
  <si>
    <t>PA Based Medicare liscenced , Nationwide, ORT , Meeting Monday 6 pm our time - selene 12/12</t>
  </si>
  <si>
    <t>voice mail 12/04/2025,  she call said will call us after reviewing the email, busy these days</t>
  </si>
  <si>
    <t>ELCON /1 PM</t>
  </si>
  <si>
    <t>Row 133 in New Meetings queued.</t>
  </si>
  <si>
    <t>MOJISOLA FRAZIER</t>
  </si>
  <si>
    <t>817-716-8814</t>
  </si>
  <si>
    <t>MOJISOLAFRAZIER@ymail.com</t>
  </si>
  <si>
    <t>TUE 7:00PM</t>
  </si>
  <si>
    <t xml:space="preserve">-MA Based, Medicare liscenced ,ships all states CGM only meeting tmrw 11.30 est 6.30 pm our time 12/8 
- called the new number its regional homecare got the Marketing and partnership numbers and called them and sent email 12/17 
Paul O'Reilly
paul.o'reilly@regionalhc.com
917-583-0724
Marketing Executive and Creative Director
Matt Sharris 
 617-784-5547
Director of Strategic Partnerships and Optimization
</t>
  </si>
  <si>
    <t>TX based, supply ort+ lymph , medical liscensed ,ship nationwide, meeting 1/6/25 7:00</t>
  </si>
  <si>
    <t>he said he didn't want to continue and hanged up</t>
  </si>
  <si>
    <t>New Meetings → Dead Leads | Company: PIONEER ORTHOTICS AND PROSTHETICS</t>
  </si>
  <si>
    <t>Row 95 in New Meetings queued.</t>
  </si>
  <si>
    <t>Row 76 in New Meetings queued.</t>
  </si>
  <si>
    <t>DIABETES DME LLC</t>
  </si>
  <si>
    <t>CHRISTIAN TRUJILLO</t>
  </si>
  <si>
    <t>847-873-8040</t>
  </si>
  <si>
    <t>New Meetings → Dead Leads | Company: PLANET HEALTH INC</t>
  </si>
  <si>
    <t>support@diabetesdme.com</t>
  </si>
  <si>
    <t>VESTAVIA MEDICAL SUPPLY LLC</t>
  </si>
  <si>
    <t xml:space="preserve"> Dr.THOMAS GLENN SPURLOCK</t>
  </si>
  <si>
    <t>205-847-0741</t>
  </si>
  <si>
    <t>tomspurlock@hotmail.com</t>
  </si>
  <si>
    <t>New Meetings → Dead Leads | Company: Jeebly</t>
  </si>
  <si>
    <t xml:space="preserve"> AL  based,  supply ort medicare licensed, ship most states , jurcdiiction c and able to expand, meeting  on monday</t>
  </si>
  <si>
    <t>L0637 , L0456, L0651  , 1833 , 1852 , l3916 , those are the L codes that he is using , ort samples +price list ort + Contract , + l codes that we are using</t>
  </si>
  <si>
    <t xml:space="preserve">he keeps hanging up on me twice </t>
  </si>
  <si>
    <t>New Meetings → Dead Leads | Company: PIONEER DIAGNOSTIC LABS INC</t>
  </si>
  <si>
    <t>New Meetings → Follow Ups | Company: ADVANTAGE DIAGNOSTICS CLINICAL LABORATORY LLC</t>
  </si>
  <si>
    <t xml:space="preserve">- CA Based ,Medicare Liscence. open to shipping all states prices sent today cb tmrw 9 pm our time -selene 1/29 </t>
  </si>
  <si>
    <t>New Meetings → Follow Ups | Company: Medical Call centers 4D</t>
  </si>
  <si>
    <t xml:space="preserve">he wants to pay us after 5 months, and he don't want to work with any medicare patients </t>
  </si>
  <si>
    <t>New Meetings → Follow Ups | Company: GENEWELL LABS LLC</t>
  </si>
  <si>
    <t>No Show</t>
  </si>
  <si>
    <t>IL based, supply cgm only, medicare licensed, ship all states send email, meeting tome 6 pm</t>
  </si>
  <si>
    <t>he wants to see the documents of how we get our leads and send it via email 12/10/2025 / Doc 12/17/2025 he is not available i left a message with his assistant gaby</t>
  </si>
  <si>
    <t>New Meetings → Follow Ups | Company: PRECISION DIAGNOSTICS LABORATORY LLC</t>
  </si>
  <si>
    <t>New Meetings → Dead Leads | Company: ALTA DIAGNOSTIC LABORATORIES, INC</t>
  </si>
  <si>
    <t>New Meetings → Follow Ups | Company: DIAGNOSTIC SOLUTIONS</t>
  </si>
  <si>
    <t>New Meetings → Follow Ups | Company: ABDA LABS, LLC</t>
  </si>
  <si>
    <t>New Meetings → Follow Ups | Company: AMIGOS ORTHOTICS &amp; PROSTHETICS</t>
  </si>
  <si>
    <t>844-305-3428 / 9175870865 personal</t>
  </si>
  <si>
    <t>New Meetings → Follow Ups | Company: All Pro Rx Inc.</t>
  </si>
  <si>
    <t>Row 26 in New Meetings queued.</t>
  </si>
  <si>
    <t>New Meetings → Dead Leads | Company: Speedy Recovery Equipment And Supplies Inc.</t>
  </si>
  <si>
    <t>NJ Based Medicare since 2016, bassams comments was that he "Decided to Pass"</t>
  </si>
  <si>
    <t>973-632-2681</t>
  </si>
  <si>
    <t>New Meetings → Follow Ups | Company: COMMERCE RX CORPORATION</t>
  </si>
  <si>
    <t>temporary inactive medicare license ( inactivated their PTan)</t>
  </si>
  <si>
    <t>sent her an email follow up on thursday 10/16</t>
  </si>
  <si>
    <t>New Meetings → Follow Ups | Company: NATIONAL DIABETES CARE, LLC.</t>
  </si>
  <si>
    <t>interest in the uti only, she will call me tomorrow</t>
  </si>
  <si>
    <t>New Meetings → Follow Ups | Company: PINK REGALIA, LLC</t>
  </si>
  <si>
    <t>New Meetings → Follow Ups | Company: MEDEKAN ONLINE SERVICES</t>
  </si>
  <si>
    <t>New Meetings → Follow Ups | Company: KARMA7 MEDICAL SUPPLY LLC</t>
  </si>
  <si>
    <t>open to the idea of collaboration in the future by sending each other referrals, Wants a presentation of everything that we do</t>
  </si>
  <si>
    <t>New Meetings → Follow Ups | Company: SV MEDICAL SOLUTIONS INC</t>
  </si>
  <si>
    <t>he is video consulting call center, Wants the man power to be in the KSA</t>
  </si>
  <si>
    <t>DME MEDICAL SUPPLIES &amp; COMPLEX REHAB INC.</t>
  </si>
  <si>
    <t>New Meetings → Follow Ups | Company: PRISM HEALTH &amp; MEDICAL EQUIPMENT LLC</t>
  </si>
  <si>
    <t>MOHAMMED ZAKI HYDER</t>
  </si>
  <si>
    <t>561-909-9021 / 5612455444</t>
  </si>
  <si>
    <t>sales@dmemedicalsupplies.com</t>
  </si>
  <si>
    <t>New Meetings → Follow Ups | Company: BIO SYSTEMS LABORATORY, LLC</t>
  </si>
  <si>
    <t>New Meetings → Dead Leads | Company: Enala for hotels and resorts</t>
  </si>
  <si>
    <t>Fl based, supply ort,cg, ,lymphadema wraps, ship allstates, medicare licenced, meeting on friday</t>
  </si>
  <si>
    <t>Interested in UTI, STI ,PGX and Immundefiency test / covid ( influenza A ,b ) RSV , meeting tuesday 11:00 am, SAID WILL START ON FEB</t>
  </si>
  <si>
    <t>Another meeting on Wed 4 pm CST send contract</t>
  </si>
  <si>
    <t>New Meetings → Follow Ups | Company: SYNERGY MOBILE LAB LTD</t>
  </si>
  <si>
    <t>New Meetings → Follow Ups | Company: BINSON'S FLORIDA, LLC</t>
  </si>
  <si>
    <t>Send him an email with a contract and everything (meeting friday 2:00 pm )</t>
  </si>
  <si>
    <t>Embrace Pink</t>
  </si>
  <si>
    <t>wants an email for everything that we do , they handle very large volume from 200-300, he do everything inhouse but he might think that our prices are a bit high</t>
  </si>
  <si>
    <t>JILLIANE PUGH</t>
  </si>
  <si>
    <t>330-625-5911</t>
  </si>
  <si>
    <t>jill@embrace.pink,</t>
  </si>
  <si>
    <t>OH based medicare licensed,supply lemphadema wrap, can ship to all states meeting 7 pm</t>
  </si>
  <si>
    <t>voicemail 12/18/2025</t>
  </si>
  <si>
    <t>she said that they only work in California but we need to send her the an email explaining what kind of states can she work with</t>
  </si>
  <si>
    <t>New Meetings → Follow Ups | Company: Cozmo travel</t>
  </si>
  <si>
    <t>New Meetings → Follow Ups | Company: MAMMOTH PATH SOLUTION, LLC</t>
  </si>
  <si>
    <t>New Meetings → Follow Ups | Company: LABPHARMA, LLC</t>
  </si>
  <si>
    <t>New Meetings → Follow Ups | Company: MEDQ MEDICAL SUPPLY</t>
  </si>
  <si>
    <t>QUALITYCARE LLC</t>
  </si>
  <si>
    <t>New Meetings → Follow Ups | Company: PRECISE MEDICAL SERVICES, LLC</t>
  </si>
  <si>
    <t>Jessica Wilks (Office Manager) - TX Based accepts medicare patients from other states works on PGX sent email meeting 5pm our time wed 10/14</t>
  </si>
  <si>
    <t>sent an email follow up tomorrow</t>
  </si>
  <si>
    <t>wants an email and to see the draft and the Contract</t>
  </si>
  <si>
    <t>ABDA LABS, LLC</t>
  </si>
  <si>
    <t>ERICK</t>
  </si>
  <si>
    <t>512-222-8529 office no (press 2)512-222-7177</t>
  </si>
  <si>
    <t>erick.alvarado@abdalabs.com</t>
  </si>
  <si>
    <t>Wed 8:00PM</t>
  </si>
  <si>
    <t>Mariam Kashif</t>
  </si>
  <si>
    <t>Tx based, bill medicare and they think they can serve patients from all states they will aske their billing consultant, they work uti for now and pgx, immuno deficiency may be later, meetint tomw with ERIC TOMW 12PM CST, 8 PM OUR TIME</t>
  </si>
  <si>
    <t>866-984-3540</t>
  </si>
  <si>
    <t>quality.care01@outlook.com</t>
  </si>
  <si>
    <t>meeting with him and david tomorrow</t>
  </si>
  <si>
    <t>Spoke to Erick , matt also spoke to eric regarding uti</t>
  </si>
  <si>
    <t>TX based ,supply ort and cgm medicare liscenced, ship all states, meeting monday 6:30 our time</t>
  </si>
  <si>
    <t>AMIGOS ORTHOTICS &amp; PROSTHETICS</t>
  </si>
  <si>
    <t>left a voice mail to call me back , she said will get her partner on wednesday in the meeting at 6pm / Voice mail 12/17/2025, she won’t be able to do the meeting today due to a family emergency., will do meeting afer chrismas
they have other indian calll centers working with them getting paid net 15 and they want to call each patient before dispensing the supplies, no chance for an upfront payment</t>
  </si>
  <si>
    <t>Alpha Sanusi</t>
  </si>
  <si>
    <t>626-622-3359</t>
  </si>
  <si>
    <t>alpha@amigosoandp.com</t>
  </si>
  <si>
    <t>- AZ BASED medicare licensed, bill medicare, provide ort, cgm, lymphadema wraps, ship allstates, meeting 11 pm</t>
  </si>
  <si>
    <t>only interested in doing Orthopedic braces and prostatics dont want to pay upfront</t>
  </si>
  <si>
    <t>call back tomorrow the line keeps cutting in and out and we couldn't hear each other 11/10/2025</t>
  </si>
  <si>
    <t>New Meetings → Follow Ups | Company: WEST DIAGNOSTICS L L C</t>
  </si>
  <si>
    <t>All Pro Rx Inc.</t>
  </si>
  <si>
    <t>Svetlana Shlyam</t>
  </si>
  <si>
    <t>allprorxinc@gmail.com</t>
  </si>
  <si>
    <t>NY based ship all states. supply cgm and lymphadema wraps, medicare licsenced she got it and ready to work, meeting tomw 6:30</t>
  </si>
  <si>
    <t>she is not in the stage to do this right now , call back in a month DOC 11/17/2025</t>
  </si>
  <si>
    <t>send you information CGM and the lymphedema wraps , Send you pricing and the contract and the sample of the prescription that you will receive, sample recordings, not ready now</t>
  </si>
  <si>
    <t>New Meetings → Follow Ups | Company: CHARITY COMFORT CARE SERVICES. LLC</t>
  </si>
  <si>
    <t>New Meetings → Dead Leads | Company: COLLIER HOME MEDICAL LLC</t>
  </si>
  <si>
    <t>New Meetings → Follow Ups | Company: SEASIDE DME OF NY, INC</t>
  </si>
  <si>
    <t xml:space="preserve">Doc 02/04/2026 he hanged up on me and said that you are not legit </t>
  </si>
  <si>
    <t>New Meetings → Follow Ups | Company: LYMPHMED LLC</t>
  </si>
  <si>
    <t>New Meetings → Follow Ups | Company: VERINA CO MEDICAL SUPPLIES LLC</t>
  </si>
  <si>
    <t>COMMERCE RX CORPORATION</t>
  </si>
  <si>
    <t>Leslie Branch Warrington &amp; Will</t>
  </si>
  <si>
    <t>662-441-7979</t>
  </si>
  <si>
    <t>New Meetings → Dead Leads | Company: PROMEDEQ INC</t>
  </si>
  <si>
    <t>jwjarrett92@gmail.com/ commercedme117@gmail.com</t>
  </si>
  <si>
    <t>MS based, can ship to all states, mentioned that they mainly do foot compression socks but they can also supply the other wraps. They do braces also. Didn't ask about prices. Spoke to leslie who was busy and she gave me the pharmacy's number to speak with will. In the meeting Will will be there and I guess Leslie also will be but I'm not sure</t>
  </si>
  <si>
    <t>I spoke to zach for the first time , he would review the email (CGM &amp; Lymphadema ) and want me to add my contact information for him to call back again</t>
  </si>
  <si>
    <t>New Meetings → Follow Ups | Company: EXPO MEDICAL SUPPLY LLC</t>
  </si>
  <si>
    <t>he told me that they wouldn't be interested in doing lymphadema wraps, Just CGM (dexcom G7 not freestyle libre 3 ) , Meeting with leslie would be next monday same time</t>
  </si>
  <si>
    <t>New Meetings → Follow Ups | Company: SHAPIRO Z ENTERPRISE INCORPORATED</t>
  </si>
  <si>
    <t>New Meetings → Follow Ups | Company: SAN BENITO RX LLC</t>
  </si>
  <si>
    <t>New Meetings → Follow Ups | Company: GREAT HELP MEDICAL SUPPLY LLC</t>
  </si>
  <si>
    <t>New Meetings → Dead Leads | Company: MOJISOLA FRAZIER</t>
  </si>
  <si>
    <t>New Meetings → Dead Leads | Company: BACKCOUNTRY MEDICAL SOLUTIONS</t>
  </si>
  <si>
    <t>New Meetings → Follow Ups | Company: LIFECARE LAB</t>
  </si>
  <si>
    <t>New Meetings → Follow Ups | Company: VESTAVIA MEDICAL SUPPLY LLC</t>
  </si>
  <si>
    <t>HEART MEDIX LLC</t>
  </si>
  <si>
    <t>Arish</t>
  </si>
  <si>
    <t>346 646 3627</t>
  </si>
  <si>
    <t>HEARTMEDIX@GMAIL.COM</t>
  </si>
  <si>
    <t>New Meetings → Follow Ups | Company: NASMED LLC</t>
  </si>
  <si>
    <t>MEDEKAN ONLINE SERVICES</t>
  </si>
  <si>
    <t>MIRIAM UDOKAH</t>
  </si>
  <si>
    <t>-He called me , TX Based , medicare liscenced CGM ORT and also wants PPO works for 6 DMEs and he really wants patient orders meeting tmrw 11.30 am cst 6.30 pm our time -selene 4/15 - wants PPO when we are working he said he will start immediatly -selene 4/22</t>
  </si>
  <si>
    <t>346-582-8336</t>
  </si>
  <si>
    <t>medekanorders@gmail.com</t>
  </si>
  <si>
    <t>Asked a lot about prices and didn't ask any questions regarding operations... Possibly a window shopper. Said he will call me back.</t>
  </si>
  <si>
    <t>New Meetings → Follow Ups | Company: FIT TO GO LLC</t>
  </si>
  <si>
    <t>Tue 7:00PM</t>
  </si>
  <si>
    <t>TX Based, Mediacare All States &amp; accredited
WAITING ON TRIAL PT 1/28</t>
  </si>
  <si>
    <t>her medicare is under review 12/18</t>
  </si>
  <si>
    <t>mobility products ( wheelchairs , cains ) , CGM . Lymphadema wraps, DOC 01/15/2025, she is interested CGM and lymphadema wraps she wants the price list and the CPT codes for the products to know the reimbursements , she can work in Jurc c 01/21/2026</t>
  </si>
  <si>
    <t>New Meetings → Follow Ups | Company: STEMLYFT PARTNERS LLC</t>
  </si>
  <si>
    <t>New Meetings → Follow Ups | Company: CLINICARE LAB LTD</t>
  </si>
  <si>
    <t>New Meetings → Follow Ups | Company: N &amp; L MEDICAL SUPPLY, INC</t>
  </si>
  <si>
    <t>Maxtimemedsupply Llc</t>
  </si>
  <si>
    <t>Irfan Ahmad Qureshi</t>
  </si>
  <si>
    <t>818-305-9457</t>
  </si>
  <si>
    <t>jme@jamamedical.com</t>
  </si>
  <si>
    <t>New Meetings → Follow Ups | Company: ABACOA MEDICAL SUPPLIES INC</t>
  </si>
  <si>
    <t>Voice mail, he said will give a call this week to us after he speaks with his partner./ he was out of town and office want us to call him back on 27th january</t>
  </si>
  <si>
    <t>Tue 9:00:PM</t>
  </si>
  <si>
    <t>he wants to work only if i sent him 1 trial , send him the sigvaris cateloges, he said he is busy now have dr appointmentand will close his office tomw, he prefer to give him a call back after holiday on monday.11/25 / ben can you send the sigvaris files ? \</t>
  </si>
  <si>
    <t>Spoke to frank the manager, PPO, all states, for medicare they do PCP and telemed, they don't work with HMO only PPO, DME and CGM
-I informed him that we won't provide the pcp prescription nor the pre authorization and he said it's fine"</t>
  </si>
  <si>
    <t>Talked about a potential PPO project. He will talk to his team and get back to us</t>
  </si>
  <si>
    <t>New Meetings → Dead Leads | Company: ORTHOTIC &amp; PROSTHETICS INTERNATIONAL</t>
  </si>
  <si>
    <t>New Meetings → Follow Ups | Company: APEX MEDICAL SUPPLY INC</t>
  </si>
  <si>
    <t>929-556-3030</t>
  </si>
  <si>
    <t>NY based , Medicare liscenced , ships all states supplies lymph wraps interested to know more and he wanted to know about prices too meeting next wed at 5pm our time 10 am est 11/13
- said to give acb fri thats when he will be availble 1/7</t>
  </si>
  <si>
    <t>New Meetings → Follow Ups | Company: FIRST CHOICE ORTHOTICS PROSTHETICS AND DME</t>
  </si>
  <si>
    <t>voice mail 12/09/2025</t>
  </si>
  <si>
    <t>Really good Calliber , He wants us to send him the Cataelogue from sgivaris and the contracrt if we didn't already send him and he also wants to see how many patients can we send monthly</t>
  </si>
  <si>
    <t>SLB DIAGNOSTIC SOLUTION LLC</t>
  </si>
  <si>
    <t>TANISHA SHUANTE RILES</t>
  </si>
  <si>
    <t>New Meetings → Follow Ups | Company: EDWARDS HEALTH CARE SERVICES, INC.</t>
  </si>
  <si>
    <t>912-501-4094</t>
  </si>
  <si>
    <t>slb@slbdiagnoticssolution.com</t>
  </si>
  <si>
    <t>Ga based, medicare licensed, bill medicare , accept patients from allsttaes, they work with ther lab that process for them MEETING TOMW 1:30PM TIME</t>
  </si>
  <si>
    <t>New Meetings → Follow Ups | Company: PAYBACK TIME</t>
  </si>
  <si>
    <t>she doesn't want to do any marketing, she thought that we are a clinic and we wanted to provide our patients to her without her paying anything</t>
  </si>
  <si>
    <t>New Meetings → Follow Ups | Company: EIV DIAGNOSTICS LLC</t>
  </si>
  <si>
    <t>Left him a voice mail 12/01/2025
-said he will reach out to george -selene 1/27</t>
  </si>
  <si>
    <t>interested to see the prices for the braces and the CGM but not to work per hour</t>
  </si>
  <si>
    <t>New Meetings → Follow Ups | Company: DME HEALTH SOLUTIONS LLC</t>
  </si>
  <si>
    <t>New Meetings → Follow Ups | Company: ELITE LABS AND MORE</t>
  </si>
  <si>
    <t>New Meetings → Follow Ups | Company: PREMIER LAB SOLUTIONS BAKERSFIELD LLC</t>
  </si>
  <si>
    <t>FRI 4:00 PM</t>
  </si>
  <si>
    <t>New Meetings → Follow Ups | Company: RAPHA LABORATORIES, LLC</t>
  </si>
  <si>
    <t>New Meetings → Dead Leads | Company: US LAB HOLDINGS LLC</t>
  </si>
  <si>
    <t>New Meetings → Follow Ups | Company: BESTCARE DME LLC</t>
  </si>
  <si>
    <t>he wants to see the documents of how we get our lea/ds and send it via email 12/10/2025 / Left a voice mail at 01/08/2025</t>
  </si>
  <si>
    <t>New Meetings → Follow Ups | Company: ORTHOTIC &amp; PROSTHETIC ARTS</t>
  </si>
  <si>
    <t>Row 65 in New Meetings queued.</t>
  </si>
  <si>
    <t>SYNERGY MOBILE LAB LTD</t>
  </si>
  <si>
    <t>New Meetings → Follow Ups | Company: GTI lab</t>
  </si>
  <si>
    <t>SANDRA RODRIGUEZ</t>
  </si>
  <si>
    <t>445-206-2025</t>
  </si>
  <si>
    <t>synergylabmgmt@gmail.com</t>
  </si>
  <si>
    <t>PA based, medicare licensed, accept patients from all states do immuno deficiency, asked to send email, meeting tomw 8 pm our tim</t>
  </si>
  <si>
    <t>Doc 01/08/2025, she is NI call her back on february</t>
  </si>
  <si>
    <t>New Meetings → Follow Ups | Company: HEALIX LLC</t>
  </si>
  <si>
    <t>sandra is very polite, she will think about this and review the email but she wants us to follow up with her on the 9th of december</t>
  </si>
  <si>
    <t>PRIME MEDICAL SUPPLY CORP</t>
  </si>
  <si>
    <t>BENJAMIN NADLAR</t>
  </si>
  <si>
    <t>718-437-0066 EXT 101</t>
  </si>
  <si>
    <t>New Meetings → Dead Leads | Company: DME MEDICAL SUPPLIES &amp; COMPLEX REHAB INC.</t>
  </si>
  <si>
    <t>BENJAMIN@primemedsupply.com</t>
  </si>
  <si>
    <t>Batch Row Moved</t>
  </si>
  <si>
    <t>New Meetings → Follow Ups | Company: APBMEDICALSUPPLY CORP</t>
  </si>
  <si>
    <t>586-933-7598</t>
  </si>
  <si>
    <t>He said he doesn’t trust anyone and has an issue with paying upfront. He mentioned that he’s worked with Medicare for 30 years and questioned how he can be sure he’ll get paid for the leads being sent. I told him that George would be the best person to discuss this with him. NY based Can ship nationwide has been with medicare for 30 years</t>
  </si>
  <si>
    <t>meeting on friday12/5/2025 / voice mail 01/08/2025</t>
  </si>
  <si>
    <t>New Meetings → Follow Ups | Company: THRASH MEDICAL SUPPLY, LLC</t>
  </si>
  <si>
    <t>ben can you send the price list ( 2 modules + sigvaris catlogue ) they will respond back to the email with their convenient time</t>
  </si>
  <si>
    <t>New Meetings → Follow Ups | Company: ROTTAM LLC</t>
  </si>
  <si>
    <t>New Meetings → Follow Ups | Company: TRI-STATE MEDICAL SUPPLIES, LLC</t>
  </si>
  <si>
    <t>New Meetings → Dead Leads | Company: Embrace Pink</t>
  </si>
  <si>
    <t>Row 257 in Follow Ups queued.</t>
  </si>
  <si>
    <t>MAMMOTH PATH SOLUTION, LLC</t>
  </si>
  <si>
    <t>RYAN HILTON</t>
  </si>
  <si>
    <t>305-332-0669</t>
  </si>
  <si>
    <t>ryan@mammothrx.com</t>
  </si>
  <si>
    <t>Row 7 in New Meetings queued.</t>
  </si>
  <si>
    <t>CA based,medicare licensed, accept all pt nation wide, to immunodeficiency, meeting on monaday, asked to send email, to check everything and want hs team to be avalible in the meeting he is the owner</t>
  </si>
  <si>
    <t>he said to call him at the end of the day</t>
  </si>
  <si>
    <t>he wants to talk to his compliance team, and the attorney team , Doc 12/04/2025 he talked to them but they are just waiting on the attorney. Keeps ringing then hang uo 01/19/2025</t>
  </si>
  <si>
    <t>DALLY DIAGNOSTICS INC</t>
  </si>
  <si>
    <t>Row 47 in New Meetings queued.</t>
  </si>
  <si>
    <t>MAHAD SHAKIL</t>
  </si>
  <si>
    <t>Row 2 in Follow Ups queued.</t>
  </si>
  <si>
    <t>425-499-8375</t>
  </si>
  <si>
    <t>shakilm@branviallc.com</t>
  </si>
  <si>
    <t>Row 3 in Follow Ups queued.</t>
  </si>
  <si>
    <t>Meeting next friday same time 9:30 our time</t>
  </si>
  <si>
    <t>he doesn't do any Genetic testing ( he doesn't have the equipment for it ) but he might be able to do UTI / blood tests / covid and influenza</t>
  </si>
  <si>
    <t>Row 4 in Follow Ups queued.</t>
  </si>
  <si>
    <t>Row 5 in Follow Ups queued.</t>
  </si>
  <si>
    <t>Row 6 in Follow Ups queued.</t>
  </si>
  <si>
    <t>- MI Based , Medicare liscenced accepts nationwide has NGS tests through other labs meeting today 5 pm our time 2/5</t>
  </si>
  <si>
    <t>rescheduled for jan 6</t>
  </si>
  <si>
    <t>he was a bit busy when i called him, he said we can only do WA at first then he said 25 states, then he said not legal to call patients and he will pass, then he said to call him back at 2:00 pm, I will call him to make sure I understand what is going on he seemed disoriented and not focused today</t>
  </si>
  <si>
    <t>Row 7 in Follow Ups queued.</t>
  </si>
  <si>
    <t>Row 9 in Follow Ups queued.</t>
  </si>
  <si>
    <t>PRECISE MEDICAL SERVICES, LLC</t>
  </si>
  <si>
    <t>DAVID FORRESTER</t>
  </si>
  <si>
    <t>973-906-9898</t>
  </si>
  <si>
    <t>Row 10 in Follow Ups queued.</t>
  </si>
  <si>
    <t>precisemedical194@gmail.com</t>
  </si>
  <si>
    <t>NJ based, supply ort , cgm, lymphadema wraps, medicare lisenced, ship all states, meeting tomw 7:pm</t>
  </si>
  <si>
    <t>- ben can you send the email for the CGM &amp; lymphadema wraps</t>
  </si>
  <si>
    <t>Row 11 in Follow Ups queued.</t>
  </si>
  <si>
    <t>he wants a referral to talk to , he is more interested in doing the CGM , doesn't have a problem on the CGM, not intresteed after he thinked alot about it</t>
  </si>
  <si>
    <t>Row 18 in Follow Ups queued.</t>
  </si>
  <si>
    <t>PRECISE CARE CLINICAL LAB INC</t>
  </si>
  <si>
    <t>FAZAL AHMEDI / ALI</t>
  </si>
  <si>
    <t>312-799-9556</t>
  </si>
  <si>
    <t>Row 30 in Follow Ups queued.</t>
  </si>
  <si>
    <t>info.il@precisecarelab.com</t>
  </si>
  <si>
    <t>DR. SAED RAHMAT SADEGHI</t>
  </si>
  <si>
    <t>MON 8:30 PM</t>
  </si>
  <si>
    <t>310-962-9523</t>
  </si>
  <si>
    <t>ILL bases , accepts nationwide medicare patients provides immune genetic testing said to call him MONDAY 8,30 our time -selene 1/8</t>
  </si>
  <si>
    <t>contact@sholdingsllc.com/ admin@amgdx.com/</t>
  </si>
  <si>
    <t>Row 34 in Follow Ups queued.</t>
  </si>
  <si>
    <t xml:space="preserve">01/13/2026 3:00 pm their time
waiting a call from him , he will discuss it with his partners to see if he can move forward , he is interested however waiting to discuss the prices with him , Left a voice mail 01/19/2026 / voice mail again, he has home health location wants UTI sold his lab </t>
  </si>
  <si>
    <t>Row 39 in Follow Ups queued.</t>
  </si>
  <si>
    <t>Row 40 in Follow Ups queued.</t>
  </si>
  <si>
    <t>Row 42 in Follow Ups queued.</t>
  </si>
  <si>
    <t>patients that needs any home health , care giver services , certified nurse or assistant in dalls and fortort area ,</t>
  </si>
  <si>
    <t>He doesn't have the marketing budget rightnow so he won't be able to work with us / he asked to be contacted in february</t>
  </si>
  <si>
    <t>Row 46 in Follow Ups queued.</t>
  </si>
  <si>
    <t>Row 47 in Follow Ups queued.</t>
  </si>
  <si>
    <t>Row 48 in Follow Ups queued.</t>
  </si>
  <si>
    <t>EDWARDS HEALTH CARE SERVICES, INC.</t>
  </si>
  <si>
    <t>Row 49 in Follow Ups queued.</t>
  </si>
  <si>
    <t>BARBARA LEVAY</t>
  </si>
  <si>
    <t>330-655-8351</t>
  </si>
  <si>
    <t>Row 50 in Follow Ups queued.</t>
  </si>
  <si>
    <t>blevay@myehcs.com</t>
  </si>
  <si>
    <t>Row 51 in Follow Ups queued.</t>
  </si>
  <si>
    <t>Fl based cgm only , bill medicare, ship all states, asked to send email then will discuss with her gener manager sher isd the vp operation , meeting on friday 12pm</t>
  </si>
  <si>
    <t>2/6/2026 11:30:00
they are currently have 2000 patients that they are working with, they want us to send the websites (for wazowski &amp; UC Marketing ) and price list and Template contract explaining the two modules (pay per hour (regular price) and Flat fee ( regular price ), Please have ben send these documents and Kaity set the meeting on february the 6th 11:30 am , she said that she dont want to move forward for now</t>
  </si>
  <si>
    <t>Row 52 in Follow Ups queued.</t>
  </si>
  <si>
    <t>NY Based, medicare, larry works with owner "JINGLING TANG" is a decision maker,</t>
  </si>
  <si>
    <t>Row 53 in Follow Ups queued.</t>
  </si>
  <si>
    <t>718-387-5504 / 5163474271</t>
  </si>
  <si>
    <t>Row 58 in Follow Ups queued.</t>
  </si>
  <si>
    <t>he wants to get on a google meet to discuss everything friday afternoon, waiting for his text to confirm the exact time Doc 01/13/2026</t>
  </si>
  <si>
    <t>HEALIX LLC</t>
  </si>
  <si>
    <t>MALIK RUMMAN QADEER</t>
  </si>
  <si>
    <t>813-720-5106</t>
  </si>
  <si>
    <t>unitedmsusallc@outlook.com</t>
  </si>
  <si>
    <t>Row 57 in Follow Ups queued.</t>
  </si>
  <si>
    <t>His License rejected on one company due to fraduelnt prescriptions, but has another dme working
He works medicare part B, talked about docu signed form for patients told him our clients handle that part , told him about hourly cgm prices
another dme is In Florida and dropshipping, 1/27</t>
  </si>
  <si>
    <t>WANTS TEMPLATE AND ORT PRICES, NEED TO TALK HIM OUT OF DOCUSIGN ESIGNATURE FORM</t>
  </si>
  <si>
    <t>Row 62 in Follow Ups queued.</t>
  </si>
  <si>
    <t>Row 65 in Follow Ups queued.</t>
  </si>
  <si>
    <t>Row 70 in Follow Ups queued.</t>
  </si>
  <si>
    <t>Row 71 in Follow Ups queued.</t>
  </si>
  <si>
    <t>Row 72 in Follow Ups queued.</t>
  </si>
  <si>
    <t>LABS 2 GEAUX, LLC</t>
  </si>
  <si>
    <t>MECA P IRVING</t>
  </si>
  <si>
    <t>225-341-0595</t>
  </si>
  <si>
    <t>Row 73 in Follow Ups queued.</t>
  </si>
  <si>
    <t>mobile@labs2geaux.com</t>
  </si>
  <si>
    <t>Row 74 in Follow Ups queued.</t>
  </si>
  <si>
    <t>305-336-1809</t>
  </si>
  <si>
    <t>Row 75 in Follow Ups queued.</t>
  </si>
  <si>
    <t>more interested in CGM , needs better pricing , Might be interested in getting 2 agents</t>
  </si>
  <si>
    <t>Row 76 in Follow Ups queued.</t>
  </si>
  <si>
    <t>Row 78 in Follow Ups queued.</t>
  </si>
  <si>
    <t>-LA Based Medicare liscenced,nationwide meeting Friday 10.00 pm our time video meeting -selene 2/13</t>
  </si>
  <si>
    <t>Its a mobile lab that does NGS through Accu reference lab Mr Lanbedder (318) 547-5706 set a meeting with him - He is really not interested in doing any extra work and hes not sure if he does the NGS test and he usually works with drs directly and he finds the process reaaly confusing he said to shot him a text about what we do</t>
  </si>
  <si>
    <t>Row 79 in Follow Ups queued.</t>
  </si>
  <si>
    <t>Row 80 in Follow Ups queued.</t>
  </si>
  <si>
    <t>shapiro wanted to review the prices and the contract and respond back to us, call back next wednesday same time 1/29</t>
  </si>
  <si>
    <t>He said to reschedule to monday 2 pm est, Doc 02/04/2026, left a voice mail</t>
  </si>
  <si>
    <t>Row 81 in Follow Ups queued.</t>
  </si>
  <si>
    <t>Row 82 in Follow Ups queued.</t>
  </si>
  <si>
    <t>Row 83 in Follow Ups queued.</t>
  </si>
  <si>
    <t>Row 84 in Follow Ups queued.</t>
  </si>
  <si>
    <t>Oscar said to send him all the details with the pricing and he will discuss it with the owner and he asked if we can call him tomorrow 1 pm ( his time ) sent it again prices 1/9, he said he received it and will call us back this week</t>
  </si>
  <si>
    <t>Row 85 in Follow Ups queued.</t>
  </si>
  <si>
    <t>Medex Laboratories Inc.</t>
  </si>
  <si>
    <t>Abdul Hanan</t>
  </si>
  <si>
    <t>631-746-1227</t>
  </si>
  <si>
    <t>Row 86 in Follow Ups queued.</t>
  </si>
  <si>
    <t>Row 87 in Follow Ups queued.</t>
  </si>
  <si>
    <t>Row 88 in Follow Ups queued.</t>
  </si>
  <si>
    <t>he has talk to his Partner, /sample + recordings + pricing + contract / DOC 01/09/2025 hanged up on me</t>
  </si>
  <si>
    <t>Row 89 in Follow Ups queued.</t>
  </si>
  <si>
    <t>- TX Based , Medicare licesnced accepts nationwide mediacare patients does NGS has problem with his email so he said to call him instead of video meeting mon 2 pm CST 10 pm our time -selene 2/13</t>
  </si>
  <si>
    <t>he doesn't have a lap and he only has a dme company and he doesn't even had a medicare license</t>
  </si>
  <si>
    <t>Row 90 in Follow Ups queued.</t>
  </si>
  <si>
    <t>Row 91 in Follow Ups queued.</t>
  </si>
  <si>
    <t>Row 92 in Follow Ups queued.</t>
  </si>
  <si>
    <t>Atlanta Medical Supply Inc</t>
  </si>
  <si>
    <t>Arut Tatevosian</t>
  </si>
  <si>
    <t>305-713-9937</t>
  </si>
  <si>
    <t>Row 93 in Follow Ups queued.</t>
  </si>
  <si>
    <t>atlantamedsupply@gmail.com</t>
  </si>
  <si>
    <t>GA Based, just got medicare</t>
  </si>
  <si>
    <t>BACKCOUNTRY MEDICAL SOLUTIONS</t>
  </si>
  <si>
    <t>Row 94 in Follow Ups queued.</t>
  </si>
  <si>
    <t>MATTHEW COURTNEY</t>
  </si>
  <si>
    <t>behind the wheel call back in 30 min
said to call him back in a couple of months 10/16
call him 3:00 PM EST</t>
  </si>
  <si>
    <t>303-437-0347</t>
  </si>
  <si>
    <t>matt@ctocmedical.com</t>
  </si>
  <si>
    <t>Row 95 in Follow Ups queued.</t>
  </si>
  <si>
    <t>CO bases , accepts nationwide medicare patients provides ORT + Lymphedema meeting is monday 8:00 01/12/25 ,</t>
  </si>
  <si>
    <t>only cash or Va patients</t>
  </si>
  <si>
    <t>send the contract + price list + reimbursement 80% +</t>
  </si>
  <si>
    <t>Row 96 in Follow Ups queued.</t>
  </si>
  <si>
    <t>Row 100 in Follow Ups queued.</t>
  </si>
  <si>
    <t>Row 102 in Follow Ups queued.</t>
  </si>
  <si>
    <t>send you information CGM and the lymphedema wraps , Send you pricing and the contract and the sample of the prescription that you will receive, sample recordings, not ready now
she is not in the stage to do this right now , call back in a month DOC 11/17/2025</t>
  </si>
  <si>
    <t>Row 103 in Follow Ups queued.</t>
  </si>
  <si>
    <t>Row 104 in Follow Ups queued.</t>
  </si>
  <si>
    <t>Row 106 in Follow Ups queued.</t>
  </si>
  <si>
    <t>Dr.THOMAS GLENN SPURLOCK</t>
  </si>
  <si>
    <t>Row 108 in Follow Ups queued.</t>
  </si>
  <si>
    <t>MEDICAL SUPPLY PLUS LLC</t>
  </si>
  <si>
    <t>BRIAN REARDEN</t>
  </si>
  <si>
    <t>Row 109 in Follow Ups queued.</t>
  </si>
  <si>
    <t>865-606-4550</t>
  </si>
  <si>
    <t>contact@medsupplyllc.com</t>
  </si>
  <si>
    <t>AL based, supply ort medicare licensed, ship most states , jurcdiiction c and able to expand, meeting on monday</t>
  </si>
  <si>
    <t>FRI 20:00 PM</t>
  </si>
  <si>
    <t>L0637 , L0456, L0651 , 1833 , 1852 , l3916 , those are the L codes that he is using , ort samples +price list ort + Contract , + l codes that we are using</t>
  </si>
  <si>
    <t>Row 110 in Follow Ups queued.</t>
  </si>
  <si>
    <t>ORT, waiting to hear back from manufacturing, interested , dropshipping &amp; Med B active,</t>
  </si>
  <si>
    <t>Can you send him the Contract for CGM 
sample prescription + recordings + template recording + pricing module (two modules ) 
- call back Friday morning 11 Central time</t>
  </si>
  <si>
    <t>Good Meeting, set for next friday send avg prices ort cgm contract, no credentials for DMEPOS ptan good
got too much on his hands, NI for now (seems scared) - ben</t>
  </si>
  <si>
    <t>1/27/2026 11:30 Central time</t>
  </si>
  <si>
    <t>Row 111 in Follow Ups queued.</t>
  </si>
  <si>
    <t>Row 113 in Follow Ups queued.</t>
  </si>
  <si>
    <t>Row 120 in Follow Ups queued.</t>
  </si>
  <si>
    <t>(929) 400-0237</t>
  </si>
  <si>
    <t>Row 121 in Follow Ups queued.</t>
  </si>
  <si>
    <t>His wife company has the PTan , (marketing Team inhouse, so she wouldn't need us ) he didn't get the PTan yet, he told me to follow up with him in march</t>
  </si>
  <si>
    <t>Row 122 in Follow Ups queued.</t>
  </si>
  <si>
    <t>Please send the Contract AND the CGM (sample + Prices) and the ORT (sample + Prices</t>
  </si>
  <si>
    <t>AIDAN MEDICAL PRODUCTS INC</t>
  </si>
  <si>
    <t>MIKE SMITH</t>
  </si>
  <si>
    <t>616-245-6500</t>
  </si>
  <si>
    <t>msmith@aidanmedical.com</t>
  </si>
  <si>
    <t>TUE 20:00 PM</t>
  </si>
  <si>
    <t>Mike Smith, BD &amp; PARTNER, Med B and everything but can only Michigan, sent supplier list 2/16
open for dropshipping explain out payment modules + trial pt + send him cgm prices and reimbursments set a meeting 2/27</t>
  </si>
  <si>
    <t>Row 126 in Follow Ups queued.</t>
  </si>
  <si>
    <t>Row 129 in Follow Ups queued.</t>
  </si>
  <si>
    <t>he so interested in CGM we had</t>
  </si>
  <si>
    <t>MEDICAL SUPPLIES DME, LLC</t>
  </si>
  <si>
    <t>Milad Jabarzade</t>
  </si>
  <si>
    <t>Row 127 in Follow Ups queued.</t>
  </si>
  <si>
    <t>818-481-9190</t>
  </si>
  <si>
    <t>coremedsupplies@gmail.com/ info@medicalsuppliesdme.com</t>
  </si>
  <si>
    <t>he want to know the prices ,ca based shipp allstates supply both cgm and ort, but said cant bill for cgm, but can bill for ort, pcpc orders, said will cb to send email, friday 10:00 , prefer to chat in whatsapp</t>
  </si>
  <si>
    <t>Ben Arthur can you send all the information for Braces ?
not responding
number disconnected - ben</t>
  </si>
  <si>
    <t>Row 130 in Follow Ups queued.</t>
  </si>
  <si>
    <t>Row 131 in Follow Ups queued.</t>
  </si>
  <si>
    <t>send the contract and the pricing ( for CGM ) , he is also interested in the braces 01/30/2025, he saw the price list and the reimbursements and he would give me a call back in an hour and also i could contact him on whats app</t>
  </si>
  <si>
    <t>Row 132 in Follow Ups queued.</t>
  </si>
  <si>
    <t>01/13/2025 2:00 pm CST</t>
  </si>
  <si>
    <t>HIGH PRECISION LABORATORY INC</t>
  </si>
  <si>
    <t>Row 133 in Follow Ups queued.</t>
  </si>
  <si>
    <t>KARO DARBINIAN</t>
  </si>
  <si>
    <t>805-901-0000</t>
  </si>
  <si>
    <t>hpdlinc@gmail.com/</t>
  </si>
  <si>
    <t>Row 134 in Follow Ups queued.</t>
  </si>
  <si>
    <t>Row 136 in Follow Ups queued.</t>
  </si>
  <si>
    <t>Row 137 in Follow Ups queued.</t>
  </si>
  <si>
    <t>- OR Based ,Medicare liscenced accepts nationwide said has NGS machine inhouse he said he will review the email and wanted meeting fri 11 am PST 9 pm our time -selene 2/23
- He said he didnt recieve the email and wanted the meeting to be postponed to next week because something urgent happened -selene 2/27</t>
  </si>
  <si>
    <t>N &amp; L MEDICAL SUPPLY, INC</t>
  </si>
  <si>
    <t>Row 138 in Follow Ups queued.</t>
  </si>
  <si>
    <t>SVETLANA LALETIN</t>
  </si>
  <si>
    <t>718-232-9077</t>
  </si>
  <si>
    <t>nlmedicalsupply@gmail.com</t>
  </si>
  <si>
    <t>Row 139 in Follow Ups queued.</t>
  </si>
  <si>
    <t>NY based supply ort , shipp alls states,medicare licensed sevetlana will be in the office later afternoon or tomw morning nlmedicalsupply@gmail.com</t>
  </si>
  <si>
    <t>we talked about orthopedic braces she want to see the prices then ask me the rest of the questions</t>
  </si>
  <si>
    <t>send the contract and the pricing and samples for ort</t>
  </si>
  <si>
    <t>Row 141 in Follow Ups queued.</t>
  </si>
  <si>
    <t>Row 142 in Follow Ups queued.</t>
  </si>
  <si>
    <t>jp@abacoamedical.com,</t>
  </si>
  <si>
    <t>Row 144 in Follow Ups queued.</t>
  </si>
  <si>
    <t>interested in Lead generation , he might start biweekly with us and then wramp it up 01/16/2025</t>
  </si>
  <si>
    <t>left a voice mail left a left a voice mail 01/21/2025</t>
  </si>
  <si>
    <t>Row 145 in Follow Ups queued.</t>
  </si>
  <si>
    <t>Lab expert llc</t>
  </si>
  <si>
    <t>Natasha</t>
  </si>
  <si>
    <t>954-401-7079</t>
  </si>
  <si>
    <t>support@labxperts.org</t>
  </si>
  <si>
    <t>FRI 10:30 PM 02/13</t>
  </si>
  <si>
    <t>Row 146 in Follow Ups queued.</t>
  </si>
  <si>
    <t>ORTHOTIC &amp; PROSTHETICS INTERNATIONAL</t>
  </si>
  <si>
    <t>FL based IMMUNE</t>
  </si>
  <si>
    <t>PRESTON NEWBOLD</t>
  </si>
  <si>
    <t>she does not have the machines needed and she will check with reference labs</t>
  </si>
  <si>
    <t>330-244-9058</t>
  </si>
  <si>
    <t>Preston@usPROSTHETICS.com</t>
  </si>
  <si>
    <t>Row 147 in Follow Ups queued.</t>
  </si>
  <si>
    <t>OH based supply ORTH BRACES shipp alls states,medicare licensed</t>
  </si>
  <si>
    <t>He is interested in doing the braces he wants to have an estimate of what he will spend against what he will receive in reimbursements</t>
  </si>
  <si>
    <t>he is more interested in prostatics also he thinks that this is a risk that he is not willing to take at the moment</t>
  </si>
  <si>
    <t>Row 25 in New Meetings queued.</t>
  </si>
  <si>
    <t>New Meetings → No-Show | Company: PRIME MEDICAL SUPPLY CORP</t>
  </si>
  <si>
    <t>APEX MEDICAL SUPPLY INC</t>
  </si>
  <si>
    <t>JEELANI BALOCH(OWNER)/ Maha/ Sarah</t>
  </si>
  <si>
    <t>630) 418-6827 / 6302356868 ( personal )</t>
  </si>
  <si>
    <t>New Meetings → No-Show | Company: Acute Medical Supply</t>
  </si>
  <si>
    <t>orders@apexmedicalsupplyil.com /</t>
  </si>
  <si>
    <t>THRASH MEDICAL SUPPLY, LLC</t>
  </si>
  <si>
    <t>JEELANI BALOCH(OWNER)/ Maha/ SarahIL based, supply ort, for now ship il but willing to expand, send email and they wanted to discuss more booked video meeting</t>
  </si>
  <si>
    <t>CARL THRASH</t>
  </si>
  <si>
    <t>504-962-3103</t>
  </si>
  <si>
    <t>New Meetings → No-Show | Company: BIONX LLC</t>
  </si>
  <si>
    <t>Doc 01/19/2026 - Jeelani , wants CGM ,
- Epiode alert link - DDP Link - Template of faxing - Palmetto link (20 states that are free zone State) Send pdf,
--------------------------------------------------
- medicare part b , Can work in States that are Jurc B, - orthopedic braces - lymphadema wraps Price list, --------------------------------------------------
next meeting, 01/26/2026, 7:30 our time ----------------------------------------------</t>
  </si>
  <si>
    <t>THRASHMEDICALSUPPLY@GMAIL.COM</t>
  </si>
  <si>
    <t>send a CGM contract + pay per presctiption and send a finance invoice</t>
  </si>
  <si>
    <t>LA Based, He is afraid of making something against the law, can do lymph+ort, can ship nation wide and can bill medicare</t>
  </si>
  <si>
    <t>send a contract for ort and CGM , price list and the avg. reimbursmenet, call him tomorrow same time will text him monday, he decided to not move forward 02/25/2026</t>
  </si>
  <si>
    <t>New Meetings → No-Show | Company: 3M MEDICAL ASSOCIATES</t>
  </si>
  <si>
    <t>New Meetings → No-Show | Company: ALPHA MEDICAL SUPPLIES PLUS CORP</t>
  </si>
  <si>
    <t>New Meetings → No-Show | Company: GLACIER MEDICAL SUPPLY, INC.</t>
  </si>
  <si>
    <t>Row 28 in New Meetings queued.</t>
  </si>
  <si>
    <t>PEX MEDIBRIDGE SOLUTION CORP</t>
  </si>
  <si>
    <t>he is interested in doing the braces he wants to review the document and then we can call back 2:00 pm , he wants a contract the price list and the palmetto states where he could know which states can he work in</t>
  </si>
  <si>
    <t>PAULA BURCH JACKSON</t>
  </si>
  <si>
    <t>404-803-7159</t>
  </si>
  <si>
    <t>info@PEXMEDIBRIDGESOLUTION.com</t>
  </si>
  <si>
    <t>FRI 9:30PM</t>
  </si>
  <si>
    <t>GA Based, licsenced, ship all states, she said that she did that before and called PT and there were NI</t>
  </si>
  <si>
    <t>New Meetings → No-Show | Company: MIRACLES MEDICAL SUPPLIES LLC</t>
  </si>
  <si>
    <t>"she said that she has a problem paying upfront and I mentioned the trial, then she said sth I did not catch and told me let us talk later and hung up 2/3/25 11:57 She is in a vacation with her husband she will be back next tueday 1/30/26 7:23 NA 1/22/26 10:34 She is extremly scared as she is under audit now, she said she wants to discuss that with her team and will get back to us cb TUES if she did not come back on MON"</t>
  </si>
  <si>
    <t>New Meetings → No-Show | Company: GRACEWOOD MEDICAL SUPPLIES INC</t>
  </si>
  <si>
    <t>New Meetings → No-Show | Company: DIALOGIX LABORATORY INC</t>
  </si>
  <si>
    <t>they are currently have 2000 patients that they are working with, they want us to send the websites (for wazowski &amp; UC Marketing ) and price list and Template contract explaining the two modules (pay per hour (regular price) and Flat fee ( regular price ), Please have ben send these documents and Kaity set the meeting on february the 6th 11:30 am</t>
  </si>
  <si>
    <t>New Meetings → No-Show | Company: GROVER MED LLC</t>
  </si>
  <si>
    <t>ELITE DIAGNOSTIC LABORATORY</t>
  </si>
  <si>
    <t>ERAN WEINBERG</t>
  </si>
  <si>
    <t>323-578-2029</t>
  </si>
  <si>
    <t>eran@curapathdx.com</t>
  </si>
  <si>
    <t>New Meetings → No-Show | Company: ASSIST DEPOT LLC</t>
  </si>
  <si>
    <t>He might go thru a refrence lab</t>
  </si>
  <si>
    <t>he isn't interested any more</t>
  </si>
  <si>
    <t>New Meetings → No-Show | Company: ICON MEDICAL SUPPLIES, LLC</t>
  </si>
  <si>
    <t>Send Price list , contract template , he has no problem to work in other , next thursday 7:00 pm ,he is waiting to verify some stuff and talk to his consultant and get back to us</t>
  </si>
  <si>
    <t>New Meetings → No-Show | Company: XO DME LLC</t>
  </si>
  <si>
    <t>New Meetings → No-Show | Company: PRECISE CARE CLINICAL LAB INC</t>
  </si>
  <si>
    <t>New Meetings → No-Show | Company: MEDEX DIAGNOSTIC SERVICES INC</t>
  </si>
  <si>
    <t>RELIABLE STICK AND LABORATORY</t>
  </si>
  <si>
    <t>ARIEL SNIDER-DAWSON</t>
  </si>
  <si>
    <t>843-359-7052</t>
  </si>
  <si>
    <t>he wants to do some duediligence to check if everything checks out, he is kinda skyptical and not very sure that if he did this he will get paid from medicare but we can do a follow up meeting on the 27th 11:00 pm , Doc 01/21/2025</t>
  </si>
  <si>
    <t>RELIABLESTICKLAB@gmail.com</t>
  </si>
  <si>
    <t>wednesday 11:00 pm</t>
  </si>
  <si>
    <t>WED 9:30 PM 02/11</t>
  </si>
  <si>
    <t>New Meetings → No-Show | Company: ODESSA MEDICAL SUPPLY INC.</t>
  </si>
  <si>
    <t>SC Based can do NGS and UTI</t>
  </si>
  <si>
    <t>he has something right now and he has to leave the office he wants us to send him a calender invite about monday 1 oc'lock, he seemed very skyptical about working with someone overseas and he would discuss it with the team and give us a call back ( probably he wouldn't work with us )</t>
  </si>
  <si>
    <t>New Meetings → No-Show | Company: VM HEALTHCARE SUPPLY</t>
  </si>
  <si>
    <t>New Meetings → No-Show | Company: Marquis Health Solutions Inc</t>
  </si>
  <si>
    <t>REZA SUPPLY INC</t>
  </si>
  <si>
    <t>RAKHMIN USTAYEV</t>
  </si>
  <si>
    <t>347-527-2908</t>
  </si>
  <si>
    <t>rezasupply@gmail.com</t>
  </si>
  <si>
    <t>New Meetings → No-Show | Company: LIFEQUEST DIAGNOSTICS LLC</t>
  </si>
  <si>
    <t>Ny based, supply ort all states, medicare licsence, send email, meeting tomw 10:30 our time</t>
  </si>
  <si>
    <t>he will read the email and he wants me to call him tomorrow 10:00 am/ not ready this mont call next year on january
spoke with him (12/09/2025 ) he will talk to his partners and get back to me in regards to the orthopedic braces and a trial phase
NI, ben</t>
  </si>
  <si>
    <t>New Meetings → No-Show | Company: HEIDE'S MASTECTOMY SERVICES, INC.</t>
  </si>
  <si>
    <t>New Meetings → No-Show | Company: Next Step Home Deals</t>
  </si>
  <si>
    <t>New Meetings → No-Show | Company: Care First Equipments Llc</t>
  </si>
  <si>
    <t>she doesn't have money to start with us but she will see if she can get some money either from a loan or somebody to start</t>
  </si>
  <si>
    <t>New Meetings → No-Show | Company: Novamed Care Llc</t>
  </si>
  <si>
    <t>New Meetings → No-Show | Company: Family Medical Supply Inc</t>
  </si>
  <si>
    <t>TUE 9:00 PM 3/2</t>
  </si>
  <si>
    <t>New Meetings → No-Show | Company: TBH Remodeling LLC.</t>
  </si>
  <si>
    <t>He does UTI, and Can do immune through another lab, can accept medicare PT and accept from all states</t>
  </si>
  <si>
    <t>two California and one Chicago</t>
  </si>
  <si>
    <t>he wants a referral to talk to , he is more interested in doing the CGM , doesn't have a problem on the CGM, not intresteed after he thinked alot about it
- ben can you send the email for the CGM &amp; lymphadema wraps
said he was NI ben</t>
  </si>
  <si>
    <t>we need to my seq, Pgx , they need to do gene validation, we need to the machine that they are using and gene validation to do this CPT code ,</t>
  </si>
  <si>
    <t>Row 3 in No-Show queued.</t>
  </si>
  <si>
    <t>Row 4 in No-Show queued.</t>
  </si>
  <si>
    <t>Row 7 in No-Show queued.</t>
  </si>
  <si>
    <t>TUE 8:00 PM 10/03</t>
  </si>
  <si>
    <t>NCBased, Can do Immune and UTI
Accept medicare and PT from all state wants to know more in the Email Tuesday 1:00 pm</t>
  </si>
  <si>
    <t>he is interested and he will review the document , he wants to follow up in a week , February 10th , send the calender the invite today and he will accept it</t>
  </si>
  <si>
    <t>Row 18 in No-Show queued.</t>
  </si>
  <si>
    <t>Row 21 in No-Show queued.</t>
  </si>
  <si>
    <t>Row 22 in No-Show queued.</t>
  </si>
  <si>
    <t>he told me that they wouldn't be interested in doing lymphadema wraps, Just CGM (dexcom G7 not freestyle libre 3 ) , Meeting with leslie would be next monday same time
I spoke to zach for the first time , he would review the email (CGM &amp; Lymphadema ) and want me to add my contact information for him to call back again
Not interested - ben</t>
  </si>
  <si>
    <t>Mon 6:00 PM</t>
  </si>
  <si>
    <t>Row 2 in Contract Sent queued.</t>
  </si>
  <si>
    <t>he is not convinced that he should pay an upfront payment he wants to pay weekly after receiving the Patients, Propability 25%</t>
  </si>
  <si>
    <t>Row 35 in Onboarded queued.</t>
  </si>
  <si>
    <t>BESTCARE DME LLC</t>
  </si>
  <si>
    <t>NOACH SCHMAHL / BERNARD</t>
  </si>
  <si>
    <t>718-208-4300 ext 102</t>
  </si>
  <si>
    <t>noah@bestcaredme.com/ bernard@bestcaredme.com</t>
  </si>
  <si>
    <t>-NY based, ort, supply , ship allstates, medicare licensed, meeting 3.</t>
  </si>
  <si>
    <t>Row 39 in Onboarded queued.</t>
  </si>
  <si>
    <t>they will review the documents and wants us to call back next wednesday the sam time</t>
  </si>
  <si>
    <t>Row 41 in Onboarded queued.</t>
  </si>
  <si>
    <t>Row 42 in Onboarded queued.</t>
  </si>
  <si>
    <t>call back tomorrow the line keeps cutting in and out and we couldn't hear each other 11/10/2025
only interested in doing Orthopedic braces and prostatics dont want to pay upfront</t>
  </si>
  <si>
    <t>Row 43 in Onboarded queued.</t>
  </si>
  <si>
    <t>Row 44 in Onboarded queued.</t>
  </si>
  <si>
    <t>GTI lab</t>
  </si>
  <si>
    <t>Collin walker</t>
  </si>
  <si>
    <t>205-427-8180</t>
  </si>
  <si>
    <t>Cwalker@gtilaboratories.com</t>
  </si>
  <si>
    <t>Row 45 in Onboarded queued.</t>
  </si>
  <si>
    <t xml:space="preserve">WED 7:00 PM 11/02 </t>
  </si>
  <si>
    <t>Collin walker - Account Manager GTI lab - account manager UTI - NGS - PGX - nuero - STI - Covid Tuesday 3 pm WA time Cwalker@gtilaboratories.com"</t>
  </si>
  <si>
    <t>he would get ashley the manager of the ngs to review the documents and the contract , they do mainly PGX but they also do Immune, We didn't talk about pricing because he is not the decision maker, they are a good lab that is in the busines for 15 years but never done marketing before</t>
  </si>
  <si>
    <t>Row 15 in Real Estate queued.</t>
  </si>
  <si>
    <t>Row 16 in Real Estate queued.</t>
  </si>
  <si>
    <t>they decided that they don't want to resume on the orthopedic braces but to work on some physical therapy products they will review the documents and wants us to call back next wednesday the sam time</t>
  </si>
  <si>
    <t>MUSC MEDICAL</t>
  </si>
  <si>
    <t>TASHA MUSCARELLA</t>
  </si>
  <si>
    <t>772-236-7213</t>
  </si>
  <si>
    <t>Row 19 in Real Estate queued.</t>
  </si>
  <si>
    <t>tasha@righttheredme.com</t>
  </si>
  <si>
    <t>FL based ORT  SUPPLY , MEDICARE LIECNESED, SHIP ALL SATTES , MEETING  TUESDAY 8 PM</t>
  </si>
  <si>
    <t>she declined the invite, she is driving please send her an email asking her what would be a good time tomorrow to get on a call and wait for her response</t>
  </si>
  <si>
    <t>Row 21 in Real Estate queued.</t>
  </si>
  <si>
    <t>Row 22 in Real Estate queued.</t>
  </si>
  <si>
    <t>JEM HC LLC</t>
  </si>
  <si>
    <t>Mr. Moishe Tabak</t>
  </si>
  <si>
    <t>New Meetings → No-Show | Company: MO MED SUPPLY LLC</t>
  </si>
  <si>
    <t>848-525-1551</t>
  </si>
  <si>
    <t>mark@homechoiceny.com</t>
  </si>
  <si>
    <t>Tue 7:30:PM</t>
  </si>
  <si>
    <t>New Meetings → No-Show | Company: Allboro One Medsupply Inc.</t>
  </si>
  <si>
    <t>nj based, supply ort and cgm, medic are licensed, bill medicare , ship all states nation wide, said eill text me his email to send the email and will let me know when will be the best time for the meeting tomw 7:30pm</t>
  </si>
  <si>
    <t>INTERESTED IN cgm , HE WANTS us to send the email containing the breakdown / scope of work / sample / contract / pricing : scope of work (
he is NI anymore ( 08/29/2025)</t>
  </si>
  <si>
    <t>New Meetings → No-Show | Company: Lula Bell Medical Supplies &amp; Equipment Llc</t>
  </si>
  <si>
    <t>New Meetings → No-Show | Company: Active Therapy Supply, Inc</t>
  </si>
  <si>
    <t>New Meetings → No-Show | Company: WEST COAST DME &amp; SUPPLIES LLC</t>
  </si>
  <si>
    <t>he is not convinced that he should pay an upfront payment he wants to pay weekly after receiving the Patients, Propability 25%, Doc 02/04/2026 he wants to send this to their billing people and then touch base with the reference lab and try to follow up next thursday 02/12/2026 , send a calender invite for next thursday Chad@MODUSlaboratorIES.COM , Vasco@MODUSlaboratorIES.COM,, we sent him the documents needed they will call us today or tomorrow 02/26/2026 , will send chad information about a person that can help them with the validation and instrument set up , 04/02/2026 i spoke to chad he said that they are still interested but maybe the needed a month to move forward and i sent him a contact info to help him with anything that he needs</t>
  </si>
  <si>
    <t>RELIABLE MEDICAL EQUIPMENT SUPPLY INC</t>
  </si>
  <si>
    <t>Babar M Baig</t>
  </si>
  <si>
    <t>APBMEDICALSUPPLY CORP</t>
  </si>
  <si>
    <t>312-282-9686</t>
  </si>
  <si>
    <t>MALIKA ABDULLAEVA</t>
  </si>
  <si>
    <t>RELIABLEDME786@GMAIL.COM
babarbaig786@gmail.com</t>
  </si>
  <si>
    <t>New Meetings → No-Show | Company: AffordableONE Kirkendall Insurance</t>
  </si>
  <si>
    <t>570-502-0099</t>
  </si>
  <si>
    <t>APBMEDICALSUPPLY@gmail.com</t>
  </si>
  <si>
    <t>-IL Based Medicare and Medicaid liscenced ORT CGM ships IL but want to ships all states and he is interested in the prices and how will we onboard him if we worked meeting mon 10 am cst 6 pm our time -selene 9/4</t>
  </si>
  <si>
    <t>PA Based Medicare liscenced ships nationwide meeting tmrw 11 am est 6 pm our time 2/3</t>
  </si>
  <si>
    <t>he only wants to work in illinois , He will talk to the Biller and get back to me 09-16-2025
babarbaig786@gmail.com
- DOC</t>
  </si>
  <si>
    <t xml:space="preserve">she wants to see a landing page for the adds and us to call her back on friday the same time </t>
  </si>
  <si>
    <t>New Meetings → No-Show | Company: Customer Contact Panel</t>
  </si>
  <si>
    <t>Follow Ups → Contract Sent | Company: N &amp; L MEDICAL SUPPLY, INC</t>
  </si>
  <si>
    <t xml:space="preserve">send a contract for ort  and CGM , price list and the avg. reimbursmenet,  call him tomorrow same time </t>
  </si>
  <si>
    <t>Follow Ups → No-Show | Company: Peachtree Medical Supply Llc</t>
  </si>
  <si>
    <t>718-232-9077/ personel email 9174464638</t>
  </si>
  <si>
    <t>Follow Ups → No-Show | Company: Greater Hills Med Supply Llc</t>
  </si>
  <si>
    <t>send the contract and the pricing and samples for ort
we talked about orthopedic braces she want to see the prices then ask me the rest of the questions , call her on monday</t>
  </si>
  <si>
    <t>Follow Ups → No-Show | Company: Swift Medical Equipment, Inc.</t>
  </si>
  <si>
    <t>Call back 01/08/2025</t>
  </si>
  <si>
    <t>billing option / wound care supplies / "Send palmetto + sample prescription + contract for CGM (usual price) + follow up after christmas
DONE"</t>
  </si>
  <si>
    <t>Follow Ups → No-Show | Company: PZ Solutions</t>
  </si>
  <si>
    <t>Follow Ups → No-Show | Company: Kings Home Realty Advisory Group</t>
  </si>
  <si>
    <t>5 STAR CURE LLC</t>
  </si>
  <si>
    <t>JOSEPH BRISK</t>
  </si>
  <si>
    <t>Temporary Inactive → Follow Ups | Company: CARE MEDICAL RESOURCES</t>
  </si>
  <si>
    <t>917-748-9124</t>
  </si>
  <si>
    <t>info@fivestarcure.com/ joseph@fivestarcure.com</t>
  </si>
  <si>
    <t>Note edit in Row 120 of Follow Ups queued.</t>
  </si>
  <si>
    <t>Ny based they supply ort, ship allstates , medicare licensed, send email meeting</t>
  </si>
  <si>
    <t>Note edit in Row 84 of Follow Ups queued.</t>
  </si>
  <si>
    <t>he has something right now and he has to leave the office he wants us to send him a calender invite about monday 1 oc'lock, he seemed very skyptical about working with someone overseas and he would discuss it with the team and give us a call back ( probably he wouldn't work with us )
HUNGUP - ben</t>
  </si>
  <si>
    <t>Follow Ups → No-Show | Company: Aa Medical Supply Inc</t>
  </si>
  <si>
    <t>Note edit in Row 108 of Follow Ups queued.</t>
  </si>
  <si>
    <t>Follow Ups → No-Show | Company: FIT TO GO LLC</t>
  </si>
  <si>
    <t>Best Choice Supplies Corp</t>
  </si>
  <si>
    <t>he has a law suit right now ( can't do business till couple of months )</t>
  </si>
  <si>
    <t>Eliezer Friedman</t>
  </si>
  <si>
    <t>we need to send him the website for the states that he can work with, some prouct knoweldge about lymphadema wraps and theircodes and the Excel sheet that give the reimbursement for each product</t>
  </si>
  <si>
    <t>Follow Ups → Contract Sent | Company: Aa Medical Supply Inc</t>
  </si>
  <si>
    <t>917-685-9565</t>
  </si>
  <si>
    <t>eli@bestchoicemed.com</t>
  </si>
  <si>
    <t>Wed 10:45PM</t>
  </si>
  <si>
    <t>NY based but can ship to all states, he wasn't clear as to if he has his license, having an audit, or still going through inspection, he seemed intrigued to know what we do nd how we do everything, I sent him an email and set a meeting</t>
  </si>
  <si>
    <t>send all the info on the ORthopedic Braces + Price list + a sample from pcp order and telemed Order ( ben ) talk to him tuesday 8:00 pm our time lymphadema + uv wands + Stocking +breast pumps
"VM (09/19/2025)
- called him and explained everything he was angry and hung up said ni several times 12/1"</t>
  </si>
  <si>
    <t>Follow Ups → Contract Sent | Company: STEMLYFT PARTNERS LLC</t>
  </si>
  <si>
    <t>Email Proposal + Contract</t>
  </si>
  <si>
    <t>Dead Leads → No-Show | Company: MINHA MEDICAL SUPPLIES LLC</t>
  </si>
  <si>
    <t>Sheet9 → Dead Leads | Company: MAMMOTH PATH SOLUTION, LLC</t>
  </si>
  <si>
    <t>Sheet9 → Dead Leads | Company: QUALITYCARE LLC</t>
  </si>
  <si>
    <t>GATE MEDICAL SUPPLY LLC</t>
  </si>
  <si>
    <t>Mr. Glenn Allen Thornton Jr.</t>
  </si>
  <si>
    <t>619-737-6219</t>
  </si>
  <si>
    <t>gatemedicalsupply@outlook.com</t>
  </si>
  <si>
    <t>Tue 11:00:PM</t>
  </si>
  <si>
    <t>Sheet9 → Follow Ups | Company: BESTCARE DME LLC</t>
  </si>
  <si>
    <t>- CA Based ,Medicare liscenced works with CGM, ORT Ships all states seems like understands the work he said that he can work with us but the leads has to be obtained legally so focus on that part meeting tues 11 pm our time 1 pdr his time -selene 8/18</t>
  </si>
  <si>
    <t>waiting for him to call me after reviewing the documents
VM ( 08/29/2025) , texted him on whatsapp, He is not available called him via ultatel 02/25/2026
-No longer intersted in CGM Manufacutring cost up reembusrment cost down said he wants to know entire process of ORT meeting today 11 pm Not Interested, too much going on with marketing, scared - ben</t>
  </si>
  <si>
    <t>ni for dme desk</t>
  </si>
  <si>
    <t>Sheet9 → Dead Leads | Company: Embrace Pink</t>
  </si>
  <si>
    <t xml:space="preserve">BENJAMIN@primemedsupply.com
</t>
  </si>
  <si>
    <t>Sheet9 → Dead Leads | Company: DME MEDICAL SUPPLIES &amp; COMPLEX REHAB INC.</t>
  </si>
  <si>
    <t xml:space="preserve">He said he doesn’t trust anyone and has an issue with paying upfront. He mentioned that he’s worked with Medicare for 30 years and questioned how he can be sure he’ll get paid for the leads being sent. I told him that George would be the best person to discuss this with him. 
NY based 
Can ship nationwide has been with medicare for 30 years </t>
  </si>
  <si>
    <t>MAGNOLIA MEDICAL EQUIPMENT AND SUPPLIES LLC</t>
  </si>
  <si>
    <t>JOHN BASS</t>
  </si>
  <si>
    <t>Sheet9 → Dead Leads | Company: N J Planet Medical &amp; Surgical Supply</t>
  </si>
  <si>
    <t>843-642-3645</t>
  </si>
  <si>
    <t>MAGNOLIAMEDICALDME@GMAIL.COM</t>
  </si>
  <si>
    <t>Can do ORT, when I called him he said I want to do some research before taking any steps, and I asked him for a meeting to discuss info with George. Can ship nation wide and has his PTAN and medicare license</t>
  </si>
  <si>
    <t>he wants something from CMS or Palmetto saying that he can work with an offshore marketing company if i can find something like this he will be onboard if not he asked not to be contacted again</t>
  </si>
  <si>
    <t>Sheet9 → Dead Leads | Company: DIABETES DME LLC</t>
  </si>
  <si>
    <t>Sheet9 → Dead Leads | Company: MOJISOLA FRAZIER</t>
  </si>
  <si>
    <t>Sheet9 → Dead Leads | Company: PROMEDEQ INC</t>
  </si>
  <si>
    <t>BIONX LLC</t>
  </si>
  <si>
    <t>ANNA EASTON</t>
  </si>
  <si>
    <t>800-540-8324 ext 704</t>
  </si>
  <si>
    <t>anna@bionx.org</t>
  </si>
  <si>
    <t>-Nj based, supply ort, medicare licensed, ship allstates, what to the Lcodes coverd by medicare</t>
  </si>
  <si>
    <t>Sheet9 → Dead Leads | Company: Enala for hotels and resorts</t>
  </si>
  <si>
    <t xml:space="preserve">she wants to reschedule to thursday the same time </t>
  </si>
  <si>
    <t>A-Z &amp; MEDICAL SUPPLY INC</t>
  </si>
  <si>
    <t>DIANA LOPATINSKY</t>
  </si>
  <si>
    <t>847-718-1833</t>
  </si>
  <si>
    <t>Sheet9 → Dead Leads | Company: Speedy Recovery Equipment And Supplies Inc.</t>
  </si>
  <si>
    <t>diana@azmedicalsupplychicago.com</t>
  </si>
  <si>
    <t>MON 10:00 PM</t>
  </si>
  <si>
    <t>IL Based, Med B, ORT Only no cgm, nothing unusual only discussed our process</t>
  </si>
  <si>
    <t>Sheet9 → Dead Leads | Company: ALTA DIAGNOSTIC LABORATORIES, INC</t>
  </si>
  <si>
    <t>-OH Based , Medicare liscenced , nationwide supplies ORT ,CGM ,Lymph, spoke to Atta he said Bob the decison maker will speak to george meeting tmrw 5.30 our time -selene 1/27 salem</t>
  </si>
  <si>
    <t>Sheet9 → Dead Leads | Company: PIONEER DIAGNOSTIC LABS INC</t>
  </si>
  <si>
    <t>Sheet9 → Dead Leads | Company: Jeebly</t>
  </si>
  <si>
    <t>-CA Based , Medicare liscenced , nationwide meeting fri 9.30 our time -selene 1/26
- He reviwed our Documents said he is not ready to work with medicare Cb in 3 Months 1/30</t>
  </si>
  <si>
    <t>Sheet9 → Dead Leads | Company: PLANET HEALTH INC</t>
  </si>
  <si>
    <t>Sheet9 → Dead Leads | Company: PIONEER ORTHOTICS AND PROSTHETICS</t>
  </si>
  <si>
    <t>ADVANCE ORTHOTICS AND PROSTHETICS</t>
  </si>
  <si>
    <t>SIMON LAM</t>
  </si>
  <si>
    <t>626-757-1920</t>
  </si>
  <si>
    <t>Sheet9 → Dead Leads | Company: PRIMELIFE EQUIPMENT LLC</t>
  </si>
  <si>
    <t>SIMONLAMHAN@YAHOO.COM</t>
  </si>
  <si>
    <t>WED 11:00 PM</t>
  </si>
  <si>
    <t>CA based, Medicare liscenced , ships locally but interested to expand nationwide he said he wants acall meeting because he has plenty of patients , meeting at at wed 11.30 pm our time -selene 3/17 - He said he was busy with a patient he said to give him a call tmrw at 12 am our time -selene 3/19</t>
  </si>
  <si>
    <t>Sheet9 → Dead Leads | Company: ALL CARE DIABETES LLC</t>
  </si>
  <si>
    <t>no show / voice mail - said he doesnt need the service right now</t>
  </si>
  <si>
    <t>Sheet9 → Dead Leads | Company: MAIN STREET MEDICAL SUPPLY LLC,</t>
  </si>
  <si>
    <t>Sheet9 → Dead Leads | Company: The Compression Store</t>
  </si>
  <si>
    <t>- FL Based, Medicare Liscenced Ships all states ORT meeting mon 8 pm our time 1/23</t>
  </si>
  <si>
    <t>Sheet9 → Dead Leads | Company: SOUTH ORANGE MEDICAL SUPPLIES CORP</t>
  </si>
  <si>
    <t>Sheet9 → Dead Leads | Company: PRESTIGE ADV MED</t>
  </si>
  <si>
    <t>Sheet9 → Dead Leads | Company: RAINBOW SUPPLY, INC.</t>
  </si>
  <si>
    <t>mobility products ( wheelchairs , cains ) , CGM . Lymphadema wraps, DOC 01/15/2025, she is interested CGM and lymphadema wraps she wants the price list and the CPT codes for the products to know the reimbursements , she can work in Jurc c 01/21/2026
her medicare is under review 12/18
fucked up the trial, claim denied</t>
  </si>
  <si>
    <t>Sheet9 → Dead Leads | Company: HMA MEDICAL SUPPLIERS</t>
  </si>
  <si>
    <t>DIALOGIX LABORATORY INC</t>
  </si>
  <si>
    <t>ADHITYA C SUMARDIE</t>
  </si>
  <si>
    <t>310-339-6659</t>
  </si>
  <si>
    <t>adhi@DIALOGIXlab.com</t>
  </si>
  <si>
    <t>He revwied the mail and he saw that this is sth he is not ready for right now especially paying for the marketing thing, he will the contact if this is sth he wants to collaborate with in the future 1/28/26 6:20
He does UTI, and Can do immune through another lab, can accept medicare PT and accept from all states</t>
  </si>
  <si>
    <t>Sheet9 → Dead Leads | Company: SOUTH TEXAS MEDICAL EQUIPMENT &amp; SUPPLIES</t>
  </si>
  <si>
    <t>MALLARD MEDICAL SUPPLY LLC</t>
  </si>
  <si>
    <t>Sheet9 → Dead Leads | Company: MEDICARE DROP LLC</t>
  </si>
  <si>
    <t>Andrew</t>
  </si>
  <si>
    <t>501-554-7574</t>
  </si>
  <si>
    <t>aavaritt@mallardmed.com</t>
  </si>
  <si>
    <t>516-882-7473</t>
  </si>
  <si>
    <t>Sheet9 → Dead Leads | Company: PAVILION HEALTH COMPANY, LLC</t>
  </si>
  <si>
    <t>Apologies for the short notice, but the CEO of the company said he's not interested at this time which prevents me from moving forward. I will save this info and reach out to you if anything changes. 
Talked to andrew, he is interested, but he wants to check with the ceo first ( james )</t>
  </si>
  <si>
    <t>Sheet9 → Dead Leads | Company: TDDP, INC.</t>
  </si>
  <si>
    <t>Sheet9 → Dead Leads | Company: DME MARKET LLC</t>
  </si>
  <si>
    <t>ASSIST DEPOT LLC</t>
  </si>
  <si>
    <t>DEVIN ENCARNACION</t>
  </si>
  <si>
    <t>Sheet9 → Dead Leads | Company: HEALTH RECOVERY EQUIPMENT INC</t>
  </si>
  <si>
    <t>305-338-7324</t>
  </si>
  <si>
    <t>devinencarnacion22@gmail.com</t>
  </si>
  <si>
    <t>FL based, supplyort , medicare licensed , can bill , ship all states, meeting 10/:30 pm</t>
  </si>
  <si>
    <t>he actually hanged up the phone on me after the first 40 sec</t>
  </si>
  <si>
    <t>KIN CURE MEDICAL SUPPLIES LLC</t>
  </si>
  <si>
    <t>Sheet9 → Dead Leads | Company: MEEPCO LLC</t>
  </si>
  <si>
    <t>RAJESH PATEL</t>
  </si>
  <si>
    <t>888-256-6822</t>
  </si>
  <si>
    <t>kincuredme@gmail.com</t>
  </si>
  <si>
    <t>WED 5:30 PM</t>
  </si>
  <si>
    <t>Sheet9 → Dead Leads | Company: PLUS UP MEDICAL SUPPLIES CORP</t>
  </si>
  <si>
    <t>Nj based,supply ort,cgm, bill medicare and ship allstates meeting tomw,</t>
  </si>
  <si>
    <t>he only can do NJ nothing more and he is very skyptical , and he needs the pricing for ort and CGM, Not Interested</t>
  </si>
  <si>
    <t>Sheet9 → Dead Leads | Company: PREFERRED INCORPORATED</t>
  </si>
  <si>
    <t>NY Based , Medicare liscenced ships nationwide supplies ORT meeting video tmrw 6 pm our time -selene 1/13</t>
  </si>
  <si>
    <t>Sheet9 → Dead Leads | Company: Nex Medical Services Inc</t>
  </si>
  <si>
    <t>Note edit in Row 124 of Follow Ups queued.</t>
  </si>
  <si>
    <t>Note edit in Row 4 of New Meetings queued.</t>
  </si>
  <si>
    <t xml:space="preserve"> asked cb end of march</t>
  </si>
  <si>
    <t>Note edit in Row 16 of Follow Ups queued.</t>
  </si>
  <si>
    <t>SYNERGY MEDICAL EQUIPMENT SERVICES LLC</t>
  </si>
  <si>
    <t>Note edit in Row 3 of Follow Ups queued.</t>
  </si>
  <si>
    <t>RUFUS IYOHA</t>
  </si>
  <si>
    <t>469-544-3993</t>
  </si>
  <si>
    <t>synergeticots@gmail.com</t>
  </si>
  <si>
    <t>Note edit in Row 5 of Follow Ups queued.</t>
  </si>
  <si>
    <t>waiting a call from him , he will discuss it with his partners to see if he can move forward , he is interested however waiting to discuss the prices with him , Left a voice mail 01/19/2026 / voice mail again</t>
  </si>
  <si>
    <t>01/13/2026 3:00 pm their time</t>
  </si>
  <si>
    <t>Note edit in Row 12 of Follow Ups queued.</t>
  </si>
  <si>
    <t>TX based, Medicare liscenced , ships locally but interested to expand nationwide he said he wants acall meeting at fri 9 pm 2 pm cst -selene 3/18
keeps hanging up 4/2</t>
  </si>
  <si>
    <t>Note edit in Row 17 of Follow Ups queued.</t>
  </si>
  <si>
    <t>Note edit in Row 47 of Follow Ups queued.</t>
  </si>
  <si>
    <t>Note edit in Row 54 of Follow Ups queued.</t>
  </si>
  <si>
    <t>Follow Ups → Temporary Inactive | Company: MEDEKAN ONLINE SERVICES</t>
  </si>
  <si>
    <t>Follow Ups → No-Show | Company: Primary Care Medical Supply</t>
  </si>
  <si>
    <t>she wants to see a landing page for the adds and us to call her back on friday the same time , she wants to get into work but at least couple of months from now talk to her in april
-said she is not interested 4/2</t>
  </si>
  <si>
    <t>Follow Ups → Temporary Inactive | Company: Jama Medical Equipment Llc</t>
  </si>
  <si>
    <t>wants to talks to his Compliance Officer, meeting tuesday</t>
  </si>
  <si>
    <t>Voice mail 01/13/2025</t>
  </si>
  <si>
    <t>Real Estate → Follow Ups | Company: Blandon Realty, Inc.</t>
  </si>
  <si>
    <t>Note edit in Row 23 of No-Show queued.</t>
  </si>
  <si>
    <t>LIFEQUEST DIAGNOSTICS LLC</t>
  </si>
  <si>
    <t>RUKSHANA SALIM</t>
  </si>
  <si>
    <t>773-615-0279</t>
  </si>
  <si>
    <t>HOPE ARTIFICIAL LIMB &amp; BRACE,LLC</t>
  </si>
  <si>
    <t>Note edit in Row 14 of Contract Sent queued.</t>
  </si>
  <si>
    <t>MIKE IS THE MANAGER</t>
  </si>
  <si>
    <t>Info@lifequestdiagnostics.com</t>
  </si>
  <si>
    <t>323-246-4645</t>
  </si>
  <si>
    <t>Note edit in Row 86 of Follow Ups queued.</t>
  </si>
  <si>
    <t>- IL Based , medicare liscenced and accept patients alll states does PGX only meeting mon 7.30 pm our time 11 .30 cst - 11/21</t>
  </si>
  <si>
    <t>hopeartificiallimb@gmail.com</t>
  </si>
  <si>
    <t>Thu 6:30 PM</t>
  </si>
  <si>
    <t>Ca based, supply ort, ship allstates, bill medicare, senmd email meeting tomw 6:30 pm</t>
  </si>
  <si>
    <t>we had a google meet, He wanted from us to send him the website of UC marketing LLC , and some information about what we do, Also he is interested but waiting for his business partner to attend the call and review the documents, So send the process explanation , prices As Pay per hour ( normal range ) per 1 agent receive from 5 - 7 patients a month for braces , and a contract and uc marketing website , he discuusied with his partner after both reviwing the prices and contract said they are good now , and not able to take more pts at the moment , maybe in the future 4/9</t>
  </si>
  <si>
    <t>Note edit in Row 32 of Follow Ups queued.</t>
  </si>
  <si>
    <t>Note edit in Row 10 of New Meetings queued.</t>
  </si>
  <si>
    <t>Note edit in Row 5 of New Meetings queued.</t>
  </si>
  <si>
    <t>POATES LABS SOLUTIONS</t>
  </si>
  <si>
    <t>KIRMISHA SURRELL</t>
  </si>
  <si>
    <t>504-361-1011</t>
  </si>
  <si>
    <t>info@POATESLABSSOLUTIONS.com</t>
  </si>
  <si>
    <t>TUE 11:00 PM</t>
  </si>
  <si>
    <t>LA based can do NGS, asked about if there is a form she wants the PT to sign, and I said we can work on her terms</t>
  </si>
  <si>
    <t>she will call me in couple of hours, she is interested but we spoke about a percentage not a specific price and she is not very aware it's an upfront payment she interested and she will check the capacity of the lap and how many patients they could handle</t>
  </si>
  <si>
    <t>QUICK LABS</t>
  </si>
  <si>
    <t>ANGELA ROBINSON</t>
  </si>
  <si>
    <t>281-248-1302</t>
  </si>
  <si>
    <t>info@quicklabsandscreening.com</t>
  </si>
  <si>
    <t>They don't have the equipment but they have Quest and CRL as refrence labs and can do the tests through them</t>
  </si>
  <si>
    <t>Follow Ups → No-Show | Company: Abba Medical Supply, Inc.</t>
  </si>
  <si>
    <t>Note edit in Row 105 of Follow Ups queued.</t>
  </si>
  <si>
    <t>Note edit in Row 3 of Contract Sent queued.</t>
  </si>
  <si>
    <t>LABS ON THE ROLL</t>
  </si>
  <si>
    <t>SHEMEKA WARD</t>
  </si>
  <si>
    <t>713-922-8720</t>
  </si>
  <si>
    <t>Note edit in Row 5 of Contract Sent queued.</t>
  </si>
  <si>
    <t>info@labsontheroll.com</t>
  </si>
  <si>
    <t>TX based, has the equipment, can accept medicare PT</t>
  </si>
  <si>
    <t>Note edit in Row 6 of Contract Sent queued.</t>
  </si>
  <si>
    <t>Note edit in Row 4 of Contract Sent queued.</t>
  </si>
  <si>
    <t>Note edit in Row 2 of Contract Sent queued.</t>
  </si>
  <si>
    <t>734-604-8688
260-960-9055</t>
  </si>
  <si>
    <t>Note edit in Row 7 of Contract Sent queued.</t>
  </si>
  <si>
    <t>Note edit in Row 8 of Contract Sent queued.</t>
  </si>
  <si>
    <t>she had a friend that had terminal cancer and she just got the news so she won't be able to actually attend , she wants us to send her an email to reschedule , send avg reimbursment for both monitor and sensors and the contact for DDP Jamco and Mchassen and her husband name is dominik , Send her the website for DDP , JAMCO And mchassen</t>
  </si>
  <si>
    <t>Note edit in Row 9 of Contract Sent queued.</t>
  </si>
  <si>
    <t>Follow Ups → Contract Sent | Company: ORTHOTIC &amp; PROSTHETIC ARTS</t>
  </si>
  <si>
    <t>BIO SCIENCE LABORATORY</t>
  </si>
  <si>
    <t>Follow Ups → Contract Sent | Company: HEALIX LLC</t>
  </si>
  <si>
    <t>ARMEN GEMALMAZYAN</t>
  </si>
  <si>
    <t>747-777-2282</t>
  </si>
  <si>
    <t>info@biolabspecialty.com</t>
  </si>
  <si>
    <t>Ca based do immune deficeincy, medicare licsende, accept pt alstates, we will discuss with his partner raphael and meeting on wednesday, after he discussed with his partner and reviewed the email,he said they dont do want top proceed only do for respiratory disease not genetic .</t>
  </si>
  <si>
    <t>Note edit in Row 102 of Follow Ups queued.</t>
  </si>
  <si>
    <t>Note edit in Row 11 of Contract Sent queued.</t>
  </si>
  <si>
    <t>Note edit in Row 15 of Contract Sent queued.</t>
  </si>
  <si>
    <t>Note edit in Row 12 of Contract Sent queued.</t>
  </si>
  <si>
    <t>MEDICERT PRO LLC</t>
  </si>
  <si>
    <t>Follow Ups → Contract Sent | Company: SAN BENITO RX LLC</t>
  </si>
  <si>
    <t>DERLUNE SAINTVIL</t>
  </si>
  <si>
    <t>LULABELLMEDICALSUPPLIESLLC@GMAIL.COM</t>
  </si>
  <si>
    <t>941-280-0844</t>
  </si>
  <si>
    <t>Note edit in Row 13 of Contract Sent queued.</t>
  </si>
  <si>
    <t>medicertpro@gmail.com</t>
  </si>
  <si>
    <t>FL, Can do NGS, Medicare, states she knows she can work in are Texas and Georgia4/6</t>
  </si>
  <si>
    <t>Good Meeting, second call on friday
she wont be able to bill for the patients</t>
  </si>
  <si>
    <t>New Meetings → Follow Ups | Company: LIMITLESS MEDICAL SUPPLIES LLC</t>
  </si>
  <si>
    <t>Note edit in Row 12 of New Meetings queued.</t>
  </si>
  <si>
    <t>GENESIS HORIZON TESTER LLC</t>
  </si>
  <si>
    <t>SHARIMA KENYA MILLS</t>
  </si>
  <si>
    <t>404-259-0969</t>
  </si>
  <si>
    <t>Note edit in Row 8 of New Meetings queued.</t>
  </si>
  <si>
    <t>genesishorizon.llc@gmail.com</t>
  </si>
  <si>
    <t>GA based, she able to do the ngs test for immune deficiency by send ing it out to quest lab, she can bill medicare and accept pts fromallstates, meeting tomw 10:30pm 4/16</t>
  </si>
  <si>
    <t>Note edit in Row 11 of New Meetings queued.</t>
  </si>
  <si>
    <t>she wants to see the website, and to know all the documentsand scope of work, from now on, Use Prime-ad.com, bad attiude, not co-operative, mobile lab 4/22</t>
  </si>
  <si>
    <t>New Meetings → Contract Sent | Company: NYS DIAGNOSTICS &amp; SUPPLY</t>
  </si>
  <si>
    <t>FALCONMED SOLUTIONS LLC</t>
  </si>
  <si>
    <t>George Walker</t>
  </si>
  <si>
    <t>Note edit in Row 83 of Follow Ups queued.</t>
  </si>
  <si>
    <t>574) 301-7922</t>
  </si>
  <si>
    <t>support@falconmedsolutionsllc.com</t>
  </si>
  <si>
    <t>Note edit in Row 113 of Follow Ups queued.</t>
  </si>
  <si>
    <t>Nj based, supply ort cgm and lymhdema wraps, canes, can bill and medicare licensed, shipall states,meeting tomw google meet 10 pm</t>
  </si>
  <si>
    <t>Note edit in Row 5 of No-Show queued.</t>
  </si>
  <si>
    <t>send the contract and the pricing and samples for ort
we talked about orthopedic braces she want to see the prices then ask me the rest of the questions</t>
  </si>
  <si>
    <t>CGM &amp; DME GA Based , Discussed our process, payment cycle, patient trials,
She does JUR C but told her about not needing license for others
Out of the country 8/18</t>
  </si>
  <si>
    <t xml:space="preserve">Call back on friday 10:00 am (07/21/2025)
Going through a medicare review, wants some time
Meeting Friday 12/12/2025 10:00 ( his time)
</t>
  </si>
  <si>
    <t>SILVER BRIDGE SUPPLY INC</t>
  </si>
  <si>
    <t>SHAHAN QAISER</t>
  </si>
  <si>
    <t>470-749-6027 / 4704648449 ( fax number)</t>
  </si>
  <si>
    <t>GA Based ,Medicare liscenced ships nationwide supply ORT CGM meeting 9.30 pm asked about prices per orders asked for a phone call -selene 3/9 out of dme buisness</t>
  </si>
  <si>
    <t>he wants us to send a fax , send an email to joseph.brown.wiz@gmail.com &amp; ian strange, explain our process price list for CGM and Braces and a template of the contract and schedule a follow up call tomorrow same time and he has more than 70 dme's - Called him and he hung up it goes to vm cb later -selene 3/11
-VM Ben</t>
  </si>
  <si>
    <t>Note edit in Row 16 of Contract Sent queued.</t>
  </si>
  <si>
    <t>Temporary Inactive → Follow Ups | Company: MEDEKAN ONLINE SERVICES</t>
  </si>
  <si>
    <t>Note edit in Row 7 of New Meetings queued.</t>
  </si>
  <si>
    <t>-Medicare liscenced , ships all states ORT CGM wants UV Wands too owns several DMEs he said he will send our samples to his complaince officer he seems interested and has experience i think wazowski spoke to him before -selene 9/26 meeting 1 est 8 pm our time google meet meeting 
- spoke to david said he is still very interested buy migt start with less seats for cgm and when i mentioned lymphadema he said he is very interested and wants to speak today at 11/12</t>
  </si>
  <si>
    <t>Note edit in Row 16 of New Meetings queued.</t>
  </si>
  <si>
    <t xml:space="preserve">SAID CB BEGGINING OF MARCH </t>
  </si>
  <si>
    <t>Note edit in Row 15 of New Meetings queued.</t>
  </si>
  <si>
    <t>Note edit in Row 99 of Follow Ups queued.</t>
  </si>
  <si>
    <t>Abba Medical Supply, Inc.</t>
  </si>
  <si>
    <t>Suyapa Yesenia Martinez</t>
  </si>
  <si>
    <t>919-332-9578</t>
  </si>
  <si>
    <t>abbamedicalsupply@gmail.com</t>
  </si>
  <si>
    <t>Note edit in Row 14 of New Meetings queued.</t>
  </si>
  <si>
    <t>DVB INC</t>
  </si>
  <si>
    <t>VLADIK VAINBERG</t>
  </si>
  <si>
    <t>We spoke about everything, she is very interested. We will talk again on Friday to finalize things, we sent prices and suppliers
VM (12/11/2025)</t>
  </si>
  <si>
    <t>718-332-6090</t>
  </si>
  <si>
    <t>Temporary Inactive → Contract Sent | Company: EXPO MEDICAL SUPPLY LLC</t>
  </si>
  <si>
    <t>service@glmedicalsupplies.com</t>
  </si>
  <si>
    <t>Mon 8:30PM</t>
  </si>
  <si>
    <t>NY based, spoke to vladik about the process and everything he said sounds good, ship nationwide</t>
  </si>
  <si>
    <t>voice mail, not promising, he finds our process very costy , we will send him a breakdown email of what is it expected as a return on investment and if he wants to proceed he would reply on the email to schedule a meeting
cb 4pm ny - ben/ he will be back onapril 6th</t>
  </si>
  <si>
    <t>Note edit in Row 117 of Follow Ups queued.</t>
  </si>
  <si>
    <t xml:space="preserve">he so interested in CGM </t>
  </si>
  <si>
    <t>Note edit in Row 6 of New Meetings queued.</t>
  </si>
  <si>
    <t>COATS PHARMACY INC</t>
  </si>
  <si>
    <t>ABHIJITKUMAR CHAUHAN</t>
  </si>
  <si>
    <t>919-949-9801</t>
  </si>
  <si>
    <t>pharmacyinvestor2@gmail.com</t>
  </si>
  <si>
    <t>NC, Braces + CGM Medicare, Explained process, seems interested but wants another explanation</t>
  </si>
  <si>
    <t>SEND Price list and avg reimbursement for ORT And CGM , next tuesday same time , he is not interested to do an upfront payment right now</t>
  </si>
  <si>
    <t>he is not interested any more</t>
  </si>
  <si>
    <t>New Meetings → Contract Sent | Company: S S HEALTHCARE INC</t>
  </si>
  <si>
    <t>Follow Ups → Contract Sent | Company: MEDEKAN ONLINE SERVICES</t>
  </si>
  <si>
    <t>Note edit in Row 115 of Follow Ups queued.</t>
  </si>
  <si>
    <t>MINHA MEDICAL SUPPLIES LLC</t>
  </si>
  <si>
    <t>Mohamed</t>
  </si>
  <si>
    <t>Note edit in Row 112 of Follow Ups queued.</t>
  </si>
  <si>
    <t>DX MEDICAL INDUSTRIES, LLC</t>
  </si>
  <si>
    <t>800-909-7917</t>
  </si>
  <si>
    <t>SOSI HAIDOSTIAN AVAKIAN</t>
  </si>
  <si>
    <t>info@MINHAMEDICALSUPPLIER.com</t>
  </si>
  <si>
    <t>323-854-0023</t>
  </si>
  <si>
    <t>MON 5:30 PM</t>
  </si>
  <si>
    <t>mike@dmedoc.com</t>
  </si>
  <si>
    <t>Note edit in Row 110 of Follow Ups queued.</t>
  </si>
  <si>
    <t>- fl Based , Medicare liscenced , ships around 7 states, planning to expand meeting Monday 5:30 our time -Jimmy 12/18/25</t>
  </si>
  <si>
    <t>"she operator said we are not interested in your proposal 1/27/26 8:48 
You reached us after our normal busines shours 1/22/26 10:34 
His employer answered the call and said he was not available. She mentioned that she would leave him a message and that he would reach out if he wished. I explained that he was the one who scheduled the meeting, and I added that if he no longer wants to proceed reminders, he can let me know so I don’t contact him again."
voice mail 12/22/2025</t>
  </si>
  <si>
    <t>Contract Sent → Dead Leads | Company: HEALIX LLC</t>
  </si>
  <si>
    <t>Note edit in Row 17 of Contract Sent queued.</t>
  </si>
  <si>
    <t>Note edit in Row 93 of Follow Ups queued.</t>
  </si>
  <si>
    <t>mobility products ( wheelchairs , cains ) , CGM . Lymphadema wraps, DOC 01/15/2025, she is interested CGM and lymphadema wraps she wants the price list and the CPT codes for the products to know the reimbursements , she can work in Jurc c 01/21/2026
her medicare is under review 12/18</t>
  </si>
  <si>
    <t>Note edit in Row 82 of Follow Ups queued.</t>
  </si>
  <si>
    <t>CA Based, Medicare lisceced ,supplies ORT CGM nationwide seems interested and asked about prices meeting mon 8 pm our time -selene 5/8</t>
  </si>
  <si>
    <t>he is not interested at all he has done this in the past and don't believe that it will work he only thinks that it will bring him problems that he can't handle right now</t>
  </si>
  <si>
    <t>Note edit in Row 17 of New Meetings queued.</t>
  </si>
  <si>
    <t>Note edit in Row 97 of Follow Ups queued.</t>
  </si>
  <si>
    <t>Note edit in Row 103 of Follow Ups queued.</t>
  </si>
  <si>
    <t xml:space="preserve">jamamedicalequipment@gmail.com
JME@JAMAMEDICAL.COM ( more important ) </t>
  </si>
  <si>
    <t>Waiting for License, Waiting for maybe around the 15th of April
)DOC(12/11/2025 ) busy with a patient , he will call me back</t>
  </si>
  <si>
    <t>New Meetings → Contract Sent | Company: GRACEWOOD MEDICAL SUPPLIES INC</t>
  </si>
  <si>
    <t>Real Estate</t>
  </si>
  <si>
    <t>KINGSMOUNT INC.</t>
  </si>
  <si>
    <t>Sofya Tamarkin</t>
  </si>
  <si>
    <t>(215) 300-3355</t>
  </si>
  <si>
    <t>Tamarkincontact@hotmail.com</t>
  </si>
  <si>
    <t>She is very skeptical, can do CGM, she wants to discuss numbers</t>
  </si>
  <si>
    <t>she is not interested</t>
  </si>
  <si>
    <t>Note edit in Row 18 of New Meetings queued.</t>
  </si>
  <si>
    <t>New Meetings → Follow Ups | Company: ONE O SEVEN LLC</t>
  </si>
  <si>
    <t>Note edit in Row 3 of New Meetings queued.</t>
  </si>
  <si>
    <t>DME OF AMERICA INC</t>
  </si>
  <si>
    <t>Note edit in Row 21 of New Meetings queued.</t>
  </si>
  <si>
    <t>Huey Robinson</t>
  </si>
  <si>
    <t>(217) 202-7283</t>
  </si>
  <si>
    <t>huey@dmeofamericainc.com</t>
  </si>
  <si>
    <t>WED 8:30 PM 05/13/26</t>
  </si>
  <si>
    <t>FL based work supply ort and cgm, bill medicare, ship otherstates if thery have license for it 5/11, huey@dmeofamericainc.com, meeting wed 8:30</t>
  </si>
  <si>
    <t>i called to confirm if he wll attend the meeting , hes said he heard the recording and said it looks illegal, tried to convince him and to enter the meeting ton know more , he said he dont want to move forward</t>
  </si>
  <si>
    <t>Note edit in Row 22 of New Meetings queued.</t>
  </si>
  <si>
    <t>Note edit in Row 23 of New Meetings queued.</t>
  </si>
  <si>
    <t>Note edit in Row 26 of New Meetings queued.</t>
  </si>
  <si>
    <t>Note edit in Row 23 of Contract Sent queued.</t>
  </si>
  <si>
    <t>Note edit in Row 27 of New Meetings queued.</t>
  </si>
  <si>
    <t>Beval Medical Equipment &amp; Supplies</t>
  </si>
  <si>
    <t>Gregory Sigal</t>
  </si>
  <si>
    <t>248-280-1818</t>
  </si>
  <si>
    <t>DME &amp; LAB</t>
  </si>
  <si>
    <t>New Meetings → Contract Sent | Company: MEDICAL SUPPLY PLUS LLC</t>
  </si>
  <si>
    <t>greg48322@gmail.com</t>
  </si>
  <si>
    <t>NYS DIAGNOSTICS &amp; SUPPLY</t>
  </si>
  <si>
    <t>MI Based, Medicare liscenced, Nationwide ORT only wants to discuss prices and reimbursment and ROI meeting at 9 pm our time 5/6</t>
  </si>
  <si>
    <t>Note edit in Row 24 of New Meetings queued.</t>
  </si>
  <si>
    <t>Meeting attended Ben sent the email and follow up meeting next wednesday 9 pm our time , he said that he is no longer interested he has enough referrals and he is not looking for a marketing company</t>
  </si>
  <si>
    <t>info@nysdx.com</t>
  </si>
  <si>
    <t>Med B, all states without extra licenses , ort and cgm, immunology
Scheduled a meeting 2/6</t>
  </si>
  <si>
    <t>Scheduled for 23rd, sent contract</t>
  </si>
  <si>
    <t>Note edit in Row 26 of Contract Sent queued.</t>
  </si>
  <si>
    <t>Contract Sent → Follow Ups | Company: MUSC MEDICAL</t>
  </si>
  <si>
    <t>Note edit in Row 20 of New Meetings queued.</t>
  </si>
  <si>
    <t>855-272-1900,ext 101</t>
  </si>
  <si>
    <t>Note edit in Row 19 of New Meetings queued.</t>
  </si>
  <si>
    <t>he wanted somekind of v.a to do some medical review &amp; he wanted us to send him all the info for the CGM and how much we charge and everything how does our prescriptions look alike and the contract
Tuesday 07/30/2025 meeting at 8:30</t>
  </si>
  <si>
    <t xml:space="preserve">more interested in CGM , needs better pricing , Might be interested in getting 2 agents
1/20/2025
</t>
  </si>
  <si>
    <t>Note edit in Row 21 of Contract Sent queued.</t>
  </si>
  <si>
    <t>Note edit in Row 31 of Follow Ups queued.</t>
  </si>
  <si>
    <t>S S HEALTHCARE INC</t>
  </si>
  <si>
    <t>MITESH PATEL</t>
  </si>
  <si>
    <t>215-690-5400</t>
  </si>
  <si>
    <t>atlaspharmacy11@gmail.com</t>
  </si>
  <si>
    <t>WED 22:00 PM</t>
  </si>
  <si>
    <t>CGM, Braces, Med B, works with an Electronic Billing Company, preferred PA at first but explained free zone and sent him suppliers info 2/10</t>
  </si>
  <si>
    <t xml:space="preserve">Send a price list for both CGM , Orthopedic braces alongside the AVG reimbursments + contract + set a meeting for next tuesday 3:00 pm </t>
  </si>
  <si>
    <t>Send a price list for both CGM , Orthopedic braces alongside the AVG reimbursments + contract + set a meeting for next tuesday 3:00 pm , he wants us to call him in a month S
send a reminder email
monday 3/18 , he is not available till tomorrow rescheduled for monday 5/11, he said that it's too high for him and he wanted to pay half of the price for the referrals</t>
  </si>
  <si>
    <t>LAWTON HEALTHCARE SERVICES LLC</t>
  </si>
  <si>
    <t>RANDALL PIPER</t>
  </si>
  <si>
    <t>314-295-5959</t>
  </si>
  <si>
    <t>randall.piper@gmail.com</t>
  </si>
  <si>
    <t>MO Based, Medicare lisceced ,supplies ORT CGM nationwide meeting thursday video 11 pm our time 3pm cst -selene 5/8</t>
  </si>
  <si>
    <t>called to confirm he recieved the email he said they read it and no longer intesrested</t>
  </si>
  <si>
    <t>Note edit in Row 18 of Contract Sent queued.</t>
  </si>
  <si>
    <t>JAGGI ULTRA CARE LLC</t>
  </si>
  <si>
    <t>JAGDEEP SINGH</t>
  </si>
  <si>
    <t>317-800-2231</t>
  </si>
  <si>
    <t>bajwajagdeep2260@gmail.com/ singhb@upinder199909@gmail.com</t>
  </si>
  <si>
    <t>contact@medsupply.com</t>
  </si>
  <si>
    <t>Tue 6:30 PM</t>
  </si>
  <si>
    <t xml:space="preserve">ORT, waiting to hear back from manufacturing, interested , dropshipping &amp; Med B active, 
</t>
  </si>
  <si>
    <t>IN based, supply ort bill medicare and shi[p to other states too, meeing tomw 6:30 pm5/11</t>
  </si>
  <si>
    <t>Good Meeting, set for next friday send avg prices ort cgm contract, no credentials for DMEPOS ptan good</t>
  </si>
  <si>
    <t>voice mail no answer, reschduled to next week , he said he is sick rn cant speak on monday same time</t>
  </si>
  <si>
    <t>Note edit in Row 16 of JIMMY'S MEETINGS  queued.</t>
  </si>
  <si>
    <t>FL based ORT SUPPLY , MEDICARE LIECNESED, SHIP ALL SATTES , MEETING TUESDAY 8 PM</t>
  </si>
  <si>
    <t>she declined the invite, she is driving please send her an email asking her what would be a good time tomorrow to get on a call and wait for her response/ she said didnt review it want meeting monday after noon 2/5, I left her a massage / she apologized ans asked to reschdule friday morning 4pm our time2/10, send price and contract 2/20</t>
  </si>
  <si>
    <t>Note edit in Row 17 of JIMMY'S MEETINGS  queued.</t>
  </si>
  <si>
    <t>RUBY&amp;SONS DME SOLUTIONS LLC</t>
  </si>
  <si>
    <t>Syed Ghiasuddin</t>
  </si>
  <si>
    <t>717-839-0774</t>
  </si>
  <si>
    <t>rubyandsonsdmesolutions@gmail.com</t>
  </si>
  <si>
    <t>- Medicare liscenced , ships all states , ORT only meeting wed 12 pm est 7 pm our time -selene 9/22</t>
  </si>
  <si>
    <t>already working with another call center with much cheaper prices</t>
  </si>
  <si>
    <t>Note edit in Row 31 of New Meetings queued.</t>
  </si>
  <si>
    <t xml:space="preserve">he wants the Price list + avg Reimbursments + contract for BOth ORT &amp; CGM </t>
  </si>
  <si>
    <t>New Meetings → Contract Sent | Company: STARMONET ESSENTIALS LLC</t>
  </si>
  <si>
    <t>DESERT DME INC</t>
  </si>
  <si>
    <t>DAVID NEISINGER</t>
  </si>
  <si>
    <t>760-668-8868</t>
  </si>
  <si>
    <t xml:space="preserve">Contract Sent → Invoice Sent | Company: NYS DIAGNOSTICS &amp; SUPPLY LLC </t>
  </si>
  <si>
    <t>tom.sebring@desertdme.com</t>
  </si>
  <si>
    <t>Scheduled for 23rd, sent contract, she said that she will call me tomorrow same time , she is interested in CGM and orthopedic braces, i sent her an invoice for 1.5 agent to do Orthopedic braces waiting for her to pay</t>
  </si>
  <si>
    <t>MON 10:00 PM 05/13/26</t>
  </si>
  <si>
    <t>"He sold the business to him and he is a consultant
949-695-7215 TOM"
He wants to see if it is easy to use and if its cost is not expensive</t>
  </si>
  <si>
    <t>Ben temp followup → No-Show | Company: A1 Medical Equipment Inc.</t>
  </si>
  <si>
    <t>Ben temp followup</t>
  </si>
  <si>
    <t>Selene Followup → Follow Ups | Company: APBMEDICALSUPPLY CORP</t>
  </si>
  <si>
    <t>DR MEDICAL LLC</t>
  </si>
  <si>
    <t>ROSA GARCIA</t>
  </si>
  <si>
    <t>Interested, CGM CPL
11:00 am, Comparison between Pay per hour (lead generation) ( client would be doing the chasing ) and normal of 9-11 patients per month</t>
  </si>
  <si>
    <t>314-306-7106</t>
  </si>
  <si>
    <t>customersupport@drmedical.us</t>
  </si>
  <si>
    <t>Selene Followup</t>
  </si>
  <si>
    <t>Mo based supply ort, medicare licensnd ,she thinks she can ship to, IO, MO TX IL OK, meeting tomw 7:30, she has another partner too</t>
  </si>
  <si>
    <t>Note edit in Row 19 of Contract Sent queued.</t>
  </si>
  <si>
    <t>she is not interested to do any marketing , she thought that we are a doctor office or a referral and we are sending referrals to be processed</t>
  </si>
  <si>
    <t>she wants to see a landing page for the adds and us to call her back on friday the same time , she wants to get into work but at least couple of months from now talk to her in april</t>
  </si>
  <si>
    <t>R &amp; L PHARMACY LLC</t>
  </si>
  <si>
    <t>VICTORIA AJAYI</t>
  </si>
  <si>
    <t xml:space="preserve">Insurance, Only Texas ,Not sure of the tests she can do 
+ Renewing her licenses, </t>
  </si>
  <si>
    <t>956-283-0911</t>
  </si>
  <si>
    <t>pharrmacydba@yahoo.com</t>
  </si>
  <si>
    <t>TUE 5:00 PM</t>
  </si>
  <si>
    <t>TX based, Dropshipping just texas,
Interested, Medicare, wants to be sure that she can dropship in all states 3/16</t>
  </si>
  <si>
    <t>Sent prices ort and cgm
gk took my message - ben
ni</t>
  </si>
  <si>
    <t>Trial Patient</t>
  </si>
  <si>
    <t>YESU MEDICAL AND MOBILITY SUPPLIER LLC</t>
  </si>
  <si>
    <t>SURAFEL TENSAI</t>
  </si>
  <si>
    <t>510-290-5925</t>
  </si>
  <si>
    <t>info@yesunemt.com</t>
  </si>
  <si>
    <t>WED 6:00 PM 05/13/26</t>
  </si>
  <si>
    <t>Follow Ups → Dead Leads | Company: Atlanta Medical Supply Inc</t>
  </si>
  <si>
    <t>CA Based, Medicare lisceced ,supplies ORT CGM he reviewed our email he said hes abit skeptical but wants to book the closest appointmnet to know our prices meeting wed 6 pm our time 8 am pst wants a phone meetng -selene 5/8</t>
  </si>
  <si>
    <t>he is very arrogant and he is not good as a callibar, he wants to give us a very low % out of the profit but he wants to see the price list just for curiosity so please send it over</t>
  </si>
  <si>
    <t>Note edit in Row 2 of Jane Follow up queued.</t>
  </si>
  <si>
    <t xml:space="preserve">Good Meeting, set for next friday send avg prices ort cgm contract, no credentials for DMEPOS ptan good
got too much on his hands, NI for now (seems scared) - ben </t>
  </si>
  <si>
    <t>Note edit in Row 34 of New Meetings queued.</t>
  </si>
  <si>
    <t>Another meeting on Wed 4 pm CST send contract
Interested in UTI, STI ,PGX and Immundefiency test / covid ( influenza A ,b ) RSV , meeting tuesday 11:00 am, SAID WILL START ON FEB, forward to an automatic voice system , forwarded to Automatic voice message 02/25/2026
- Spoke to Mr Hafeez he said that he is busy with projects related to the world cup he said that when he  is ready he will give us  acall he couldnt give us a time to give him a cb selene 2/25</t>
  </si>
  <si>
    <t>GRAYMED SUPPLIES LLC</t>
  </si>
  <si>
    <t>New Meetings → Follow Ups | Company: YOUR LAB TEST TX</t>
  </si>
  <si>
    <t>KEVON GRAY</t>
  </si>
  <si>
    <t>347-223-7593</t>
  </si>
  <si>
    <t>kgray@nextdayaccess.com</t>
  </si>
  <si>
    <t>Note edit in Row 30 of New Meetings queued.</t>
  </si>
  <si>
    <t>He wants a service that helps him with the Billing and chasing physician - he is having more than 100 locations - he has call center agents that does this for him, he asked to learn more about how this can help him.</t>
  </si>
  <si>
    <t>he decided not to move forward</t>
  </si>
  <si>
    <t>Note edit in Row 36 of New Meetings queued.</t>
  </si>
  <si>
    <t>PMS PRO LLC</t>
  </si>
  <si>
    <t>FREDERICK MARTIN</t>
  </si>
  <si>
    <t>Follow Ups → Dead Leads | Company: All Pro Rx Inc.</t>
  </si>
  <si>
    <t>770-575-6112</t>
  </si>
  <si>
    <t>amsprollc1@gmail.com</t>
  </si>
  <si>
    <t>Note edit in Row 35 of New Meetings queued.</t>
  </si>
  <si>
    <t>NV based dont deal with medicare for now just ppo athna ,humana, bluesheild and blue cross, supply of lymphadema wraps and pumps, ship allstates, more 30 states amsprollc1@gmail.com 6/1</t>
  </si>
  <si>
    <t>no answer, he dont have budget for marketers</t>
  </si>
  <si>
    <t>Note edit in Row 5 of JIMMY'S MEETINGS  queued.</t>
  </si>
  <si>
    <t>Note edit in Row 4 of JIMMY'S MEETINGS  queued.</t>
  </si>
  <si>
    <t xml:space="preserve">rapiddnalabs@gmail.com </t>
  </si>
  <si>
    <t>Note edit in Row 106 of Follow Ups queued.</t>
  </si>
  <si>
    <t>FRI 10:00 PM</t>
  </si>
  <si>
    <t xml:space="preserve">She can do genetic testings </t>
  </si>
  <si>
    <t xml:space="preserve">We need to send her a reference lab and another meeting set on friday 3/2/26 10:24 </t>
  </si>
  <si>
    <t>Us Medical Equipments, Inc.</t>
  </si>
  <si>
    <t>Muhammad Naveed</t>
  </si>
  <si>
    <t>847-754-5363</t>
  </si>
  <si>
    <t>SPACE CITY LABORATORIES</t>
  </si>
  <si>
    <t>Note edit in Row 6 of JIMMY'S MEETINGS  queued.</t>
  </si>
  <si>
    <t>MOHAMMAD USMAN AIJAZ</t>
  </si>
  <si>
    <t>281-235-5842</t>
  </si>
  <si>
    <t>aijaz@SPACECITYLABORATORIES.com</t>
  </si>
  <si>
    <t>Tue 6:15 PM</t>
  </si>
  <si>
    <t>Can do NGS</t>
  </si>
  <si>
    <t>IL BASED , HAS MEDICARE LICENSE AND , DELIVER MOSTLY JURDICTION B AND C, PCP AND SUPPLY DME AND CGM , MEETING ON WEDNESDAY 3PM 11PM OUR TIME 2/21, HE MO</t>
  </si>
  <si>
    <t>They have been doing this for a while , and they can manage other labs, they don't have a problem on the upfront payment but they want to call the patients, they would also review the documents then reply to the email with a time to discuss pricing</t>
  </si>
  <si>
    <t>Asked about the prices, we will talk again on Monday. Said they changed their location and will look at the prices. DOC 3/19/2025
Doc (12/11/2025) , migh work on january</t>
  </si>
  <si>
    <t>he is out of the business</t>
  </si>
  <si>
    <t>Note edit in Row 24 of Contract Sent queued.</t>
  </si>
  <si>
    <t xml:space="preserve">wwmirza@gmail.com
</t>
  </si>
  <si>
    <t>"Immune - UTI - PGx - CGx 
wwmirza@gmail.com
azzedine13@yahoo.com"</t>
  </si>
  <si>
    <t xml:space="preserve">he has a dme company and a adam travel agency ABDo ibrahim </t>
  </si>
  <si>
    <t>SUN SCIENCE LAB</t>
  </si>
  <si>
    <t>PIETRO STEVENS</t>
  </si>
  <si>
    <t>951-837-8140</t>
  </si>
  <si>
    <t>pete@sunsciencelab.com</t>
  </si>
  <si>
    <t>FRI 09:00 PM</t>
  </si>
  <si>
    <t>Note edit in Row 10 of Contract Sent queued.</t>
  </si>
  <si>
    <t>CA Based, seems interested, out of state cash and medicare, they do PGX and UTI, He did open the email</t>
  </si>
  <si>
    <t>once he hear that we are a marketing group he said we do markting inhouse, we tried this route beofre and it was a disaster so we are good , i asked him to read the email with the scope of work and if you find that our process is more solid and it might interest you just reply to the email so we can get on a call again</t>
  </si>
  <si>
    <t>- MD Based, Medicare liscenced , Accepts nationwide does NGS meeting tmrw 10.30 our time -selene 2/11</t>
  </si>
  <si>
    <t>Contract Sent → Invoice Sent | Company: MEDEKAN ONLINE SERVICES</t>
  </si>
  <si>
    <t>tuesday between 10 - 12 , face to face meeting , so he would revise with his team and discuss everything during the meeting</t>
  </si>
  <si>
    <t>RELIANCE MEDEQUIP INC</t>
  </si>
  <si>
    <t>650-675-5235 - 7168696934 ( personal number)</t>
  </si>
  <si>
    <t>reliancemedequip@gmail.com</t>
  </si>
  <si>
    <t>medsupplyprosllc@gmail</t>
  </si>
  <si>
    <t>WED 4:00 PM</t>
  </si>
  <si>
    <t>MI based, medicare licenced, supply ort and cgm, ship allstates, meeting tomw 10 am est</t>
  </si>
  <si>
    <t>FL Based, Medicare liscenced ships nationwide ort meting 6.00 pm our time wed -selene 2/9</t>
  </si>
  <si>
    <t>he don't want to pay an upfront payment, he only might pay after he recieve the money from the insurance ,send an email for the price list , ask him about the good states that he is using , he can handle around
wants to get lead bill then pay NI</t>
  </si>
  <si>
    <t>he is on a call right now, he asked if he can call me back on my number</t>
  </si>
  <si>
    <t>XCELLENT DME LLC</t>
  </si>
  <si>
    <t>Note edit in Row 59 of Follow Ups queued.</t>
  </si>
  <si>
    <t>JULIETA SEBA-TORRES</t>
  </si>
  <si>
    <t>956-258-5089/ (956) 240-7711/ 9562585104</t>
  </si>
  <si>
    <t>xcellentdme23@gmail.com</t>
  </si>
  <si>
    <t>TX BASED SUPPLY ORT AND CGM, SAID HE HAS AND CAN BILL MEDICARE BUT NOT MEDICADE, AND WILLING TO SHIP ALL STATES, MEETING WED9:30 OUR TIME</t>
  </si>
  <si>
    <t>she can't understand english very well, she wants somebody to speak spanish with her , she said that she just got a medicare license and she didn't understand before what we offer, i explained it a little bit then told her that we will send everything about our process in an email in order for her and her partner to see it , we need to send an email explaining our process and how we get paid as an upfront fee and stating the products that we can work with and what capacity can we send her Ben Arthur VM - ben, she call and wanted to enter meeting on monday with george so we can proceed and know the prices, sending the contract and the price list for orthopedic braces and cgm device - george 04/20/2026, wednesday 3:00 pm meeting , she received the price list and contract, asked to call her 3pm at this number 956) 240-7711, she said will send an email with all question after reading the contract and discussing with her partner 4/27</t>
  </si>
  <si>
    <t>Contract Sent → Dead Leads | Company: MEDICAL SUPPLY PLUS LLC</t>
  </si>
  <si>
    <t>Contract Sent → Follow Ups | Company: GENEWELL LABS LLC</t>
  </si>
  <si>
    <t>HEADINGS ESTABLISHMENT, LLC</t>
  </si>
  <si>
    <t>CYNTHIA Q HEADINGS</t>
  </si>
  <si>
    <t>305-836-7424/(786) 259-5067</t>
  </si>
  <si>
    <t>admin@regalslineexpress.com</t>
  </si>
  <si>
    <t>Note edit in Row 13 of Follow Ups queued.</t>
  </si>
  <si>
    <t>Note edit in Row 10 of Follow Ups queued.</t>
  </si>
  <si>
    <t>FL Based, She just set up her DME company and she said that she is interested to explore how it can help her business 6/8</t>
  </si>
  <si>
    <t>what type of license do you need , High complexity, tomorrow 11:00 am Standard time , 10 am tomorrow 02/13/2026</t>
  </si>
  <si>
    <t>New Meetings → Dead Leads | Company: AIDAN MEDICAL PRODUCTS INC</t>
  </si>
  <si>
    <t>COMFORT COMPRESSION, LLC</t>
  </si>
  <si>
    <t>DUSTY FIESTER</t>
  </si>
  <si>
    <t>812-303-3831</t>
  </si>
  <si>
    <t>info@comfortcompression.com</t>
  </si>
  <si>
    <t>Note edit in Row 40 of Follow Ups queued.</t>
  </si>
  <si>
    <t>IN based,supply lymph wraps and pumps, bill medicare ,she can ship to oh, indiana, kentuky</t>
  </si>
  <si>
    <t>rescheduled for next on tuesday s he had sudden walk in patients so busy now</t>
  </si>
  <si>
    <t>Follow Ups → Dead Leads | Company: MEDICAL SUPPLIES DME, LLC</t>
  </si>
  <si>
    <t>Note edit in Row 91 of Follow Ups queued.</t>
  </si>
  <si>
    <t>Note edit in Row 78 of Follow Ups queued.</t>
  </si>
  <si>
    <t>IN Based MEDICARE LICENSED, ACCPT PT ALL STTAES. She is also very interested in the process.</t>
  </si>
  <si>
    <t>Note edit in Row 79 of Follow Ups queued.</t>
  </si>
  <si>
    <t>CARTER LABORATORIES</t>
  </si>
  <si>
    <t>ZIAD KALIOUNDJI - DIRECTOR</t>
  </si>
  <si>
    <t>310-994-9903</t>
  </si>
  <si>
    <t>kKALIOUNDJI@gmail.com</t>
  </si>
  <si>
    <t>Mon 11:00 PM</t>
  </si>
  <si>
    <t>CA Based, want to know more on how we can collaborate together, he represents the lab and mentioned that they are cabable of handling NGS and do PGx</t>
  </si>
  <si>
    <t>the lab is not ready / it's in the experimental phase they don't have any insurances available or medicare</t>
  </si>
  <si>
    <t>Note edit in Row 7 of Jane Follow up queued.</t>
  </si>
  <si>
    <t>Alpha Health Dme</t>
  </si>
  <si>
    <t>Sean</t>
  </si>
  <si>
    <t>(713) 766-2796</t>
  </si>
  <si>
    <t>G.MICKY11@GMAIL.COM</t>
  </si>
  <si>
    <t>THU 7:30 PM</t>
  </si>
  <si>
    <t>OH based he has 5 dme company and interested about the out bound calls , checking the insurancse and S&amp;S for the dme items, and dr chasing, he is interested to know more will attend with his team</t>
  </si>
  <si>
    <t>Note edit in Row 39 of New Meetings queued.</t>
  </si>
  <si>
    <t>New Meetings → Follow Ups | Company: ALBANYLABS LLC</t>
  </si>
  <si>
    <t>SIMPLICITY HEALTHCARE DIAGNOSTICS &amp; LABS</t>
  </si>
  <si>
    <t>left a voice mail please try to connect , Voice mail , he owns clinics and labs, He has phlippinos and pakistanians handle them , he wants us to send him an email of how we charge and take our fees on an email so he could show his partners and he wants the follow up on the 27th 2:00 pm</t>
  </si>
  <si>
    <t>VALERIE RACHEL</t>
  </si>
  <si>
    <t>678-814-9040</t>
  </si>
  <si>
    <t>shcDIAGNOSTICSandlabs@hotmail.com</t>
  </si>
  <si>
    <t>Note edit in Row 64 of Follow Ups queued.</t>
  </si>
  <si>
    <t>GA Based, she is interested in the process, can accept medicare PTs, she will be checking with her team if she can handle sth like at the moment but want an invitation as well</t>
  </si>
  <si>
    <t>she wants to get me the CPT Codes that she is using to ask her billing team, need to call to follow up , waiting for her to call me back</t>
  </si>
  <si>
    <t xml:space="preserve">he will review it with his partner and give us a call either today or tomorrow </t>
  </si>
  <si>
    <t>FAMILY HOME MEDICAL EQUIPMENT</t>
  </si>
  <si>
    <t>TINA BYRD</t>
  </si>
  <si>
    <t>Note edit in Row 101 of Follow Ups queued.</t>
  </si>
  <si>
    <t>812-582-0656</t>
  </si>
  <si>
    <t>tina.byrd@familyhme.org</t>
  </si>
  <si>
    <t>Note edit in Row 95 of Follow Ups queued.</t>
  </si>
  <si>
    <t>New Meetings → Follow Ups | Company: RADID RESULTS DNA LABORATORIES LLC</t>
  </si>
  <si>
    <t>IN Based, ORT CGM , Medicare ,Medicaid ,PPO liscenced willing to dropship nationwide meeting call tmrw 7 pm our time -selene 6/17</t>
  </si>
  <si>
    <t>She said resend the email but its her compliance manger decesion</t>
  </si>
  <si>
    <t>New Meetings → No-Show | Company: SPACE CITY LABORATORIES</t>
  </si>
  <si>
    <t>New Meetings → Follow Ups | Company: RUSH LAB LLC</t>
  </si>
  <si>
    <t>New Meetings → Follow Ups | Company: PATRIOT MEDICAL LABORATORIES LLC</t>
  </si>
  <si>
    <t>NOOR PHARMA LLC</t>
  </si>
  <si>
    <t>PAMELA GURDON</t>
  </si>
  <si>
    <t>347-806-4136</t>
  </si>
  <si>
    <t>New Meetings → No-Show | Company: MED SUPPLY PROS LLC</t>
  </si>
  <si>
    <t>OZONEPARKPHARMACY9@GMAIL.COM</t>
  </si>
  <si>
    <t>NY BASED , SUPPLY ORT AND CGM BILL MEDICARE SHIP ONLY LOCALY NY MEETING NEXT WEEK TUESDAY 6PM</t>
  </si>
  <si>
    <t>i called to confirm, if she will attend or not, she said she is selling her store , and shutting doem the busniess and said sorry she cant attend meeting</t>
  </si>
  <si>
    <t>New Meetings → Follow Ups | Company: GP QUEST HEALTH CENTER LLC</t>
  </si>
  <si>
    <t>201-705-7610</t>
  </si>
  <si>
    <t>New Meetings → Follow Ups | Company: PROLINE LABS</t>
  </si>
  <si>
    <t xml:space="preserve">ahmed@ODINMEDICALSUPPLIES.com </t>
  </si>
  <si>
    <t xml:space="preserve">PPO, in the process of working with medicare </t>
  </si>
  <si>
    <t>BALAJ MEDTECH INNOVATIONS</t>
  </si>
  <si>
    <t>ARJ FATIMA</t>
  </si>
  <si>
    <t>New Meetings → Dead Leads | Company: Lab expert llc</t>
  </si>
  <si>
    <t>832-933-3335</t>
  </si>
  <si>
    <t>medtecha3@gmail.com</t>
  </si>
  <si>
    <t>New Meetings → Follow Ups | Company: GOOD SAMARITAN MEDICAL</t>
  </si>
  <si>
    <t xml:space="preserve">info@COMPASSIONATETOUCHLAB.com
</t>
  </si>
  <si>
    <t>MON 6:00 PM</t>
  </si>
  <si>
    <t>New Meetings → Follow Ups | Company: 5 STAR CURE LLC</t>
  </si>
  <si>
    <t>New Meetings → Follow Ups | Company: SYNERGY DIAGNOSTIC LAB</t>
  </si>
  <si>
    <t>TX Based, PPO works All insurances, ORT CGM Nationwide said wants a call at 5.30 her time 6/22</t>
  </si>
  <si>
    <t>voice mail please try to reach him and send it over to me /She said she is not interested to pay upfront for the services</t>
  </si>
  <si>
    <t>New Meetings → Follow Ups | Company: HOPE DIAGNOSTIC AND WELLNESS CENTER LLC</t>
  </si>
  <si>
    <t xml:space="preserve">he isn't interested any more </t>
  </si>
  <si>
    <t>Contract Sent → Dead Leads | Company: THRASH MEDICAL SUPPLY, LLC</t>
  </si>
  <si>
    <t>Follow Ups → Dead Leads | Company: PEX MEDIBRIDGE SOLUTION CORP</t>
  </si>
  <si>
    <t>BERRIES HEALTH</t>
  </si>
  <si>
    <t>LET'S REJUVENATE</t>
  </si>
  <si>
    <t>SEYED HOSSEINI</t>
  </si>
  <si>
    <t>CIERRA MUHAMMAD</t>
  </si>
  <si>
    <t>425-215-5469</t>
  </si>
  <si>
    <t>904-566-7985</t>
  </si>
  <si>
    <t>seyedali.hosseini@berrieshealthinc.com</t>
  </si>
  <si>
    <t>New Meetings → Follow Ups | Company: ODIN MEDICAL SUPPLIES</t>
  </si>
  <si>
    <t>eazybloodpps@aol.com</t>
  </si>
  <si>
    <t>Called him asking for the available tests, he searched for our website during the call to confirm our eligibility and then once I asked regarding medicare patients he got skeptical and said that he's not interested / booked the appointment on his own through the website.</t>
  </si>
  <si>
    <t>FL BASED medicare licensed, can bill and accept pts allstates, meeting do ngs, immuno deficiency 9 pm</t>
  </si>
  <si>
    <t>she hanged up on me and put me on a voice mail , she is busy eith pts call after one hour, we spoke  about the what she provide in her lab,and asked to call back at  6 pm her time 12 pm our  time</t>
  </si>
  <si>
    <t>he wants marketing people on the field talking to doctor offices, and convincing them to refer their patients to their lab , ( it will not work out ) but he is a very decent guy</t>
  </si>
  <si>
    <t>New Meetings → No-Show | Company: COMPASSIONATE TOUCH LAB SERVICES LLC</t>
  </si>
  <si>
    <t>New Meetings → Dead Leads | Company: ELITE DIAGNOSTIC LABORATORY</t>
  </si>
  <si>
    <t>MF EXPRESS LAB AND VITALITY CENTER</t>
  </si>
  <si>
    <t>MARLENE CHISHOLM</t>
  </si>
  <si>
    <t>New Meetings → Follow Ups | Company: LET'S REJUVENATE</t>
  </si>
  <si>
    <t>980-437-4109</t>
  </si>
  <si>
    <t>admin@MFEXPRESSLAB2025.com</t>
  </si>
  <si>
    <t>they only collect the sample but they cann't run the test themselves, she will give us a contact for CRL Lab , call them 1 800 4456917, martin.hamilton@crlcorp.com , North carolina , charlotte , south carolina</t>
  </si>
  <si>
    <t>BZ MEDICAL SUPPLY LLC</t>
  </si>
  <si>
    <t>New Meetings → Follow Ups | Company: MF EXPRESS LAB AND VITALITY CENTER</t>
  </si>
  <si>
    <t>BILAL ZAHEER</t>
  </si>
  <si>
    <t>424-200-8827</t>
  </si>
  <si>
    <t>bzmdsllc@gmail.com</t>
  </si>
  <si>
    <t>New Meetings → No-Show | Company: VEIN WHISPERER EXPRESS LABS LLC</t>
  </si>
  <si>
    <t>CA Based, ORT CGM Medicare liscenced wants to know the pricesmeeting 26th may video 10 pm our time 5/18 SAID NI FOR NOW WILL CB IN FUTURE</t>
  </si>
  <si>
    <t>New Meetings → Follow Ups | Company: WEST COAST LAB SCREENING</t>
  </si>
  <si>
    <t xml:space="preserve">she is not sure that she has the equpment wla la , carolle is a nurse her boss is dr chemo and we will follow up m3aha </t>
  </si>
  <si>
    <t>New Meetings → No-Show | Company: COASTAL1 MEDICAL EQUIPMENT LLC</t>
  </si>
  <si>
    <t>New Meetings → Follow Ups | Company: GENESIS DIAGNOSTIC SERVICES INC</t>
  </si>
  <si>
    <t>CAPITOL MEDICAL SUPPLY INC</t>
  </si>
  <si>
    <t>YIMAJ KALIFA</t>
  </si>
  <si>
    <t>703-725-2240</t>
  </si>
  <si>
    <t>New Meetings → Follow Ups | Company: HEXA DME INC</t>
  </si>
  <si>
    <t>capitolmd@yahoo.com</t>
  </si>
  <si>
    <t xml:space="preserve">he is just a collection site,he will callother labs and he will try to connect us to them </t>
  </si>
  <si>
    <t>CO Based , Medicare liscenced drop ship nationwide ORT CGM Meeting Call 8 PM -selene 6/18</t>
  </si>
  <si>
    <t>New Meetings → Dead Leads | Company: RELIABLE STICK AND LABORATORY</t>
  </si>
  <si>
    <t>Note edit in Row 75 of Follow Ups queued.</t>
  </si>
  <si>
    <t>OccFit Solutions</t>
  </si>
  <si>
    <t>Brittany Stallings</t>
  </si>
  <si>
    <t>(704) 799-2873</t>
  </si>
  <si>
    <t>Follow Ups → Dead Leads | Company: REZA SUPPLY INC</t>
  </si>
  <si>
    <t>bstallings@occfitsolutions.com</t>
  </si>
  <si>
    <t>Thu 8:30</t>
  </si>
  <si>
    <t>TX BASED, MEDICARE LICENSED, ACCPT PT ALL STTAES, have alot of labs and e will open a lab in miami florida in couple weeks DO NGS, pgx, cgx BUT he worried about billing , he may act as reffrence lab for us, but willing to iscuss with george. HE THINGK ITS BETTERTO DO FOR ONCOLOGY NOT IMMUNE DEFICIENCY CUZ ITS LESS RISCKY WITH MEDICARE PROTOCOL</t>
  </si>
  <si>
    <t>he won't do it himself , he will do it for other lab, he will act as a reference lab, he will do the testing and they would bill it</t>
  </si>
  <si>
    <t>Note edit in Row 42 of Follow Ups queued.</t>
  </si>
  <si>
    <t>NC based / medicare, Aetna, BCBS / they provide compression garments for Lymphedema and selective braces but didn't mention what type of braces</t>
  </si>
  <si>
    <t>I called him, and he said he was very busy and wouldn’t be able to talk to George. I asked when would be a good time, and he replied that he would call me when he feels ready. 2/16/26 4:17 (JIMMY)
billing company , Price list for CGM &amp; Orthopedic braces + contract + files of palmetto , DDP info for cgm , thursday after 11:00 and before 2:00 pm</t>
  </si>
  <si>
    <t>205-847-0741 / 2052532855 (personal Number)</t>
  </si>
  <si>
    <t>tomspurlock@hotmail.com, vesmedmgr@gmail.com</t>
  </si>
  <si>
    <t>New Meetings → Contract Sent | Company: MED SUPPLIES EXPRESS INC</t>
  </si>
  <si>
    <t>He does not feel comfortable doing that at the moment, but I tried to comfort him, he said keep me on the list and follow up with me in a couple of months 6/10/26 8:47 (jimmy) L0637 , L0456, L0651 , 1833 , 1852 , l3916 , those are the L codes that he is using , ort samples +price list ort + Contract , + l codes that we are using
he is waiting for his attorney to look at the contract , call him back on tuesday,
said he cant talk right now - ben , he uses the 637 and 650 send the info of DDP , he will check the billing if he is credentialed for the cgm ( med karma) , after he make sure he can do it , he will open the account of the ddp and we will send him a trial patient , he is waiting for DDP to open the account for him , he said he can't talk right now, i need to talk in another day</t>
  </si>
  <si>
    <t>New Meetings → Follow Ups | Company: GV MEDICAL EQUIPMENT AND SUPPLY, INC.</t>
  </si>
  <si>
    <t>he has a problem with ddp account, we will try to call them , he said he cant do it , that what his lawyer told him</t>
  </si>
  <si>
    <t>Note edit in Row 2 of New Meetings queued.</t>
  </si>
  <si>
    <t>New Meetings → Follow Ups | Company: GO LABS MOBILE SERVICES LLC</t>
  </si>
  <si>
    <t xml:space="preserve">he will read the email and he wants me to call him tomorrow 10:00 am/ not ready this mont call next year on january
spoke with him (12/09/2025 ) he will talk to his partners and get back to me in regards to the orthopedic braces and a trial phase
NI, ben </t>
  </si>
  <si>
    <t>ADVANCEDMED DME LLC</t>
  </si>
  <si>
    <t>YUSUF JAMALEDDIN</t>
  </si>
  <si>
    <t>248-621-2896</t>
  </si>
  <si>
    <t>info@advmedical.health</t>
  </si>
  <si>
    <t>MI BASED supplyort and lymphedema wrap bill ppo and medicare, ship alstates</t>
  </si>
  <si>
    <t>Note edit in Row 2 of Invoice Sent queued.</t>
  </si>
  <si>
    <t>He said call me back on th 19th, I will be able to make a desicion by then 6/10/26 10:55
NA 6/10/26 10:53 he wants to talk next thursday same time and he wants to try out the pay per hour module for 1 agent in CGM and 1 agent in orthopedic braces , we need to send him a marketing plan + contract ( don't send them ya ben i have new documents ) , he ran it by his lawyer and decided not to move forward</t>
  </si>
  <si>
    <t>support@med-suppliesincs.com</t>
  </si>
  <si>
    <t xml:space="preserve">GA Based, Medicare liscenced , Nationwide ORT said she wants a call meeting at 10 am est 5 pm our time -selene 3/3 </t>
  </si>
  <si>
    <t>Note edit in Row 123 of Follow Ups queued.</t>
  </si>
  <si>
    <t xml:space="preserve">send the price list + contact and she will reply to the email about a good time for a followup call </t>
  </si>
  <si>
    <t>ADVANCED HEALTH MEDICAL SUPPLIES, LLC.</t>
  </si>
  <si>
    <t>RHONDA FOLES</t>
  </si>
  <si>
    <t>228-596-5749</t>
  </si>
  <si>
    <t>CA  based, supply ort , bill medicare licenced, ship alsttaes, meeting tomw  AFTER 12 PM OUR TIME</t>
  </si>
  <si>
    <t>ADVANCEDHEALTHCarespecialist@gmail.com</t>
  </si>
  <si>
    <t xml:space="preserve">he said that he can only work with doctors / hospitals / assisted living , but no middle men,he says in california that'snot how it goes, long shot probability call him back in a month with a lead generation proposal </t>
  </si>
  <si>
    <t>TUE 11:30 PM</t>
  </si>
  <si>
    <t>MS Based ORT + Lymphedema
Medicare liscenced ships nationwide</t>
  </si>
  <si>
    <t>Called her and she heard my name she hung up</t>
  </si>
  <si>
    <t>Note edit in Row 134 of Follow Ups queued.</t>
  </si>
  <si>
    <t>GO LABS MOBILE SERVICES LLC</t>
  </si>
  <si>
    <t>YVONNE D HUNTER</t>
  </si>
  <si>
    <t>803-801-1175</t>
  </si>
  <si>
    <t>info@golabsmobile.com</t>
  </si>
  <si>
    <t xml:space="preserve">she is a collection lab, she didn't like the idea that she would work as a middle man for us and give us the connection of another lab actually she denied it , but in case she had anything in the future that will suit us she will send it over </t>
  </si>
  <si>
    <t>Note edit in Row 8 of Follow Ups queued.</t>
  </si>
  <si>
    <t>Note edit in Row 4 of Follow Ups queued.</t>
  </si>
  <si>
    <t>MAIL ORDER MEDICAL SUPPLIES LLC</t>
  </si>
  <si>
    <t>MICHELLE MARIE WHITTLE</t>
  </si>
  <si>
    <t>985-285-9230</t>
  </si>
  <si>
    <t>Note edit in Row 6 of Follow Ups queued.</t>
  </si>
  <si>
    <t>mickey@moms23.com</t>
  </si>
  <si>
    <t>MS Based "CGM - NationWide - Medicare "</t>
  </si>
  <si>
    <t>she is interested but she only has MS and LA at the moment we need to sent her the count of our most important states and the two pay per hour module one for the lead Gen and the other for lead gen + document Reterival and we will have a meeting next thursday about how we will move forward , 04/02/2026 she is interested to move forward with 1 agent for CGM , she is still waiting to know exactly how many states can she add at first so we will have a meeting next monday 11:00 am her time and in the mean while we need to send her a contract for ( 1 agent ( normal price ) , ask her about the states that we will work with to start the deploying process and what would be a good time to start , she is out of the country till the 05/02/2026 call her on 05/03/2026 and she will work .</t>
  </si>
  <si>
    <t xml:space="preserve">he told me that they wouldn't be interested in doing lymphadema wraps, Just CGM (dexcom G7 not freestyle libre 3 ) , Meeting with leslie would be next monday same time
I spoke to zach for the first time , he would review the email (CGM &amp; Lymphadema ) and want me to add my contact information for him to call back again
Not interested - ben </t>
  </si>
  <si>
    <t>Note edit in Row 68 of Follow Ups queued.</t>
  </si>
  <si>
    <t>NATIONAL DIAGNOSTICS LAB INC</t>
  </si>
  <si>
    <t>Follow Ups → Dead Leads | Company: COMMERCE RX CORPORATION</t>
  </si>
  <si>
    <t>Mr. Khan</t>
  </si>
  <si>
    <t>773-681-0088</t>
  </si>
  <si>
    <t>info@NATIONALDLAB.com</t>
  </si>
  <si>
    <t>IL based, Immune</t>
  </si>
  <si>
    <t>"Number is not in service 1/27/26 8:46
Number is not in service 1/22/26 10:35 Call is not going through 1/21/26 10:17 "
voice mail 01/08/2025</t>
  </si>
  <si>
    <t>Note edit in Row 89 of Follow Ups queued.</t>
  </si>
  <si>
    <t>ABLE GRACE MEDICAL LLC</t>
  </si>
  <si>
    <t>JESSICA LARBIE</t>
  </si>
  <si>
    <t>209-596-1375</t>
  </si>
  <si>
    <t>ablegracemedical@gmail.com</t>
  </si>
  <si>
    <t>TUE 8:30 PM</t>
  </si>
  <si>
    <t>ABLE GRACE MEDICAL LLC does have their PTAN yet but they have another family business that have the PTAN and the license and that can provide, she wants to discuss the business and how we can collaborate</t>
  </si>
  <si>
    <t>Follow Ups → Dead Leads | Company: AMIGOS ORTHOTICS &amp; PROSTHETICS</t>
  </si>
  <si>
    <t>NA 6/10/26 10:47 send palmetto states for CGM and braces / send a fixed pay per hour campaign for CGM 10-11 patients and for orthopedic braces pay per hour also but from 5-7 patients , ask in the email about an exact time next week that they would be free so we can talk again</t>
  </si>
  <si>
    <t>Note edit in Row 60 of Follow Ups queued.</t>
  </si>
  <si>
    <t>Follow Ups → Dead Leads | Company: BESTCARE DME LLC</t>
  </si>
  <si>
    <t>Note edit in Row 50 of Follow Ups queued.</t>
  </si>
  <si>
    <t>DIVINE MEDICAL SUPPLIES LLC</t>
  </si>
  <si>
    <t>IFURE A RAGINS</t>
  </si>
  <si>
    <t>678-580-3740</t>
  </si>
  <si>
    <t>DIVINEMEDICALSUPPLIES1@gmail.com</t>
  </si>
  <si>
    <t>She handles around 30-40 calls per day, she has someone who handles the after hours call for her too, but she just wants to have an idea of how it can help her</t>
  </si>
  <si>
    <t>Follow Ups → Dead Leads | Company: JEM HC LLC</t>
  </si>
  <si>
    <t>Note edit in Row 7 of Follow Ups queued.</t>
  </si>
  <si>
    <t>Follow Ups → Dead Leads | Company: RELIABLE MEDICAL EQUIPMENT SUPPLY INC</t>
  </si>
  <si>
    <t>Note edit in Row 55 of Follow Ups queued.</t>
  </si>
  <si>
    <t>WELL HEALTH SUPPLY CO</t>
  </si>
  <si>
    <t>JENNIFER BELL</t>
  </si>
  <si>
    <t>520-909-3494</t>
  </si>
  <si>
    <t>Note edit in Row 37 of Follow Ups queued.</t>
  </si>
  <si>
    <t>admin@wellhealthsupply.com</t>
  </si>
  <si>
    <t>AZ Based, can do CGM and can accept medicare PT and ship nationwide</t>
  </si>
  <si>
    <t>she is interested but she need to show her team all of this info, the presentation , the landing page , pricing per hour / per prescription and to have a meeting on tuesday 12:30 EST NA, ben</t>
  </si>
  <si>
    <t>Note edit in Row 104 of Follow Ups queued.</t>
  </si>
  <si>
    <t xml:space="preserve">Can do ORT, when I called him he said I want to do some research before taking any steps, and I asked him for a meeting to discuss info with George. Can ship nation wide and has his PTAN and medicare license </t>
  </si>
  <si>
    <t xml:space="preserve">friday 2 :00pm send the price list for the Ort ANd CGM  and the contract </t>
  </si>
  <si>
    <t>Note edit in Row 9 of New Meetings queued.</t>
  </si>
  <si>
    <t>THU 7:40 PM</t>
  </si>
  <si>
    <t>New Meetings → Contract Sent | Company: MAGNOLIA MEDICAL EQUIPMENT AND SUPPLIES LLC</t>
  </si>
  <si>
    <t>Contract Sent → Dead Leads | Company: N &amp; L MEDICAL SUPPLY, INC</t>
  </si>
  <si>
    <t>Note edit in Row 36 of JIMMY'S MEETINGS  queued.</t>
  </si>
  <si>
    <t>"she operator said we are not interested in your proposal 1/27/26 8:48 You reached us after our normal busines shours 1/22/26 10:34 His employer answered the call and said he was not available. She mentioned that she would leave him a message and that he would reach out if he wished. I explained that he was the one who scheduled the meeting, and I added that if he no longer wants to proceed reminders, he can let me know so I don’t contact him again."
voice mail 12/22/2025</t>
  </si>
  <si>
    <t xml:space="preserve">Please send the Contract AND the CGM (sample + Prices) and the ORT (sample + Prices
His wife company has the PTan , (marketing Team inhouse, so she wouldn't need us ) he didn't get the PTan yet, he told me to follow up with him in march
, I texted him on phound , call on tuesday 
his wife's company is well but she has everything in house, his company has no license yet,government not accepting any new license, could be delayed 8 months ETA, </t>
  </si>
  <si>
    <t>Note edit in Row 4 of No-Show queued.</t>
  </si>
  <si>
    <t xml:space="preserve">New Meetings → Invoice Sent | Company: </t>
  </si>
  <si>
    <t>only cash or Va patients
send the contract + price list + reimbursement 80% + voice mail but we can't work with him because he doesn't have the license 03/18/2026</t>
  </si>
  <si>
    <t xml:space="preserve">he is reviewing it tody as we speak and he will have a meeting with us at 5 pm ny time </t>
  </si>
  <si>
    <t>Contract Sent → Temporary Inactive | Company: NASMED LLC</t>
  </si>
  <si>
    <t>- contact info , she is a collection lab, she only do blood work</t>
  </si>
  <si>
    <t>Braces + CGM Medicare, Explained process, seems interested but wants another explanation</t>
  </si>
  <si>
    <t>- W2 as an employee</t>
  </si>
  <si>
    <t xml:space="preserve">SEND Price list and avg reimbursement for ORT And CGM , next tuesday same time </t>
  </si>
  <si>
    <t>LOVINLIFE MEDICAL SUPPLIES DME CORP</t>
  </si>
  <si>
    <t>ROSA SANTIAGO</t>
  </si>
  <si>
    <t>waiting for him to call me after reviewing the documents
VM ( 08/29/2025) , texted him on whatsapp, He is not available called him via ultatel 02/25/2026
-No longer intersted in CGM Manufacutring cost up reembusrment cost down said he wants to know entire process of ORT meeting today 11 pm 
Not Interested, too much going on with marketing, scared - ben</t>
  </si>
  <si>
    <t>LOVINLIFEMEDICALDME@gmail.com</t>
  </si>
  <si>
    <t>NY based, supply ort+ lymph , medical liscensed ,ship locally with intention to expand as she did not know she can do that with her license, meeting 01/01/2025 6:00 PM</t>
  </si>
  <si>
    <t>She is currently handling other matters and is not able to collaborate with us at the moment. She mentioned that she may be available to do so in the second half of the year.1/13/2025 5:16:00</t>
  </si>
  <si>
    <t>Note edit in Row 116 of Follow Ups queued.</t>
  </si>
  <si>
    <t>meeting today  pm ourtime, asked to cb after 20 min</t>
  </si>
  <si>
    <t>Follow Ups → Dead Leads | Company: 5 STAR CURE LLC</t>
  </si>
  <si>
    <t>he is more interested in prostatics also he thinks that this is a risk that he is not willing to take at the moment
He is interested in doing the braces he wants to have an estimate of what he will spend against what he will receive in reimbursements</t>
  </si>
  <si>
    <t xml:space="preserve"> IL based does the ngs immune deficeincy test for respratory condition, medicare li ebnse can bill medicare but not sure about accepting all states or not said weill check eith his biller, send email, meeting on wednesday he said prefer call meeting</t>
  </si>
  <si>
    <t>he said he didnt review the  email , and if intrested will reply to the email</t>
  </si>
  <si>
    <t>New Meetings → Follow Ups | Company: DREXEL DISTRIBUTION INC</t>
  </si>
  <si>
    <t>Note edit in Row 51 of Follow Ups queued.</t>
  </si>
  <si>
    <t>Follow Ups → Dead Leads | Company: Best Choice Supplies Corp</t>
  </si>
  <si>
    <t>New Meetings → Contract Sent | Company: COATS PHARMACY INC</t>
  </si>
  <si>
    <t>WED 7:00 PM 11/02</t>
  </si>
  <si>
    <t>he would get ashley the manager of the ngs to review the documents and the contract , they do mainly PGX but they also do Immune, We didn't talk about pricing because he is not the decision maker, they are a good lab that is in the busines for 15 years but never done marketing before, they are still reviewing this but they had some legal issues with contracts like this before he wants me to wait till he calls me back</t>
  </si>
  <si>
    <t>Contract Sent → Dead Leads | Company: GATE MEDICAL SUPPLY LLC</t>
  </si>
  <si>
    <t>- contact info</t>
  </si>
  <si>
    <t>BEYOND MEDICAL SUPPLIES LLC</t>
  </si>
  <si>
    <t>LISMERY RODRIGUEZ</t>
  </si>
  <si>
    <t>917-854-0303</t>
  </si>
  <si>
    <t>lismery@hudsonmedicalsupplies.com</t>
  </si>
  <si>
    <t>Can ship to Tri state area - medicare and private insurace ORT - Diabetic supplies but not CGM - lymph wraps</t>
  </si>
  <si>
    <t>She spoke with her boss and he said that they are not ready for that at the moment 7/2/26 6:53</t>
  </si>
  <si>
    <t>Another meeting on Wed 4 pm CST send contract
Interested in UTI, STI ,PGX and Immundefiency test / covid ( influenza A ,b ) RSV , meeting tuesday 11:00 am, SAID WILL START ON FEB, forward to an automatic voice system , forwarded to Automatic voice message 02/25/2026
- Spoke to Mr Hafeez he said that he is busy with projects related to the world cup he said that when he is ready he will give us acall he couldnt give us a time to give him a cb selene 2/25</t>
  </si>
  <si>
    <t>Note edit in Row 111 of Follow Ups queued.</t>
  </si>
  <si>
    <t>Note edit in Row 127 of Follow Ups queued.</t>
  </si>
  <si>
    <t>S &amp; S MEDICAL SUPPLIES INC</t>
  </si>
  <si>
    <t>Rehan</t>
  </si>
  <si>
    <t>267-303-5013</t>
  </si>
  <si>
    <t>rhusain320@gmail.com</t>
  </si>
  <si>
    <t>MON 10:30 PM</t>
  </si>
  <si>
    <t>PA based, wants to know our fee and how many agents or braces we can provide him</t>
  </si>
  <si>
    <t>he talked to his partner and they said the price is too high 7/2/26 8:26 (jim)</t>
  </si>
  <si>
    <t>Interested in CGM CPL Live transfer, Will talk again on Monday. Very good prospect, lebnon. Willing to start, will talk to his partner and get back to us with the greenlight. DOC 4/14/2025 NO answer 3 times</t>
  </si>
  <si>
    <t>RAPID RX LAB, LLC</t>
  </si>
  <si>
    <t>SHAKEYA FRANKLIN</t>
  </si>
  <si>
    <t>667-434-8107</t>
  </si>
  <si>
    <t>rapidrxlab@gmail.com</t>
  </si>
  <si>
    <t>New Meetings → Follow Ups | Company: RUTHENIUM DIAGNOSTICS LLC</t>
  </si>
  <si>
    <t>New Meetings → Follow Ups | Company: END 2 END</t>
  </si>
  <si>
    <t>MD Based, She does not have her medicare license right now but supposedly she is getting it in the next few days</t>
  </si>
  <si>
    <t>she is interested, she will talk to her billing team on friday to know the new reimbursements she wants us to call back again next monday any time after 12:30 pm , she is currently on a vacation call her next friday 05/22 7:00 pm</t>
  </si>
  <si>
    <t>Note edit in Row 14 of Follow Ups queued.</t>
  </si>
  <si>
    <t>interested to see the prices for the braces and the CGM but not to work per hour
"Left him a voice mail 12/01/2025
-said he will reach out to george -selene 1/27"
- CB early march 2/5
- said he will give us a cb , cb early april -selene 3/3</t>
  </si>
  <si>
    <t>NORMAN'S MEDICAL &amp; SURGICAL SUPPLY INC.</t>
  </si>
  <si>
    <t>only cash or Va patients
send the contract + price list + reimbursement 80% +</t>
  </si>
  <si>
    <t>KEVIN L. NORMAN</t>
  </si>
  <si>
    <t>(484) 636-6773</t>
  </si>
  <si>
    <t>nki_pharm@yahoo.com</t>
  </si>
  <si>
    <t>Wed 9:00</t>
  </si>
  <si>
    <t>PA based but operate nationwide, medicaid and another work insurance i couldn't hear very well, ORT. NOT QUALIFIED AS HE ONLY HAS WORK COMP AND MEDICAID</t>
  </si>
  <si>
    <t>Note edit in Row 6 of Temporary Inactive queued.</t>
  </si>
  <si>
    <t>Follow Ups → Temporary Inactive | Company: LYMPHMED LLC</t>
  </si>
  <si>
    <t>630-418-6827 / 630-235-6868 ( personal )</t>
  </si>
  <si>
    <t>Follow Ups → Temporary Inactive | Company: PINK REGALIA, LLC</t>
  </si>
  <si>
    <t>Follow Ups → Temporary Inactive | Company: GO LABS MOBILE SERVICES LLC</t>
  </si>
  <si>
    <t>NA left a VM 6/10/26 8:50
send a CGM contract + pay per presctiption and send a finance invoice
"Doc 01/19/2026 - Jeelani , wants CGM ,
- Epiode alert link - DDP Link - Template of faxing - Palmetto link (20 states that are free zone State) Send pdf,
- medicare part b, Can work in States that are Jurc B, orthopedic braces - lymphadema wraps Price list, next meeting, 01/26/2026, 7:30 our time ", left a voice mail, left a voice maik
VM again - ben</t>
  </si>
  <si>
    <t>Follow Ups → Temporary Inactive | Company: MF EXPRESS LAB AND VITALITY CENTER</t>
  </si>
  <si>
    <t>no answer please try from your end</t>
  </si>
  <si>
    <t>Follow Ups → Temporary Inactive | Company: GENEWELL LABS LLC</t>
  </si>
  <si>
    <t>Follow Ups → Temporary Inactive | Company: ALPHA MEDICAL SUPPLIES PLUS CORP</t>
  </si>
  <si>
    <t>DISCOVER LAB SERVICES LLC</t>
  </si>
  <si>
    <t>he is not enrolled for medicare part a and part , he doesn't have a ptan number , but he need to ask another company whether they have or not , call back after 1 week , please send him the price of the braces , cgm and the avg reimbursments + contract</t>
  </si>
  <si>
    <t>Follow Ups → Temporary Inactive | Company: MASS MEDICAL SUPPLY LLC</t>
  </si>
  <si>
    <t>DHEERAJ TEWARI</t>
  </si>
  <si>
    <t>973-705-7179</t>
  </si>
  <si>
    <t>dheeraj.tewari2025@yahoo.com</t>
  </si>
  <si>
    <t>Follow Ups → Temporary Inactive | Company: GREEN MEDICAL SUPPLY LLC</t>
  </si>
  <si>
    <t>KY Based, Ship Nationwide - no medicare - private insurce Braces - Wheelchairs - walkers - CGM</t>
  </si>
  <si>
    <t>He said I am not interested in your offer 7/14/26 8:31
He said that the prices is a bit higher than the market, will send him the contract and the price list for CGM and ORT and will follow up with again next Tue 7/10/26 8:15</t>
  </si>
  <si>
    <t>Follow Ups → Temporary Inactive | Company: PRISM HEALTH &amp; MEDICAL EQUIPMENT LLC</t>
  </si>
  <si>
    <t>Follow Ups → Temporary Inactive | Company: BACKCOUNTRY MEDICAL SOLUTIONS</t>
  </si>
  <si>
    <t>Follow Ups → Temporary Inactive | Company: DIALOGIX LABORATORY INC</t>
  </si>
  <si>
    <t>EMALINE'S HOME MEDICAL EQUIPMENT, LLC</t>
  </si>
  <si>
    <t>Follow Ups → Temporary Inactive | Company: ORTHOTIC &amp; PROSTHETICS INTERNATIONAL</t>
  </si>
  <si>
    <t>JOYCE HOPSON</t>
  </si>
  <si>
    <t>423-626-3315</t>
  </si>
  <si>
    <t>JOYCE_HME@YAHOO.COM</t>
  </si>
  <si>
    <t>Follow Ups → Temporary Inactive | Company: Precision Ortho Supply Llc</t>
  </si>
  <si>
    <t>TN BASED SUPPLY ONLY ORT, AND DIBETIC SHOES, BILL MEDICARE AND PPO, CAN SHIP TO JURSDUCTION C, NEVER DONE MARKETING BEFORE, MEETING 1PM CST</t>
  </si>
  <si>
    <t>she had urgent thing came up, asked to reschedule it for next week, not interested bitch</t>
  </si>
  <si>
    <t>Follow Ups → Temporary Inactive | Company: JFB DISTRIBUTORS &amp; DELIVERY SERVICES INC</t>
  </si>
  <si>
    <t>Follow Ups → Temporary Inactive | Company: GTI lab</t>
  </si>
  <si>
    <t>Follow Ups → Temporary Inactive | Company: ELITE LABS AND MORE</t>
  </si>
  <si>
    <t>Follow Ups → Temporary Inactive | Company: CLINICARE LAB LTD</t>
  </si>
  <si>
    <t>BIG SANDY PHARMACY INC</t>
  </si>
  <si>
    <t>Follow Ups → Temporary Inactive | Company: SEASIDE DME OF NY, INC</t>
  </si>
  <si>
    <t>DANIELLE WEAVER</t>
  </si>
  <si>
    <t>406-378-5588</t>
  </si>
  <si>
    <t>bigsandypharmacy@gmail.com</t>
  </si>
  <si>
    <t>Follow Ups → Temporary Inactive | Company: CHARITY COMFORT CARE SERVICES. LLC</t>
  </si>
  <si>
    <t>MT BASED , SUPPLY CGM, SHIP LOCALY, BILL MEDICARE LICENSD PART B, SHE SAID SHE IS NOT LICENSED FOR OTHER STATES CANT SHIP THERE but she dont know she dont need license for it, MEETING THURSDAY 7:30PM</t>
  </si>
  <si>
    <t>Follow Ups → Temporary Inactive | Company: WEST DIAGNOSTICS L L C</t>
  </si>
  <si>
    <t>she said that there are no DM available you could try again late next week , I SPOKE WITH HER DANIELLE AND SHE THOUGHT WE ARE OTHE COMPANY AFTER READING THE MAIL, SHE SAID I DONT WANT TO DEAL WITH PEOPLE I DONT KNOW, I TOLD HER I CAN ANSWER ALL QUESTIONS AND CONSERNS BUT SHE INSEASTED IN HER POSITION SHE SOUNDED SCARED TO WORK</t>
  </si>
  <si>
    <t>Follow Ups → Temporary Inactive | Company: PRECISION DIAGNOSTICS LABORATORY LLC</t>
  </si>
  <si>
    <t>Follow Ups → Temporary Inactive | Company: FIT TO GO LLC</t>
  </si>
  <si>
    <t>Follow Ups → Temporary Inactive | Company: Peachtree Medical Supply Llc</t>
  </si>
  <si>
    <t>Note edit in Row 34 of Follow Ups queued.</t>
  </si>
  <si>
    <t>A2Z MEDICAL SUPPLIES, CO.</t>
  </si>
  <si>
    <t>Sammy</t>
  </si>
  <si>
    <t>a2zfax@gmail.com</t>
  </si>
  <si>
    <t>Note edit in Row 33 of Follow Ups queued.</t>
  </si>
  <si>
    <t>IL BASED, supply ort, bill medicare shipl localy, only illionis ,meeting tomw 6:30</t>
  </si>
  <si>
    <t>areej jumped in the call an indian dude that interupted the call and said that the boss are in austerlia and he is the DM , I willsend him the presentation plus the marketing plans and they will call me when he gets back in couple of weeks</t>
  </si>
  <si>
    <t>Follow Ups → Temporary Inactive | Company: TRI-STATE MEDICAL SUPPLIES, LLC</t>
  </si>
  <si>
    <t>Follow Ups → Temporary Inactive | Company: APBMEDICALSUPPLY CORP</t>
  </si>
  <si>
    <t>NYKA LLC</t>
  </si>
  <si>
    <t>LOKESH PATEL</t>
  </si>
  <si>
    <t>personal: 2672888065 office :610-323-2115</t>
  </si>
  <si>
    <t>procarepottstown@gmail.com</t>
  </si>
  <si>
    <t>pa based supply cgm , medicare licensed, didnt ship to other states, but he is able to do that, meeting 1:00 tuesday 5/1</t>
  </si>
  <si>
    <t>may 14th 12:00pm - 2:00 pm , he wants to know what would be the price to get around 55 patients a month and he wants to send him a proposal , also to see the contract with the amount to be paid, i called to confirm he will enter the meeting he said it doesnt make sense to doit now cuz of the high prices maybe after couple of weeks, i tried to convince hime that there is flexsiblity in payment,he said better to call him 1s of june , talk again on the 15th</t>
  </si>
  <si>
    <t>Note edit in Row 3 of Invoice Sent queued.</t>
  </si>
  <si>
    <t>DISTINCTIVE HANDS LLC</t>
  </si>
  <si>
    <t>STEPHANIE GRAISE</t>
  </si>
  <si>
    <t>513-402-2731</t>
  </si>
  <si>
    <t>results@firstlabs.info</t>
  </si>
  <si>
    <t>Contract Sent → Dead Leads | Company: MAGNOLIA MEDICAL EQUIPMENT AND SUPPLIES LLC</t>
  </si>
  <si>
    <t>wants an email for everything that we do , they handle very large volume from 200-300, he do everything inhouse but he might think that our prices are a bit high
Send him an email with a contract and everything (meeting friday 2:00 pm )
they are not taking any new clients, george's proposal - ben</t>
  </si>
  <si>
    <t>OH based, said the do the immune deficiency test ngs but dont have the machine send it to other labs they work with, she said she have multiple lab that can bill medicare and accept pt nationwide, meeting tomw noon</t>
  </si>
  <si>
    <t>mike spoke with her and she can't do the test so she will contact the lap that she deals with to see what kind of machinery she needs to do the test and get back to us selene 4/10</t>
  </si>
  <si>
    <t>Note edit in Row 100 of Follow Ups queued.</t>
  </si>
  <si>
    <t>Note edit in Row 98 of Follow Ups queued.</t>
  </si>
  <si>
    <t>he so interested in CGM , he wants to do this couple of months</t>
  </si>
  <si>
    <t>New Meetings → Follow Ups | Company: MYGENOMICS, LLC</t>
  </si>
  <si>
    <t>New Meetings → Contract Sent | Company: PADEK HOLDINGS LLC</t>
  </si>
  <si>
    <t>sandra is very polite, she will think about this and review the email but she wants us to follow up with her on the 9th of december
Doc 01/08/2025, she is NI call her back on february</t>
  </si>
  <si>
    <t>New Meetings → Follow Ups | Company: ROYAL QUAIL BUSINESS SOLUTIONS LLC</t>
  </si>
  <si>
    <t>Call back on friday 10:00 am (07/21/2025)
Going through a medicare review, wants some time
Meeting Friday 12/12/2025 10:00 ( his time)</t>
  </si>
  <si>
    <t>MICROWELL LABORATORIES INC</t>
  </si>
  <si>
    <t>FERIT RAHVANCI</t>
  </si>
  <si>
    <t>917 828-1823</t>
  </si>
  <si>
    <t>ferit@pinnertest.com</t>
  </si>
  <si>
    <t>Florida based medicare licensed, work all states except ny do all genetic testing test, aske dto send email, will check eith lab tecticion, and the was interested to do long term contract if good volume of patient. meeting tomw 7 pm our time</t>
  </si>
  <si>
    <t>He is intrested to do alot of thing in egypt and for now will review the doc in email tonight, and asked to call or text him on whatsapp tomw or on monday</t>
  </si>
  <si>
    <t>Follow Ups → Temporary Inactive | Company: SCRIPT FIT LLC</t>
  </si>
  <si>
    <t>Condiut health</t>
  </si>
  <si>
    <t>Mr. Rocky Seftel</t>
  </si>
  <si>
    <t>216-310-3751</t>
  </si>
  <si>
    <t>rocky@conduithealth.com</t>
  </si>
  <si>
    <t>Thu 6:00:PM</t>
  </si>
  <si>
    <t>Note edit in Row 20 of Contract Sent queued.</t>
  </si>
  <si>
    <t>we talked , really good guy , might start with 1 or 3 , also wants an email sent to him with contract and follow up with him on thursday/ ni for now 2/5 , he wanted to reschedule
vm, ben</t>
  </si>
  <si>
    <t>Note edit in Row 13 of New Meetings queued.</t>
  </si>
  <si>
    <t>Note edit in Row 94 of Follow Ups queued.</t>
  </si>
  <si>
    <t>AMERICAN MEDICAL PRODUCTS INC</t>
  </si>
  <si>
    <t>Edwin Cabral</t>
  </si>
  <si>
    <t>718-565-7553</t>
  </si>
  <si>
    <t>ecabral@americanmedproducts.com</t>
  </si>
  <si>
    <t>ny based, licsenced, dme and cgm, pcp orders ,ship all states, meeting tuesday 4:30 our time and 10:30 am his time 4/14
i called him he will give a call today and book a meeting with bassam today4/15
he asked me to resend the email to remeber everything 5/5, still reviewing it withthe compliance officer 6/27</t>
  </si>
  <si>
    <t>We covered everything, he has compliance issues and we should talk again soon to finalize things and see if he will move forward or not. DOC 4/28/2025 I called his extension but didn't pick up. DOC 5/8/2025 said he is out of town and will be back next Wednesday. DOC 5/14/2025, We spoke about the trial. He will sit with his compliance officer and then talk again on Friday the 16th</t>
  </si>
  <si>
    <t xml:space="preserve">meeting on friday 3pm his time, he is more interested in the PGX and wants to know the reimbursements and the CPT codes used for that </t>
  </si>
  <si>
    <t>Note edit in Row 2 of Follow Ups queued.</t>
  </si>
  <si>
    <t>prince@padekhealth.com</t>
  </si>
  <si>
    <t>Note edit in Row 77 of Follow Ups queued.</t>
  </si>
  <si>
    <t xml:space="preserve">he has two other locations, he is only problem is to convince him to do an upfront payment send price list for ort &amp; CGM devices and a contract  , they will respond back with an email </t>
  </si>
  <si>
    <t>Note edit in Row 63 of Follow Ups queued.</t>
  </si>
  <si>
    <t>she declined the invite, she is driving please send her an email asking her what would be a good time tomorrow to get on a call and wait for her response/ she said didnt review it want meeting monday after noon 2/5, I left her a massage / she apologized ans asked to reschdule friday morning 4pm our time2/10, send price and contract 2/20
left her a vm and sent email - ben
closed - ben
NA</t>
  </si>
  <si>
    <t xml:space="preserve"> his personal number 904) 610-7920/ 904-217-0479</t>
  </si>
  <si>
    <t>Fl based, bill medicare, accept pt  allstates, do immune deficiency work also with QUEST LAB, meeting tmow</t>
  </si>
  <si>
    <t xml:space="preserve">he is doing ngs and already getting around 30 patients , but he never pays upfront payment he wants to review the document again and he will get back to us </t>
  </si>
  <si>
    <t>New Meetings → Follow Ups | Company: AXIOM MEDICAL SUPPLIES INC</t>
  </si>
  <si>
    <t>Follow Ups → Temporary Inactive | Company: Florida Eco Electric LLC</t>
  </si>
  <si>
    <t>promed239@gmail.com/</t>
  </si>
  <si>
    <t>Follow Ups → Temporary Inactive | Company: Now I Can Buy</t>
  </si>
  <si>
    <t>New Meetings → Follow Ups | Company: XCELLENT DME LLC</t>
  </si>
  <si>
    <t>they are not ready to do any business till march She will call me back after reviewing the documents with the owner 3:00 pm ( 01/08/2025) / sample prescription + contract for CGM (usual price) + follow up after christmas 01/06/2025 + good states they work
wait for ben to reschedule</t>
  </si>
  <si>
    <t>New Meetings → Follow Ups | Company: SYNERGENIX DIAGNOSTICS</t>
  </si>
  <si>
    <t>New Meetings → Follow Ups | Company: SILVER BRIDGE SUPPLY INC</t>
  </si>
  <si>
    <t>Follow Ups → Temporary Inactive | Company: American Home Improvement</t>
  </si>
  <si>
    <t>Follow Ups → Temporary Inactive | Company: Lavish Home Remodeling</t>
  </si>
  <si>
    <t>Follow Ups → Temporary Inactive | Company: Long's Construction And Remodeling LLC</t>
  </si>
  <si>
    <t xml:space="preserve">- NJ Based , Medicare liscenced and works on medicaid too serve NY NJ but doesnt mind expanding nationwide provides ORT meeting next thursday 7 pm our time 12 pm est  -selene 3/5 </t>
  </si>
  <si>
    <t xml:space="preserve">Follow Ups → Temporary Inactive | Company: </t>
  </si>
  <si>
    <t>he has two location one in NY and the other is in NJ , they have horizon aetna and humana , they can only accept leads in NJ and NY , he needs to know more about Palmetto ( For ort and for the CGM devices) , he is working with atalntis RC, www.axiom.com, his partner kevin james , Send the prcie list for ORT and CGM  and  avg. reimbursments and palmetto pdf's for the states that you can work without a license, also try to mention that the CGM is recurrent revenue  Ben Arthur Selene myles</t>
  </si>
  <si>
    <t>Spoke to Erick , matt also spoke to eric regarding uti
meeting with him and david tomorrow</t>
  </si>
  <si>
    <t>Follow Ups → Temporary Inactive | Company: Pitchers Media</t>
  </si>
  <si>
    <t>Follow Ups → Temporary Inactive | Company: S&amp;S Construction</t>
  </si>
  <si>
    <t>Follow Ups → Temporary Inactive | Company: RoofWatt</t>
  </si>
  <si>
    <t>Follow Ups → Temporary Inactive | Company: NatEco Solar inc</t>
  </si>
  <si>
    <t>Follow Ups → Temporary Inactive | Company: Rivertown Solar</t>
  </si>
  <si>
    <t>Follow Ups → Temporary Inactive | Company: Selective Solar</t>
  </si>
  <si>
    <t>ALPHA DME MEDICAL LLC</t>
  </si>
  <si>
    <t>Mr . ATIF</t>
  </si>
  <si>
    <t>cell phone/ whatsapp 6615832722</t>
  </si>
  <si>
    <t>Follow Ups → Temporary Inactive | Company: Solarblocks Energy</t>
  </si>
  <si>
    <t>kearakrown@gmail.com</t>
  </si>
  <si>
    <t>Follow Ups → Temporary Inactive | Company: Prestige Solar Services, LLC</t>
  </si>
  <si>
    <t>Ca based, mdicare licesenced, supply ortho and cgm, pcp, ship all states. ,meeting tomw 7 pm , if he didnt answere he could be reached by whatsapp</t>
  </si>
  <si>
    <t>send all the info on the ORthopedic Braces + Price list + a sample from pcp order and telemed Order ( ben )
lymphadema + uv wands, he only wants to pay after 14 days</t>
  </si>
  <si>
    <t>Follow Ups → Temporary Inactive | Company: Lucent Energy Management, Inc.</t>
  </si>
  <si>
    <t>Follow Ups → Temporary Inactive | Company: Ray Energy LLC</t>
  </si>
  <si>
    <t>Follow Ups → Temporary Inactive | Company: Mister Solar Guy</t>
  </si>
  <si>
    <t>Follow Ups → Temporary Inactive | Company: Allstate Electric &amp; Solar LLC</t>
  </si>
  <si>
    <t>956-258-5089</t>
  </si>
  <si>
    <t>Follow Ups → Temporary Inactive | Company: Etrecte LLC</t>
  </si>
  <si>
    <t>Valmar Surgical Supplies</t>
  </si>
  <si>
    <t>Mr.shea zell ( Business Development)</t>
  </si>
  <si>
    <t xml:space="preserve"> TX BASED SUPPLY ORT AND CGM, SAID HE HAS AND CAN BILL MEDICARE BUT NOT MEDICADE, AND WILLING TO SHIP ALL STATES, MEETING WED9:30 OUR TIME</t>
  </si>
  <si>
    <t>908 783 3122</t>
  </si>
  <si>
    <t>Follow Ups → Temporary Inactive | Company: Solar Me</t>
  </si>
  <si>
    <t>she can't understand english very well, she wants somebody to speak spanish with her , she said that she just got a medicare license and she didn't understand before what we offer, i explained it a little bit then told her that we will send everything about our process in an email in order for her and her partner to see it , we need to send an email explaining our process and how we get paid as an upfront fee and stating the products that we can work with and what capacity can we send her Ben Arthur</t>
  </si>
  <si>
    <t>szell@valmarsurgical.com</t>
  </si>
  <si>
    <t>nj based , medicare licensed ,supply cgm and ort ship all states, he said we can do work with parachute since with egypt, and asked to get emaial to invite us ,do meeting on 12 pm</t>
  </si>
  <si>
    <t>New Meetings → Follow Ups | Company: R &amp; L PHARMACY LLC</t>
  </si>
  <si>
    <t>Lead generation , submit it on your website or a submission form and you guys are gonna be doing the chasing , an agent can get anywhere around 20-25/ Month and since you are using parachute you might get upto 70-75% approval rate,
he is NI for now , call back after a month 09/08/2025</t>
  </si>
  <si>
    <t>Note edit in Row 88 of Follow Ups queued.</t>
  </si>
  <si>
    <t>Follow Ups → Temporary Inactive | Company: Jahez Group</t>
  </si>
  <si>
    <t xml:space="preserve">MD based has the ngs machine and do the immune deficiency test, medicare licensed, and accept patients from most states, asked to send email meeting fri </t>
  </si>
  <si>
    <t xml:space="preserve">set a meeting next thursday same time 2:00 PM, he will Out source it for one of his parnter to do it in his lab and get the reimbursements and pay for us , I will send him the email and everything now </t>
  </si>
  <si>
    <t>Follow Ups → Temporary Inactive | Company: TechMedia Group</t>
  </si>
  <si>
    <t>Follow Ups → Temporary Inactive | Company: Home and Legal</t>
  </si>
  <si>
    <t>Assist medical supply</t>
  </si>
  <si>
    <t>Fila Tulu</t>
  </si>
  <si>
    <t>310-910-6797</t>
  </si>
  <si>
    <t>Follow Ups → Temporary Inactive | Company: Cozmo travel</t>
  </si>
  <si>
    <t>info@assistmedinc.com</t>
  </si>
  <si>
    <t>CA based, medicare licesned, ship all states, and supply cgm, meeeting tomw 9 pm</t>
  </si>
  <si>
    <t>Follow Ups → Temporary Inactive | Company: Medical Call centers 4D</t>
  </si>
  <si>
    <t>Mr fita , send him the medical supplier info , 2 cgm pdf , cample w recordings w aktblo fel email our offer seem to have another call on another line cb later - ben</t>
  </si>
  <si>
    <t>Note edit in Row 76 of Follow Ups queued.</t>
  </si>
  <si>
    <t xml:space="preserve">GA Based ,Medicare liscenced ships nationwide supply ORT CGM meeting 9.30 pm asked about prices per orders asked for a phone call -selene 3/9 </t>
  </si>
  <si>
    <t>he wants us to send a fax , send an email to joseph.brown.wiz@gmail.com &amp; ian strange, explain our process  price list for CGM and Braces and a template of the contract and schedule a follow up call tomorrow same time and he has more than 70 dme's 
- Called him and he hung up it goes to vm cb later -selene 3/11</t>
  </si>
  <si>
    <t>Note edit in Row 15 of Temporary Inactive queued.</t>
  </si>
  <si>
    <t>ELITE MEDPRO DIAGNOSTICS LLC</t>
  </si>
  <si>
    <t>IRFAN MAZHER</t>
  </si>
  <si>
    <t>484-331-3408</t>
  </si>
  <si>
    <t>elitemedical.inc.ems@gmail.com</t>
  </si>
  <si>
    <t>Note edit in Row 3 of Temporary Inactive queued.</t>
  </si>
  <si>
    <t>TX based,supply ort, cgm, bill medicare ,ship alstates, meeting 9:30 tomw</t>
  </si>
  <si>
    <t>in the meeting , he wants to share his own pricing so we can work together, he has very low pricing</t>
  </si>
  <si>
    <t>Note edit in Row 4 of Temporary Inactive queued.</t>
  </si>
  <si>
    <t>Note edit in Row 10 of Temporary Inactive queued.</t>
  </si>
  <si>
    <t>Note edit in Row 11 of Temporary Inactive queued.</t>
  </si>
  <si>
    <t>Note edit in Row 14 of Temporary Inactive queued.</t>
  </si>
  <si>
    <t>Note edit in Row 16 of Temporary Inactive queued.</t>
  </si>
  <si>
    <t>Note edit in Row 17 of Temporary Inactive queued.</t>
  </si>
  <si>
    <t>Fraidy</t>
  </si>
  <si>
    <t>212-235-5181</t>
  </si>
  <si>
    <t>fraidy@nyrecoverydme.com/ 212) 235-5181</t>
  </si>
  <si>
    <t>Note edit in Row 81 of Follow Ups queued.</t>
  </si>
  <si>
    <t>New Meetings → Dead Leads | Company: A-Z &amp; MEDICAL SUPPLY INC</t>
  </si>
  <si>
    <t>spoke with fraidy the one resposible work descisions, she received email and asked about prices and she cant attend any meeting till april the 20th willbe avalible, they have holiday for the next 2 weeks, Meeting will be tomw 1pm est
wants to send her the contract and the two price modules both pay per hour for orthopedic braces and one for price per prescription,
she said she is not ready now maybe after couple of days she will call us to start 5/4 jane</t>
  </si>
  <si>
    <t>AMERICAN LAB LLC</t>
  </si>
  <si>
    <t>Lorenzo(operation manager)</t>
  </si>
  <si>
    <t>lorenzo@americanlabfl.com</t>
  </si>
  <si>
    <t>fl based, do uti and other test the deal with many labs referrals,, accept allnation wide, bill medicare, meeting on tuesday</t>
  </si>
  <si>
    <t>not interested in marketing now</t>
  </si>
  <si>
    <t>New Meetings → Dead Leads | Company: ALLIED MEDICAL HEALTH LLC</t>
  </si>
  <si>
    <t>New Meetings → Dead Leads | Company: ADVANCE ORTHOTICS AND PROSTHETICS</t>
  </si>
  <si>
    <t>AAURA HEALTHCARE LLC</t>
  </si>
  <si>
    <t>NICKI OR JENNA / DIRECTORS</t>
  </si>
  <si>
    <t>470-414-5404</t>
  </si>
  <si>
    <t>info@aaurahealthcare.com</t>
  </si>
  <si>
    <t>GA BASED / they offer metabolic tests, UTI, STI, molecular / they don't have medicare yet however they are still setting it up for approval but they do private pay and worker's comp.</t>
  </si>
  <si>
    <t>GA based COLLECTION LAB, so mainly we can reach out regarding a collab with a lab requiring a collection company later</t>
  </si>
  <si>
    <t>DIABETIC SUPPLIES, INC.</t>
  </si>
  <si>
    <t>Genia Trakhtenberg</t>
  </si>
  <si>
    <t>561-756-6574</t>
  </si>
  <si>
    <t>geniadsi@gmail.com</t>
  </si>
  <si>
    <t>Note edit in Row 30 of Follow Ups queued.</t>
  </si>
  <si>
    <t>Wed 18:30 PM</t>
  </si>
  <si>
    <t>Note edit in Row 71 of Follow Ups queued.</t>
  </si>
  <si>
    <t>Note edit in Row 28 of New Meetings queued.</t>
  </si>
  <si>
    <t>OH BASED they supply cgm, medicare licensed, send allstates experinced 25 yrs</t>
  </si>
  <si>
    <t>at first she did not remember, I reminded her and sent her the info again, we agree that she will review the papers and I will give her a call tomorrow again 6/10/26 9:22 (jimmy) she wants an email for pay per hour for CGM, send the website for UC marketing LLC , thursday same time , she will think about it on the weekend and get back to us send a reminder email06/30/2026 send her marketing plan for cgm + contract and set a meeting next Wednesday same time as now SENFD CONTRACT AND MARKETING PLAN, MEETING NEXT WEDNESDAY, dean spoke with her asked to call her back next week she is busy this week. she asked to call her back after 20 min, she is no longer interested</t>
  </si>
  <si>
    <t>Note edit in Row 19 of Follow Ups queued.</t>
  </si>
  <si>
    <t>Note edit in Row 27 of Follow Ups queued.</t>
  </si>
  <si>
    <t>Note edit in Row 41 of Follow Ups queued.</t>
  </si>
  <si>
    <t>Note edit in Row 11 of Follow Ups queued.</t>
  </si>
  <si>
    <t>Note edit in Row 18 of Follow Ups queued.</t>
  </si>
  <si>
    <t>Note edit in Row 25 of Follow Ups queued.</t>
  </si>
  <si>
    <t>Note edit in Row 61 of Follow Ups queued.</t>
  </si>
  <si>
    <t>Note edit in Row 29 of New Meetings queued.</t>
  </si>
  <si>
    <t>Note edit in Row 28 of Temporary Inactive queued.</t>
  </si>
  <si>
    <t>Note edit in Row 31 of Temporary Inactive queued.</t>
  </si>
  <si>
    <t>- address</t>
  </si>
  <si>
    <t>HALLMARK MEDICAL LLC</t>
  </si>
  <si>
    <t>Note edit in Row 43 of Follow Ups queued.</t>
  </si>
  <si>
    <t>MOHAMED HASHEM</t>
  </si>
  <si>
    <t>(313) 353-4400</t>
  </si>
  <si>
    <t>hallmarkmedicalllt@yahoo.com</t>
  </si>
  <si>
    <t>Tue 10:30</t>
  </si>
  <si>
    <t>MI based / BCBS, humana / he provides braces and lymphedema products (NOT INTERESTED ANYMORE)</t>
  </si>
  <si>
    <t xml:space="preserve">TX based, Dropshipping just texas,
Interested, Medicare, wants to be sure that she can dropship in all states 3/16 </t>
  </si>
  <si>
    <t>TELA MEDICAL LLC</t>
  </si>
  <si>
    <t>ANDREW MELNICK</t>
  </si>
  <si>
    <t>andy@telamedical.com/</t>
  </si>
  <si>
    <t>IL based, ship allstates, deal with medicare, supply ort, send email , meeting 10 am his time</t>
  </si>
  <si>
    <t>He works in blue cross blue shield (IL only) and medicare ( nation wide) , he wantsto have certain documents sent to the patient , he wants to see the ability of us working and generating those documents he also been to Egypt 40 years ago and he wants to revisit , and he talked to me about the MVA campaign and what do we know about it
scheduled for tomorrow 2pm his time, i told him i am in dubai lol, ben , he do worksmen comp state by state authority injured on the job, standalone insurance , they are us goverment oversight , so every state is good , 13 years , send him a marketing plan for 1/4 and a contract</t>
  </si>
  <si>
    <t>Note edit in Row 32 of New Meetings queued.</t>
  </si>
  <si>
    <t>CATSKILL PHARMACY INC</t>
  </si>
  <si>
    <t>MUHAMMAD RAHMAN</t>
  </si>
  <si>
    <t>845-626-0900</t>
  </si>
  <si>
    <t>catskillpharmacy@gmail.com</t>
  </si>
  <si>
    <t>New Meetings → Temporary Inactive | Company: NEW YORK RECOVERY DME CORP</t>
  </si>
  <si>
    <t>New Meetings → No-Show | Company: HOMETOWN MEDICAL EQUIPMENT</t>
  </si>
  <si>
    <t>New Meetings → Dead Leads | Company: HOPE ARTIFICIAL LIMB &amp; BRACE,LLC</t>
  </si>
  <si>
    <t>New Meetings → No-Show | Company: LEGACY MEDICAL CONCEPTS LLC</t>
  </si>
  <si>
    <t>NY Based, ships locally medicare liscenced ORT CGM meeting call at 10 pm our time 7/22</t>
  </si>
  <si>
    <t>New Meetings → Follow Ups | Company: JENTAL LABZ LLC</t>
  </si>
  <si>
    <t xml:space="preserve">read the email and changed his mind </t>
  </si>
  <si>
    <t>MAIN STOP TESTING SVCS</t>
  </si>
  <si>
    <t>RJ WILLIAMS</t>
  </si>
  <si>
    <t>713-551-8743</t>
  </si>
  <si>
    <t>testingsvcs@aol.com</t>
  </si>
  <si>
    <t>New Meetings → Contract Sent | Company: MERCY MEDICAL SUPPLIES LLC</t>
  </si>
  <si>
    <t>New Meetings → Temporary Inactive | Company: GLACIER MEDICAL SUPPLY, INC.</t>
  </si>
  <si>
    <t>PPO</t>
  </si>
  <si>
    <t>TX based, has NGS testing medicare liscenced meeting tmrw 2.00 cst 9.00 our time -selene 4/8</t>
  </si>
  <si>
    <t xml:space="preserve">outsources the testing, to another doesnt do them directly, labs he is working with cant do medicare, will check and get back to us
-Spoke to rj said he is interested to preced forward said to call him 11 am on mon to set up another meeting with mike doesnt provide uti cgx pgx outsiurces ngs 7/29 </t>
  </si>
  <si>
    <t>New Meetings → Temporary Inactive | Company: PRIME PULSE MEDICAL SOLUTIONS LLC</t>
  </si>
  <si>
    <t xml:space="preserve">He said he is not ready for Medicare, can do PPO 
FL based just got his medicare license and ready now </t>
  </si>
  <si>
    <t>New Meetings → Temporary Inactive | Company: CLEARCLAIM MEDICAL BILLING INC.</t>
  </si>
  <si>
    <t>Ex software engineer, no expereince in DME, had issues before is very scared, wants to do JUR A,B &amp;C
not interested in paying upfront sent an email anyways</t>
  </si>
  <si>
    <t>New Meetings → Temporary Inactive | Company: TOTAL LAB SERVICES LLC</t>
  </si>
  <si>
    <t>New Meetings → Dead Leads | Company: POATES LABS SOLUTIONS</t>
  </si>
  <si>
    <t>New Meetings → Follow Ups | Company: D&amp;S CONFIDENTIAL COLLECTIONS</t>
  </si>
  <si>
    <t>SWIFTCHECK LABS LLC</t>
  </si>
  <si>
    <t>JHASMINE MARTIN</t>
  </si>
  <si>
    <t>225-333-0544</t>
  </si>
  <si>
    <t>New Meetings → Follow Ups | Company: WEST GEORGIA DIAGNOSTIC TESTING LLC</t>
  </si>
  <si>
    <t>SUPPORT@SWIFTCHECKLABS.COM</t>
  </si>
  <si>
    <t>CA based, Medicare liscenced , ships locally but interested to expand nationwide he said he wants  acall meeting because he has plenty of patients , meeting at  at wed 11.30 pm our time  -selene 3/17 
- He said he was busy with a patient he said to give him a call tmrw at 12 am our time -selene 3/19</t>
  </si>
  <si>
    <t>MON 5:00 PM</t>
  </si>
  <si>
    <t xml:space="preserve">no show / voice mail 
- said he doesnt need the service right now </t>
  </si>
  <si>
    <t>New Meetings → Temporary Inactive | Company: ACT FAST LAB LLC</t>
  </si>
  <si>
    <t xml:space="preserve">FL Based, Accept local medicare patients but she said she will think about expanding she said she does marketing herself and she wants to do more research on us .does UTI and pgx meeting monday 5 pm our time 7/30 </t>
  </si>
  <si>
    <t>New Meetings → Dead Leads | Company: QUICK LABS</t>
  </si>
  <si>
    <t>New Meetings → Dead Leads | Company: LABS ON THE ROLL</t>
  </si>
  <si>
    <t>New Meetings → Follow Ups | Company: SOURCE DIRECT MEDICAL SUPPLY, INC</t>
  </si>
  <si>
    <t>New Meetings → Contract Sent | Company: ABLE GRACE MEDICAL LLC</t>
  </si>
  <si>
    <t xml:space="preserve">mobility products ( wheelchairs , cains ) , CGM . Lymphadema wraps, DOC 01/15/2025, she is interested CGM and lymphadema wraps she wants the price list and the CPT codes for the products to know the reimbursements , she can work in Jurc c 01/21/2026
her medicare is under review 12/18
fucked up the trial, claim denied
</t>
  </si>
  <si>
    <t>New Meetings → Contract Sent | Company: EXPERTUS LABORATORIES, INC</t>
  </si>
  <si>
    <t>CLOVER FAMILY CORP</t>
  </si>
  <si>
    <t>JASON ALEXANDER</t>
  </si>
  <si>
    <t>919-812-4557</t>
  </si>
  <si>
    <t>jason@cloversmedical.com</t>
  </si>
  <si>
    <t>Thurs 6:30 PM</t>
  </si>
  <si>
    <t>NC BASED, SUPPLY LYMPHEDEMA GARMENTS MEDICARE LICENSED, PPO, CAN SHIP OTHER STATES 6/23</t>
  </si>
  <si>
    <t>he says that our process is ver tight, but he didn't seem interested to do it right now, he asked to send the information to his team and they will review it and if he decided to go for it, he will respond to the email, Send him the presentation + template of the pricing for lymphedema + sample for a contract, said to give a call vback aend of the month, he is still interested just working on compliances stuff. he said his compliance team thinks our proceess , like how we get thereferrasls andshare on the google sheet,dont alliegn with ther compliance strategy.</t>
  </si>
  <si>
    <t>New Meetings → Follow Ups | Company: TRI-STATE LABS MANAGEMENT INC</t>
  </si>
  <si>
    <t xml:space="preserve">501-554-7574
</t>
  </si>
  <si>
    <t xml:space="preserve">aavaritt@mallardmed.com </t>
  </si>
  <si>
    <t>New Meetings → Follow Ups | Company: 50 OCEANA PHARMACY CORP</t>
  </si>
  <si>
    <t xml:space="preserve">Apologies for the short notice, but the CEO of the company said he's not interested at this time which prevents me from moving forward. I will save this info and reach out to you if anything changes. 
Talked to andrew, he is interested, but he wants to check with the ceo first ( james ) </t>
  </si>
  <si>
    <t>New Meetings → Follow Ups | Company: TELA MEDICAL LLC</t>
  </si>
  <si>
    <t>New Meetings → Follow Ups | Company: DISTINCTIVE HANDS LLC</t>
  </si>
  <si>
    <t>Follow Ups → Temporary Inactive | Company: Touchstone Comm</t>
  </si>
  <si>
    <t>New Meetings → Follow Ups | Company: RELIANCE MEDEQUIP INC</t>
  </si>
  <si>
    <t>RENASCENT LABORATORIES LLC</t>
  </si>
  <si>
    <t>MATTHEW GOMBRICH</t>
  </si>
  <si>
    <t>802-316-0894</t>
  </si>
  <si>
    <t>New Meetings → No-Show | Company: EASY STICKS &amp; PRICKS LLC</t>
  </si>
  <si>
    <t>mgombrich@renascentdx.com</t>
  </si>
  <si>
    <t>New Meetings → Follow Ups | Company: BIOLIFE DIAGNOSTICS INC</t>
  </si>
  <si>
    <t xml:space="preserve"> Nj based,supply ort,cgm, bill medicare and ship allstates meeting tomw,</t>
  </si>
  <si>
    <t>VT Based, he wants to find a way we can do it together, he knows that he would handle the shipping cost, he will provide us with the kits, he made a new better for urine collection. UTI and STI</t>
  </si>
  <si>
    <t>he only can do NJ nothing more and he is very skyptical , and he needs the pricing for ort and CGM, 
Not Interested</t>
  </si>
  <si>
    <t>New Meetings → Follow Ups | Company: MEDICERT PRO LLC</t>
  </si>
  <si>
    <t>New Meetings → Follow Ups | Company: ELITE MEDPRO DIAGNOSTICS LLC</t>
  </si>
  <si>
    <t>Follow Ups → Dead Leads | Company: GOOD SAMARITAN MEDICAL</t>
  </si>
  <si>
    <t>New Meetings → Follow Ups | Company: MAIN STOP TESTING SVCS</t>
  </si>
  <si>
    <t>Note edit in Row 54 of No-Show queued.</t>
  </si>
  <si>
    <t>PROGRESS MEDICAL LLC DBA PROGRESS MEDICAL LABS</t>
  </si>
  <si>
    <t>JIM POLLAK</t>
  </si>
  <si>
    <t>720-339-3694</t>
  </si>
  <si>
    <t>New Meetings → Temporary Inactive | Company: SFRN VENTURES LLC</t>
  </si>
  <si>
    <t>jim@PROGRESSMEDICALLABS.com</t>
  </si>
  <si>
    <t>CO Based, He will be doing PGx in two weeks, for now he can do UTI, STI, wounds and respiratory, wants to discuss how he operates and how we can meet his policy</t>
  </si>
  <si>
    <t>New Meetings → Dead Leads | Company: BIO SCIENCE LABORATORY</t>
  </si>
  <si>
    <t>He is intersted in the process, he just wants an email for the prices of UTI and PGx, and detailed explaination for the shipping process and how much it would cost him 7/20/26 11:05</t>
  </si>
  <si>
    <t>Note edit in Row 72 of Follow Ups queued.</t>
  </si>
  <si>
    <t>Onboarded → Invoice Sent | Company: MAIL ORDER MEDICAL SUPPLIES LLC</t>
  </si>
  <si>
    <t>New Meetings → Follow Ups | Company: BURGEON MEDIX LLC</t>
  </si>
  <si>
    <t>Medical Care Alert</t>
  </si>
  <si>
    <t xml:space="preserve">Bryan ( The Owner ) </t>
  </si>
  <si>
    <t>(248) 513-8422 ( Direct ) 
(561) 402-0131 ( Debbi ) 
(855) 671-3455</t>
  </si>
  <si>
    <t>Note edit in Row 87 of Follow Ups queued.</t>
  </si>
  <si>
    <t>bryan@medicalcarealert.com</t>
  </si>
  <si>
    <t>TUE 8:30</t>
  </si>
  <si>
    <t>Follow Ups → Dead Leads | Company: MEDICERT PRO LLC</t>
  </si>
  <si>
    <t xml:space="preserve">Send him an email, and he will reply with his calendar to set a meeting for the baord to join in 7/28/26 10:26 
a charge back if the PT did not pay the second subscription
only USA 
Talked to his assistant yesterday, she told him about us and he agreed on a meeting today </t>
  </si>
  <si>
    <t>Note edit in Row 194 of Dead Leads queued.</t>
  </si>
  <si>
    <t>Note edit in Row 90 of Follow Ups queued.</t>
  </si>
  <si>
    <t>50 OCEANA PHARMACY CORP</t>
  </si>
  <si>
    <t>ROMEEZA ASHRAF/ her husband sajjad</t>
  </si>
  <si>
    <t>347-868-6394 her husband 9175788401</t>
  </si>
  <si>
    <t>ocpharmacy25@gmail.com</t>
  </si>
  <si>
    <t>NY based, supply some ort and do cgm, can ship allstates, medicare liscence meeting tomw noon</t>
  </si>
  <si>
    <t>Note edit in Row 55 of No-Show queued.</t>
  </si>
  <si>
    <t>she said her husband sajjad take care of this 9175788401 , they want the doctor office to send it directly to his pharmacy , send pricelist for each CGM and ort and both of them are pay per hour the normal range</t>
  </si>
  <si>
    <t>Note edit in Row 56 of No-Show queued.</t>
  </si>
  <si>
    <t>Note edit in Row 57 of No-Show queued.</t>
  </si>
  <si>
    <t>david@wellcaredme.com. Working on his Software so he can take patients from us. DOC 3/26/2025. Interested in VA too, wants me to call first week of may he wants to touch base in 3 months (07/21/2025)
Call back in march
VM - sent email ben 
VM- ben</t>
  </si>
  <si>
    <t>Note edit in Row 58 of No-Show queued.</t>
  </si>
  <si>
    <t>ROCKET CITY MEDICAL, LLC</t>
  </si>
  <si>
    <t>SUSAN COMPERDA</t>
  </si>
  <si>
    <t>256-801-8125</t>
  </si>
  <si>
    <t>Note edit in Row 59 of No-Show queued.</t>
  </si>
  <si>
    <t>susan@c-msolutions.com</t>
  </si>
  <si>
    <t>THU 5:30 PM</t>
  </si>
  <si>
    <t>AL based do lymphadema wraps , and pumps, ship to other states and bill medicare, meeting tomw 5;30 pm</t>
  </si>
  <si>
    <t>i just spoke with susan, and she said that our work is ilegal according to medicare after she did reviewed our email, asked to dnc</t>
  </si>
  <si>
    <t xml:space="preserve">no show up </t>
  </si>
  <si>
    <t>DARAR RX GROUP CORP.</t>
  </si>
  <si>
    <t>SWARANJIT SINGH</t>
  </si>
  <si>
    <t>718-496-8762</t>
  </si>
  <si>
    <t>paulspharmacygroup@gmail.com</t>
  </si>
  <si>
    <t>Wed 11:30 PM</t>
  </si>
  <si>
    <t>medicare sent the email he saw it check back in a week sent a email 6/2
saw the email, discussed out of netwrok + lymphadema and set a meeting 6/9</t>
  </si>
  <si>
    <t>good meeting, leaning more into pay per hour, next meeting next week same time</t>
  </si>
  <si>
    <t xml:space="preserve">she wants a reference lab to see how much would it cost her to run the test and whether she can bill the insurance herself, will talk to her on fridy same time </t>
  </si>
  <si>
    <t>staaralert
lifesafetymonitoring</t>
  </si>
  <si>
    <t xml:space="preserve">Matthew Couillard
</t>
  </si>
  <si>
    <t>P. 1-800-338-7114 Ext. 110
C. 1-843-696-3983
F. 1-800-795-2735</t>
  </si>
  <si>
    <t>couillardmw@staaralert.com</t>
  </si>
  <si>
    <t>MS Based "CGM - NationWide - Medicare 
"</t>
  </si>
  <si>
    <t xml:space="preserve">Were following up with him thru email and we agreed on a meeting to dicuss how we can work together </t>
  </si>
  <si>
    <t xml:space="preserve">she is interested but she only has MS and LA at the moment we need to sent her the count of our most important states and the two pay per hour module one for the lead Gen and the other for lead gen + document Reterival and we will have a meeting next thursday about how we will move forward , 
04/02/2026 she is interested to move forward with 1 agent for CGM , she is still waiting to know exactly how many states can she add at first so we will have a meeting next monday 11:00 am her time and in the mean while we need to send her a contract for ( 1 agent ( normal price ) , ask her about the states that we will work with to start the deploying process and what would be a good time to start </t>
  </si>
  <si>
    <t xml:space="preserve">They are not doing business directly with the consumers, they only work with health care and hospitals, and not looking for indvidiuals at the moment </t>
  </si>
  <si>
    <t>Note edit in Row 28 of Follow Ups queued.</t>
  </si>
  <si>
    <t xml:space="preserve"> tzvi@nyrecoverydme.com /  fraidy@nyrecoverydme.com/ 212) 235-5181</t>
  </si>
  <si>
    <t xml:space="preserve"> NY based , ort and cgm, medicare liscensed, shipalstates, meeting tomw</t>
  </si>
  <si>
    <t>spoke with fraidy the one resposible  work descisions, she received email and asked about prices and she cant attend any meeting till april  the 20th willbe avalible, they have holiday for the next 2 weeks</t>
  </si>
  <si>
    <t>Contract Sent → Invoice Sent | Company: PAYBACK TIME</t>
  </si>
  <si>
    <t xml:space="preserve">- IL Based , medicare liscenced and accept patients alll states does PGX only meeting mon 7.30 pm our time 11 .30 cst - 11/21 no longer provide pgx </t>
  </si>
  <si>
    <t>New Meetings → Dead Leads | Company: GENESIS HORIZON TESTER LLC</t>
  </si>
  <si>
    <t>she just stepped out of the office, she is out on a vacation call back next week, spoke with katina reschduled  next week on wednesday</t>
  </si>
  <si>
    <t>VARIETY ENTERPRISES, LLC</t>
  </si>
  <si>
    <t>MICHAELA GILBERT</t>
  </si>
  <si>
    <t>202-355-9135 / personal (478) 998-9216</t>
  </si>
  <si>
    <t>Note edit in Row 66 of Follow Ups queued.</t>
  </si>
  <si>
    <t>varietyenterprises15@gmail.com</t>
  </si>
  <si>
    <t xml:space="preserve">323-246-4645 </t>
  </si>
  <si>
    <t>DC Based, medicare b, all states</t>
  </si>
  <si>
    <t>Contract Sent → Invoice Sent | Company: ROTTAM LLC</t>
  </si>
  <si>
    <t>she wants an email , where we send the contract, where we state how we optain our leads and also the pricing point for 5-10 patients a week and send it over today , follow up call is friday 9:00 pm our time</t>
  </si>
  <si>
    <t>we had a google meet, He wanted from us to send him the website of UC marketing LLC , and some information about what we do, Also he is interested but waiting for his business partner to attend the call and review the documents, So send the process explanation , prices As Pay per hour ( normal range ) per 1 agent receive from 5 - 7 patients a month for braces , and a contract and uc marketing website ,   he discuusied with his partner after both reviwing the prices and contract said they are good now , and not able to take more pts at the moment , maybe in the future 4/9</t>
  </si>
  <si>
    <t>Note edit in Row 4 of Invoice Sent queued.</t>
  </si>
  <si>
    <t xml:space="preserve"> FL based ort and cgm, , medicare liscenced, ship allstates, meeting tomw </t>
  </si>
  <si>
    <t>(425) 215-5469</t>
  </si>
  <si>
    <t xml:space="preserve">Ben Arthur can you send her the intro email </t>
  </si>
  <si>
    <t>Based in WA. Provides PGx, accepts Medicare, and operates nationwide 8/18</t>
  </si>
  <si>
    <t>He does PGx and other genetic tests but said the price is too expensive so it won't work out 8/18</t>
  </si>
  <si>
    <t>Follow Ups → Contract Sent | Company: XCELLENT DME LLC</t>
  </si>
  <si>
    <t xml:space="preserve">she colllection site and she reference everything to Quest Diagnostic and she doesn't have the Machianry it'self , she didn't receive the email , she has a lab in mind  ( ERIC) , call back on friday 11 am , asked to reschedule 1 :30 pm , she is still waiting on eric to respond back to her and she saved my number either she call me or i call her back in a week , she didn't enter the meeting and i left a voice mail </t>
  </si>
  <si>
    <t>Note edit in Row 25 of Contract Sent queued.</t>
  </si>
  <si>
    <t>MSK GLOBAL VENTURES LLC</t>
  </si>
  <si>
    <t>HASSAN SHAHID</t>
  </si>
  <si>
    <t>916-578-7164</t>
  </si>
  <si>
    <t>hassanshahidkhan@gmail.com</t>
  </si>
  <si>
    <t>CA Based ,supply ORT, CGM ,Mediacre liscenced  ,ships nationwide ,interested to know more said to give him a call at 10.00 pm our time tues8/13</t>
  </si>
  <si>
    <t>Tues 8:00 PM</t>
  </si>
  <si>
    <t xml:space="preserve">He said that he reviwed the documents and was no longer interested </t>
  </si>
  <si>
    <t xml:space="preserve">I called her again she apolozied for not showing up, she said her brother died, and she had a lot going on with her now, we a greed on a reset next WED 11/03 11:30 Her time 6:30 our time 3/4/26 10:22
She did not show up 2/4/26 8:30
1 pm fl 
NA 1/27/26 7:24 
She did not answer 1/26/26 7:22 
"Mail sent and meeting set 
She still at the beggining of running the business asked me for the mail and a meeting next monday at 12 pm 
suppliesMERCYMEDICAL@gmail.com "
she didn't show up in the meeting </t>
  </si>
  <si>
    <t>New Meetings → No-Show | Company: ADVENTUS LABS</t>
  </si>
  <si>
    <t>New Meetings → Dead Leads | Company: FALCONMED SOLUTIONS LLC</t>
  </si>
  <si>
    <t xml:space="preserve">left a voice mail </t>
  </si>
  <si>
    <t>New Meetings → Follow Ups | Company: EXPRESS PHARMACY &amp; DME</t>
  </si>
  <si>
    <t>FL based, bill medicare, accept pt  all states</t>
  </si>
  <si>
    <t xml:space="preserve">he is interested in lead gen for the cgm and he would do the chasing on his own, he also wants alot of seats but unfortunately he doesn't have the ptan and he won't be able to get till 5 months from now , he wants us to keep contact on whats app </t>
  </si>
  <si>
    <t>New Meetings → Follow Ups | Company: SIMPLICITY HEALTHCARE DIAGNOSTICS &amp; LABS</t>
  </si>
  <si>
    <t>New Meetings → No-Show | Company: VITALTOUCH COLLECTIONS</t>
  </si>
  <si>
    <t>New Meetings → Follow Ups | Company: MEDICON CLINICAL LAB LLC</t>
  </si>
  <si>
    <t xml:space="preserve">CLEARCLAIMMBI@GMAIL.COM 
</t>
  </si>
  <si>
    <t>New Meetings → No-Show | Company: S &amp; S MEDICAL SUPPLIES INC</t>
  </si>
  <si>
    <t xml:space="preserve">He sounds indian, but can do medicare PT and can ship nationwide </t>
  </si>
  <si>
    <t xml:space="preserve">the ppo ( humana)  insurance rejected the documents that he got from the marketing team  and you only work with PPO not medicare </t>
  </si>
  <si>
    <t>New Meetings → Follow Ups | Company: LILLIE'S LAB SOLUTIONS</t>
  </si>
  <si>
    <t>New Meetings → Follow Ups | Company: SIX POINT CONSULTING LLC</t>
  </si>
  <si>
    <t>New Meetings → Follow Ups | Company: RAPID RX LAB, LLC</t>
  </si>
  <si>
    <t>New Meetings → Follow Ups | Company: WELL HEALTH SUPPLY CO</t>
  </si>
  <si>
    <t xml:space="preserve">contact@TOTALLABSERVICESLLC.com
</t>
  </si>
  <si>
    <t>She said she is a collection site but intersted in working with us and see if she can provide us with a reference lab 
IN based, She still does not have the equips but is very very close to arrive to her lab, she can bill medicare.</t>
  </si>
  <si>
    <t>New Meetings → Follow Ups | Company: XAVIER INTERNATIONAL LABORATORIES</t>
  </si>
  <si>
    <t xml:space="preserve">I’ve been doing well, thank you. I took some time to review everything, and at this moment I’m not in a position to move forward with this opportunity. I truly appreciate you reaching out and sharing the information with me. I’d definitely like to stay in touch for any future opportunities that may align as my business continues to grow.
I sure wish I was suitable to assist I tried and it seems I am not qualified enough. I appreciate the opportunity   4/9/26 </t>
  </si>
  <si>
    <t>Note edit in Row 8 of No-Show queued.</t>
  </si>
  <si>
    <t>No-Show → Dead Leads | Company: ASSIST DEPOT LLC</t>
  </si>
  <si>
    <t>Follow Ups → Dead Leads | Company: DVB INC</t>
  </si>
  <si>
    <t xml:space="preserve">info@POATESLABSSOLUTIONS.com
</t>
  </si>
  <si>
    <t xml:space="preserve">LA based can do NGS, asked about if there is a form she wants the PT to sign, and I said we can work on her terms </t>
  </si>
  <si>
    <t xml:space="preserve">she will call me in couple of hours, she is interested but we spoke about a percentage not a specific price and she is not very aware it's an upfront payment she interested and she will check the capacity of the lap and how many patients they could handle </t>
  </si>
  <si>
    <t xml:space="preserve">nikkiscpr@gmail.com 
</t>
  </si>
  <si>
    <t xml:space="preserve">She is a collection site, mentioned she can work as a milldleman and get a cut, she wants to understand how we can collaborate together and wants to know the prices </t>
  </si>
  <si>
    <t xml:space="preserve">She will be checking with a friend who has the equipment and asked for another meeting next monday </t>
  </si>
  <si>
    <t>Note edit in Row 5 of Temporary Inactive queued.</t>
  </si>
  <si>
    <t xml:space="preserve">no show / voice mail </t>
  </si>
  <si>
    <t>Note edit in Row 29 of Temporary Inactive queued.</t>
  </si>
  <si>
    <t>Contract Sent → Dead Leads | Company: COATS PHARMACY INC</t>
  </si>
  <si>
    <t xml:space="preserve">actfastlab@gmail.com </t>
  </si>
  <si>
    <t xml:space="preserve">TX based She has the equipment and can accept medicare PT </t>
  </si>
  <si>
    <t xml:space="preserve">no show </t>
  </si>
  <si>
    <t xml:space="preserve">info@quicklabsandscreening.com
</t>
  </si>
  <si>
    <t xml:space="preserve">They don't have the equipment but they have Quest and CRL as refrence labs and can do the tests through them </t>
  </si>
  <si>
    <t>New Meetings → No-Show | Company: SAFEPATH DIAGNOSTICS LLC</t>
  </si>
  <si>
    <t>New Meetings → Follow Ups | Company: PRISTINE MEDICAL EQUIPMENT AND ACCESSORIES INC</t>
  </si>
  <si>
    <t>New Meetings → Follow Ups | Company: KINGSMOUNT INC.</t>
  </si>
  <si>
    <t>New Meetings → Follow Ups | Company: VK DIAGNOSTICS</t>
  </si>
  <si>
    <t xml:space="preserve">info@labsontheroll.com </t>
  </si>
  <si>
    <t>MON 4:00 PM</t>
  </si>
  <si>
    <t>New Meetings → No-Show | Company: LINCOLN MEDICAL SUPPLIES LLC</t>
  </si>
  <si>
    <t xml:space="preserve">TX based, has the equipment, can accept medicare PT </t>
  </si>
  <si>
    <t>Follow Ups → Dead Leads | Company: KINGSMOUNT INC.</t>
  </si>
  <si>
    <t xml:space="preserve">SOURCEDIRECTMEDICALSUPPLY@gmail.com </t>
  </si>
  <si>
    <t xml:space="preserve">she said that she will call jimmy again later because she is out of the office right now </t>
  </si>
  <si>
    <t>New Meetings → Follow Ups | Company: EXCELSIOR DIAGNOSTIC LABORATORIES</t>
  </si>
  <si>
    <t>New Meetings → Follow Ups | Company: NEW YORK RECOVERY DME CORP</t>
  </si>
  <si>
    <t>New Meetings → Follow Ups | Company: GENOME INSIGHT INC</t>
  </si>
  <si>
    <t xml:space="preserve">ablegracemedical@gmail.com </t>
  </si>
  <si>
    <t>New Meetings → Follow Ups | Company: GENE MATRIX LLC</t>
  </si>
  <si>
    <t xml:space="preserve">ABLE GRACE MEDICAL LLC does have their PTAN yet but they have another family business that have the PTAN and the license and that can provide, she wants to discuss the business and how we can collaborate </t>
  </si>
  <si>
    <t xml:space="preserve">send palmetto states for CGM and braces / send a fixed pay per hour campaign for CGM 10-11 patients and for orthopedic braces pay per hour also but from 5-7 patients , ask in the email about an exact time next week that they would be free so we can talk again </t>
  </si>
  <si>
    <t>New Meetings → Follow Ups | Company: NYKA LLC</t>
  </si>
  <si>
    <t>New Meetings → Follow Ups | Company: PINNACLE BIOLABS, INC</t>
  </si>
  <si>
    <t xml:space="preserve">Mike talked to him agreed on sending him the info again and agreed on anoher call next Tuesday 4/7/26 </t>
  </si>
  <si>
    <t>NY based, has a lab in Nj,  do immune ngs test accept pts allstates also opening and medicare licensed but weill be able to bill in 2 omnths, He wanted to know more and the prices, meeting tomw 9:30 pm,</t>
  </si>
  <si>
    <t>mike spoke with him and his parter, they are new to the process, he explained all the process and  they wanted to review the email again and meeting on monday for follow up same time 4/8</t>
  </si>
  <si>
    <t>New Meetings → Dead Leads | Company: DME OF AMERICA INC</t>
  </si>
  <si>
    <t xml:space="preserve">347-868-6394 her husband 9175788401 </t>
  </si>
  <si>
    <t xml:space="preserve">she said her husband  sajjad take care of this 9175788401 , they want the doctor office to send it directly to his pharmacy , send pricelist for each CGM and ort and both of them are pay per hour the normal range </t>
  </si>
  <si>
    <t>New Meetings → Follow Ups | Company: SEHTEJ LLC</t>
  </si>
  <si>
    <t>andy@telamedical.com</t>
  </si>
  <si>
    <t>Note edit in Row 45 of Follow Ups queued.</t>
  </si>
  <si>
    <t xml:space="preserve">He works in blue cross blue shield and medicare , he wantsto have certain documents sent to the patient , he wants to see the ability of us working and generating those documents he also been to Egypt 40 years ago and he wants to revisit , and he talked to me about the MVA campaign and what do we know about it </t>
  </si>
  <si>
    <t>Note edit in Row 13 of No-Show queued.</t>
  </si>
  <si>
    <t>Note edit in Row 78 of Dead Leads queued.</t>
  </si>
  <si>
    <t>New Meetings → Follow Ups | Company: MBS TRADERS</t>
  </si>
  <si>
    <t>New Meetings → Dead Leads | Company: Beval Medical Equipment &amp; Supplies</t>
  </si>
  <si>
    <t>New Meetings → No-Show | Company: PREMIER LABORATORIES LLC</t>
  </si>
  <si>
    <t>Follow Ups → Dead Leads | Company: ATZ MEDICAL &amp; RESPIRATORY INC</t>
  </si>
  <si>
    <t>Contract Sent → Dead Leads | Company: S S HEALTHCARE INC</t>
  </si>
  <si>
    <t>New Meetings → Dead Leads | Company: LAWTON HEALTHCARE SERVICES LLC</t>
  </si>
  <si>
    <t>OH based, said the do the immune deficiency test ngs but dont have  the machine send it to other labs they work with, she said she have multiple lab that can bill medicare and accept pt nationwide, meeting tomw noon</t>
  </si>
  <si>
    <t>Dead Leads → Follow Ups | Company: RUBY&amp;SONS DME SOLUTIONS LLC</t>
  </si>
  <si>
    <t>New Meetings → Dead Leads | Company: JAGGI ULTRA CARE LLC</t>
  </si>
  <si>
    <t>Follow Ups → Dead Leads | Company: RUBY&amp;SONS DME SOLUTIONS LLC</t>
  </si>
  <si>
    <t xml:space="preserve">650-675-5235 - 7168696934 ( personal number) </t>
  </si>
  <si>
    <t xml:space="preserve">he don't want to pay an upfront payment, he only might pay after he recieve the money from the insurance  ,send an email for the price list , ask him about the good states that he is using , he can handle around </t>
  </si>
  <si>
    <t>mike spoke with him , he explained all the process and  he wanted to review the email again and meeting on monday for follow up same time 4/9</t>
  </si>
  <si>
    <t>New Meetings → Follow Ups | Company: GRAYMED SUPPLIES LLC</t>
  </si>
  <si>
    <t>New Meetings → Follow Ups | Company: HEALTHQUEST DIAGNOSTIC LABORATORY INC</t>
  </si>
  <si>
    <t>Good Meeting, second call on friday</t>
  </si>
  <si>
    <t>New Meetings → Temporary Inactive | Company: INFINITY NEXUS LLC</t>
  </si>
  <si>
    <t>New Meetings → Dead Leads | Company: DESERT DME INC</t>
  </si>
  <si>
    <t>WED 9:30 PM 05/13/26</t>
  </si>
  <si>
    <t>New Meetings → Dead Leads | Company: DR MEDICAL LLC</t>
  </si>
  <si>
    <t xml:space="preserve">TX based,supply ort, cgm, bill medicare ,ship alstates, meeting 9:30 tomw </t>
  </si>
  <si>
    <t>in the meeting , he wants to share his own pricing so we can work together</t>
  </si>
  <si>
    <t>Note edit in Row 25 of New Meetings queued.</t>
  </si>
  <si>
    <t>outsources the testing, to another doesnt do them directly, labs he is working with cant do medicare, will check and get back to us
-Spoke to rj said he is interested to preced forward said to call him 11 am on mon to set up another meeting with mike</t>
  </si>
  <si>
    <t>Note edit in Row 70 of Follow Ups queued.</t>
  </si>
  <si>
    <t xml:space="preserve">TX Based provide ORT and CGM, Can accept medicare PT </t>
  </si>
  <si>
    <t>Follow Ups → Dead Leads | Company: R &amp; L PHARMACY LLC</t>
  </si>
  <si>
    <t>Note edit in Row 39 of Follow Ups queued.</t>
  </si>
  <si>
    <t>New Meetings → Follow Ups | Company: MEDAXIS SOLUTIONS LLC</t>
  </si>
  <si>
    <t>New Meetings → Dead Leads | Company: YESU MEDICAL AND MOBILITY SUPPLIER LLC</t>
  </si>
  <si>
    <t>Follow Ups → Dead Leads | Company: GRAYMED SUPPLIES LLC</t>
  </si>
  <si>
    <t xml:space="preserve">GA based, Medicare, interested set meeting with us and email for her edits to proposal </t>
  </si>
  <si>
    <t>Send Price list , contract template , he has no problem to work in other , next thursday 7:00 pm ,he is waiting to verify some stuff and talk to his consultant and get back to us
- DOC said that he is interested but wants us to contact him next week fri -selene 2/5 , Mail box is full and he is not available 
-spoke to chesky said that when he sets up his company and ready to bill medicare he will call us he said he really wants to work with us and he said he was telling his friend about us and our work yesterday cb in 2 weeks -selene 2/25 cben 25/3
when he's ready he'll get back to george - ben
we signed the contract waiting for him to pay the invoice</t>
  </si>
  <si>
    <t>New Meetings → Dead Leads | Company: PMS PRO LLC</t>
  </si>
  <si>
    <t>we signed the contract waiting for him to pay the invoice</t>
  </si>
  <si>
    <t xml:space="preserve">billing option / wound care supplies / "Send palmetto + sample prescription + contract for CGM (usual price) + follow up after christmas
DONE"
Call back 01/08/2025 / left him a message on whats app, called him and he just hanged up on me 02/06/2026
Waiting for CGM devices  stock will be delivered this week, then he'll file a claim and take a look, spoke to george, talk numbers with partners, wants to discuss fees, told him he'd need to speak to george - ben </t>
  </si>
  <si>
    <t>she can't understand english very well, she wants somebody to speak spanish with her , she said that she just got a medicare license and she didn't understand before what we offer, i explained it a little bit then told her that we will send everything about our process in an email in order for her and her partner to see it , we need to send an email explaining our process and how we get paid as an upfront fee and stating the products that we can work with and what capacity can we send her Ben Arthur VM - ben, she call and wanted to enter meeting on monday with george so we can proceed and know the prices, sending the contract and the price list for orthopedic braces and cgm device - george 04/20/2026, wednesday 3:00 pm meeting , she received the price list and contract, asked to call her 3pm at this number 956) 240-7711</t>
  </si>
  <si>
    <t>New Meetings → Contract Sent | Company: ADVANCEDMED DME LLC</t>
  </si>
  <si>
    <t>Follow Ups → Contract Sent | Company: GENE MATRIX LLC</t>
  </si>
  <si>
    <t xml:space="preserve">Nj based, supply ort cgm and lymhdema wraps, canes,  can bill and medicare licensed, shipall states,meeting tomw google meet  10 pm </t>
  </si>
  <si>
    <t>danrph.md@gmail.com</t>
  </si>
  <si>
    <t>He wants a presentation for all the service and the billers he is interested in CGM , they are trying to do 30 patients a month , he wants a presentation before wednesday 4 pm 29th</t>
  </si>
  <si>
    <t>New Meetings → No-Show | Company: EQUIMED GLOBAL LLC</t>
  </si>
  <si>
    <t>New Meetings → Contract Sent | Company: MTS DIRECT INC</t>
  </si>
  <si>
    <t>Follow Ups → Dead Leads | Company: Us Medical Equipments, Inc.</t>
  </si>
  <si>
    <t>New Meetings → Dead Leads | Company: SUN SCIENCE LAB</t>
  </si>
  <si>
    <t>she wanted to know what tests can we do , and she is interested in toxicology and she is thinking about 25% to 30% from the reimbursements and she wanted a google sheet with all the tests and their average reimbursements</t>
  </si>
  <si>
    <t xml:space="preserve"> BRITTNEY JOHNSON</t>
  </si>
  <si>
    <t xml:space="preserve">lillieslabsolutions@gmail.com 
</t>
  </si>
  <si>
    <t xml:space="preserve">TX Based, can accept medicare PT from all 50 states and can do NGS </t>
  </si>
  <si>
    <t xml:space="preserve">next thursday, she will be available from 8 am to 12:00, she is interested but she is not very sure that she can fund this, we talked about 50% upfront and maybe finding her an investor, she is still waiting on the new reimbursments, she will talk to the lab director and wants a small presentation next thursday but she might not attend or be available next week because of her daughters graduation  </t>
  </si>
  <si>
    <t>Note edit in Row 24 of Follow Ups queued.</t>
  </si>
  <si>
    <t xml:space="preserve">he is doing around couple of hundereds of patients a month he will discuss it with the board he wants another meeting next friday same time and he would review the contract and the doctor order sample with his team and if he is interested next meeting we will talk about numbers </t>
  </si>
  <si>
    <t>rapidexlab@gmail.com</t>
  </si>
  <si>
    <t xml:space="preserve">she is interested, she will talk to her billing team on friday to know the new reimbursements she wants us to call back again next monday any time after 12:30 pm </t>
  </si>
  <si>
    <t xml:space="preserve">AZ Based, can do CGM and can accept medicare PT and ship nationwide </t>
  </si>
  <si>
    <t xml:space="preserve">she is interested but she need to show her team all of this info, the presentation , the landing page , pricing per hour / per prescription and to have a meeting on tuesday 12:30 EST </t>
  </si>
  <si>
    <t>Note edit in Row 73 of Follow Ups queued.</t>
  </si>
  <si>
    <t xml:space="preserve">Next tuesday, 3 pm est, good candidate, he will ask about the reimbursement, he do about 50-65, he worked with marketers before, let's do a follow up on thursday same time 
he got me the reimbursements for PGX and immuno and he wants a a quarter map for how we can do business togetherand what will work best for him and how we can mix it together, ben i need you to look to other emaiils from him and us to be able to send something out today </t>
  </si>
  <si>
    <t xml:space="preserve">he got me the reimbursements for PGX and immuno and he wants a a quarter map for how we can do business togetherand what will work best for him and how we can mix it together, ben i need you to look to other emaiils from him and us to be able to send something out today </t>
  </si>
  <si>
    <t xml:space="preserve">he actually hanged up the phone on me after the first 40 sec </t>
  </si>
  <si>
    <t xml:space="preserve">SEND Price list and avg reimbursement for ORT And CGM , next tuesday same time , he is not interested to do an upfront payment right now </t>
  </si>
  <si>
    <t xml:space="preserve">SAFEPATHDIAGNOSTICSLLC@GMAIL.COM
</t>
  </si>
  <si>
    <t>Follow Ups → Dead Leads | Company: RELIANCE MEDEQUIP INC</t>
  </si>
  <si>
    <t xml:space="preserve">NC based, can do NGS, can accept medicare PT </t>
  </si>
  <si>
    <t xml:space="preserve">Kacey  </t>
  </si>
  <si>
    <t xml:space="preserve">She wants to know more about the service and how it can help her business </t>
  </si>
  <si>
    <t xml:space="preserve">He will be sending her more infor and she will check with her team and follow up with us ( GEORGE ) </t>
  </si>
  <si>
    <t xml:space="preserve">She is very skeptical, can do CGM, she wants to discuss numbers </t>
  </si>
  <si>
    <t>Note edit in Row 44 of Follow Ups queued.</t>
  </si>
  <si>
    <t xml:space="preserve">ajay@kohealthtech.com </t>
  </si>
  <si>
    <t xml:space="preserve">TX based, can bill medicare, and run NGS </t>
  </si>
  <si>
    <t>Contract Sent → Temporary Inactive | Company: GRACEWOOD MEDICAL SUPPLIES INC</t>
  </si>
  <si>
    <t xml:space="preserve">she is not interested </t>
  </si>
  <si>
    <t>917-364-9486</t>
  </si>
  <si>
    <t>Note edit in Row 67 of Follow Ups queued.</t>
  </si>
  <si>
    <t>he is interested to resume talks on the 14th of may 12 pm, he is already working with other marketers and looking to expand he wants us to send him our contract for him to send it to his attorney, send the regular email, if you are already send it send the contract in a different email and a calender invite on the 14th</t>
  </si>
  <si>
    <t xml:space="preserve">212-235-5181 </t>
  </si>
  <si>
    <t xml:space="preserve">VEENA SINGH </t>
  </si>
  <si>
    <t xml:space="preserve">send the CPT codes / what kind of tests and the reimbursmenets , he wants to summarize everything on an email on friday or early next week , need a follow up next week , she will work as a middle man , call her next friday if you find out the reimbursements </t>
  </si>
  <si>
    <t>Contract Sent → Dead Leads | Company: XCELLENT DME LLC</t>
  </si>
  <si>
    <t xml:space="preserve"> TAREK YOUNIS/ Lammy</t>
  </si>
  <si>
    <t xml:space="preserve">lammy no. 7732170817 office 847-302-9668/ tarek no 312-998-9275 </t>
  </si>
  <si>
    <t xml:space="preserve">            lammy@genematrix.io   , tarek@genematrix.io                                                           </t>
  </si>
  <si>
    <t>next meeting Monday 11:00 am EST (add mike to the meeting)  , I spoke to tarek younis , he said that he already have a contract with hospitals and clinics for pgx doing 4000 Sample, and he can accept around 25 patients immuno and another 25-50 patient Cancer , he is interested but what i am afraid of since he already got this volume it wouldn't make sense for him to pay alot of many for extra samples,</t>
  </si>
  <si>
    <t xml:space="preserve"> personal: 2672888065 office :610-323-2115 </t>
  </si>
  <si>
    <t>pa based  supply cgm , medicare licensed, didnt ship to other states, but he is able to do that, meeting 1:00 tuesday 5/1</t>
  </si>
  <si>
    <t>may 14th  12:00pm - 2:00 pm , he wants to know what would be the price to get around 55 patients a month and he wants to send him a proposal , also to see the contract with the amount to be paid,</t>
  </si>
  <si>
    <t>Note edit in Row 37 of New Meetings queued.</t>
  </si>
  <si>
    <t>New Meetings → Dead Leads | Company: COMFORT COMPRESSION, LLC</t>
  </si>
  <si>
    <t>follow up meeting  on friday whatsapp group</t>
  </si>
  <si>
    <t>Note edit in Row 38 of New Meetings queued.</t>
  </si>
  <si>
    <t>Note edit in Row 40 of New Meetings queued.</t>
  </si>
  <si>
    <t xml:space="preserve"> huey@dmeofamericainc.com</t>
  </si>
  <si>
    <t>FL based work  supply ort and cgm, bill medicare, ship otherstates if thery have license for it 5/11, huey@dmeofamericainc.com, meeting wed 8:30</t>
  </si>
  <si>
    <t>New Meetings → Follow Ups | Company: H&amp;M MOLECULAR DIAGNOSTICS, LLC</t>
  </si>
  <si>
    <t>New Meetings → Follow Ups | Company: DIVINE MEDICAL SUPPLIES LLC</t>
  </si>
  <si>
    <t>New Meetings → Dead Leads | Company: CARTER LABORATORIES</t>
  </si>
  <si>
    <t>New Meetings → No-Show | Company: PLATINUMCARE DME LLC</t>
  </si>
  <si>
    <t>New Meetings → Follow Ups | Company: LAVINA MEDICAL SOLUTION LLC</t>
  </si>
  <si>
    <t>New Meetings → No-Show | Company: ANGELIC MEDCERTS &amp; LAB SOLUTIONS, LLC</t>
  </si>
  <si>
    <t>New Meetings → Follow Ups | Company: AJK MEDICAL EQUIPMENT LLC</t>
  </si>
  <si>
    <t>New Meetings → Temporary Inactive | Company: FOUR JOHNSON FOUNDATION</t>
  </si>
  <si>
    <t>NY Based, medicare liscenced , said can ships nationwide supplies ort cgm said wants a video call on mon 10 pm  our time -selene 4/24</t>
  </si>
  <si>
    <t>Note edit in Row 33 of New Meetings queued.</t>
  </si>
  <si>
    <t xml:space="preserve">they are pakistanians, they have a call center in pakistan and a biller from pakistan, they got everything covered but they want to see our prices, they won't agree on an upfront payment, probability is low to work with us </t>
  </si>
  <si>
    <t>New Meetings → Dead Leads | Company: 	Alpha Health Dme</t>
  </si>
  <si>
    <t xml:space="preserve">Meeting attended Ben sent the email and follow up meeting next wednesday 9 pm our time , he said that he is no longer interested he has enough referrals and he is not looking for a marketing company  </t>
  </si>
  <si>
    <t xml:space="preserve">     DAVID DEL VECCHIO                        </t>
  </si>
  <si>
    <t>Note edit in Row 42 of New Meetings queued.</t>
  </si>
  <si>
    <t xml:space="preserve">didn't attend ( VM ) </t>
  </si>
  <si>
    <t>New Meetings → No-Show | Company:  PROCARE ORTHOTICS &amp;PROSTHETICS</t>
  </si>
  <si>
    <t>New Meetings → No-Show | Company: LOVE CARE DME</t>
  </si>
  <si>
    <t>New Meetings → No-Show | Company: NEXUS DME INC</t>
  </si>
  <si>
    <t>New Meetings → No-Show | Company: EXCELLENCE MEDICAL EQUIPMENT LLC</t>
  </si>
  <si>
    <t>New Meetings → No-Show | Company: QASIM PHARMACY INC</t>
  </si>
  <si>
    <t>New Meetings → No-Show | Company: EPOCH HEALTH CARE LLC.</t>
  </si>
  <si>
    <t xml:space="preserve">Send a price list for both CGM , Orthopedic braces alongside the AVG reimbursments + contract + set a meeting for next tuesday 3:00 pm , he wants us to call him in a month S
send a reminder email
monday 3/18 , he is not available till tomorrow 
rescheduled for monday 5/11, he said that it's too high for him and he wanted to pay half of the price for the referrals </t>
  </si>
  <si>
    <t>New Meetings → Follow Ups | Company: TARR GLOBAL ENTERPRISES LLC</t>
  </si>
  <si>
    <t>New Meetings → No-Show | Company: INPAK MEDICALS LLC</t>
  </si>
  <si>
    <t>New Meetings → Temporary Inactive | Company: CARING ANGEL'S UNIFORMS &amp; MEDICAL SUPPLIES, LLC</t>
  </si>
  <si>
    <t>Follow Ups → Dead Leads | Company: SIMPLICITY HEALTHCARE DIAGNOSTICS &amp; LABS</t>
  </si>
  <si>
    <t>New Meetings → Follow Ups | Company: A2Z MEDICAL SUPPLIES, CO.</t>
  </si>
  <si>
    <t>New Meetings → Dead Leads | Company: NOOR PHARMA LLC</t>
  </si>
  <si>
    <t xml:space="preserve">IN based, supply ort bill medicare and shi[p to other states too, meeing tomw 6:30 pm5/11 </t>
  </si>
  <si>
    <t xml:space="preserve">kgray@nextdayaccess.com </t>
  </si>
  <si>
    <t xml:space="preserve">He wants a service that helps him with the Billing and chasing physician - he is having more than 100 locations - he has call center agents that does this for him, he asked to learn more about how this can help him.
</t>
  </si>
  <si>
    <t>New Meetings → Follow Ups | Company: JAYCEE DME LLC</t>
  </si>
  <si>
    <t xml:space="preserve">sonnyp007@gmail.com 
</t>
  </si>
  <si>
    <t>New Meetings → Follow Ups | Company: NET TIME INC</t>
  </si>
  <si>
    <t xml:space="preserve">He can do immune, PGX, and UTI, he wants to know our volum and discuss further information </t>
  </si>
  <si>
    <t>New Meetings → Follow Ups | Company: JILANI MEDICAL</t>
  </si>
  <si>
    <t>New Meetings → Follow Ups | Company: DME BRACES LLC</t>
  </si>
  <si>
    <t>New Meetings → Follow Ups | Company: MEDIHARBOR LLC</t>
  </si>
  <si>
    <t xml:space="preserve">VERLINDA@INFINITYNEXUSMEDICAL.com </t>
  </si>
  <si>
    <t xml:space="preserve">Cancelled
She wants to discover the service, she will be available tomorrow for 30 mins </t>
  </si>
  <si>
    <t>New Meetings → Follow Ups | Company: MOTOLA MEDICAL SUPPLY INC.</t>
  </si>
  <si>
    <t>New Meetings → Follow Ups | Company: GERMAN CARE MEDICAL SUPPLIES LLC</t>
  </si>
  <si>
    <t>New Meetings → No-Show | Company: BZ MEDICAL SUPPLY LLC</t>
  </si>
  <si>
    <t>New Meetings → Follow Ups | Company: ATZ MEDICAL &amp; RESPIRATORY INC</t>
  </si>
  <si>
    <t>New Meetings → Follow Ups | Company: CARTER MEDICAL EQUIPMENT &amp; SUPPLIES</t>
  </si>
  <si>
    <t>"He sold the business to him and he is a consultant
949-695-7215 TOM"
He wants to see if it is easy to use and if its cost is not expensive</t>
  </si>
  <si>
    <t>New Meetings → Dead Leads | Company: BERRIES HEALTH</t>
  </si>
  <si>
    <t>New Meetings → Follow Ups | Company: DIGITIXMD LLC</t>
  </si>
  <si>
    <t>New Meetings → Follow Ups | Company: SAFEHAUL SCREEN LLC</t>
  </si>
  <si>
    <t>New Meetings → No-Show | Company: SNOREIX PLLC
(Zennity Sleep)</t>
  </si>
  <si>
    <t xml:space="preserve"> Mo based supply ort, medicare licensnd ,she thinks she can ship to, IO, MO TX IL OK, meeting tomw 7:30, she has another partner too</t>
  </si>
  <si>
    <t xml:space="preserve">she is not interested to do any marketing , she thought that we are a doctor office or a referral and we are sending referrals to be processed </t>
  </si>
  <si>
    <t>New Meetings → Contract Sent | Company: SA MEDICAL SUPPLY</t>
  </si>
  <si>
    <t>New Meetings → Follow Ups | Company: ZYPHRA HEALTH LLC</t>
  </si>
  <si>
    <t>Stuck Row Fixed</t>
  </si>
  <si>
    <t>New Meetings → Contract Sent | Company: ORTHO PLUS LLC</t>
  </si>
  <si>
    <t>New Meetings → Follow Ups | Company: B &amp; A PHARMACY CORP</t>
  </si>
  <si>
    <t>New Meetings → Contract Sent | Company: VARIETY ENTERPRISES, LLC</t>
  </si>
  <si>
    <t>New Meetings → Follow Ups | Company: USA DME SUPPLY INC</t>
  </si>
  <si>
    <t>New Meetings → Follow Ups | Company: MED SUPPLY PROS LLC</t>
  </si>
  <si>
    <t>CA Based, ORT CGM Medicare liscenced meeting tmrw video 7 pm our time 5/18
-already working with other company that give him leads /billing he wanted to know our prices and asked me if we know suppliers who will help him drop ship 5/20
- Still discussing with his team said will reach out if they want to discuss more 6/2</t>
  </si>
  <si>
    <t>he is interested to know the prices the two modules for orthopedic braces Ben Arthur please send them over</t>
  </si>
  <si>
    <t>New Meetings → No-Show | Company: CLEARCLAIM MEDICAL BILLING INC.</t>
  </si>
  <si>
    <t>New Meetings → Follow Ups | Company: DARAR RX GROUP CORP.</t>
  </si>
  <si>
    <t>New Meetings → Follow Ups | Company: ILY-LARC LLC</t>
  </si>
  <si>
    <t>CA Based, Medicare lisceced ,supplies ORT CGM  he reviewed our email he said hes abit skeptical but wants to book the closest appointmnet to know our prices meeting wed  6 pm our time 8 am pst wants a phone meetng  -selene 5/8</t>
  </si>
  <si>
    <t>No-Show → Dead Leads | Company: BZ MEDICAL SUPPLY LLC</t>
  </si>
  <si>
    <t xml:space="preserve">New Meetings → Dead Leads | Company: CAPITOL MEDICAL SUPPLY INC </t>
  </si>
  <si>
    <t>New Meetings → Follow Ups | Company: REGIONS HEALTHCURE LLC</t>
  </si>
  <si>
    <t xml:space="preserve">he decided not to move forward </t>
  </si>
  <si>
    <t>NV based  dont deal with medicare for now just ppo athna ,humana, bluesheild and blue cross, supply of lymphadema wraps and pumps, ship allstates, more 30 states  amsprollc1@gmail.com 6/1</t>
  </si>
  <si>
    <t>New Meetings → No-Show | Company: BEAUREGARD MEDICAL SOLUTIONS LLC</t>
  </si>
  <si>
    <t>New Meetings → No-Show | Company: HAZELS TOUCH LABORATORY SERVICES L.L.C</t>
  </si>
  <si>
    <t>New Meetings → Follow Ups | Company: STRYKEFOX MEDICAL</t>
  </si>
  <si>
    <t>MI BASED  supplyort and lymphedema wrap  bill ppo and medicare, ship alstates</t>
  </si>
  <si>
    <t xml:space="preserve">he wants to talk next thursday same time and he wants to try out the pay per hour module for 1 agent in CGM and 1 agent in orthopedic braces , we need to send him a marketing plan + contract ( don't send them ya ben i have new documents ) </t>
  </si>
  <si>
    <t>New Meetings → Dead Leads | Company: OccFit Solutions</t>
  </si>
  <si>
    <t>Note edit in Row 68 of No-Show queued.</t>
  </si>
  <si>
    <t xml:space="preserve">lammy no. 7732170877 office 847-302-9668/ tarek no 312-998-9275 </t>
  </si>
  <si>
    <t>Contract Sent → Dead Leads | Company: VESTAVIA MEDICAL SUPPLY LLC</t>
  </si>
  <si>
    <t>New Meetings → Follow Ups | Company: CLOVER FAMILY CORP</t>
  </si>
  <si>
    <t>next meeting Monday 11:00 am EST (add mike to the meeting)  , I spoke to tarek younis , he said that he already have a contract with hospitals and clinics for pgx doing 4000 Sample, and he can accept around 25 patients immuno and another 25-50 patient Cancer , he is interested but what i am afraid of since he already got this volume it wouldn't make sense for him to pay alot of many for extra samples,, MEETING NEXT UESDAY, WILL SEND  THE MARKETING PLAN+ CONTRACT</t>
  </si>
  <si>
    <t>GA based supply ort and cgm, bill mediacre ship allstates meetind next monday  5/22</t>
  </si>
  <si>
    <t xml:space="preserve">Send her sample for both ort + CGM ( recordings ) + contract + pricing for both ort and CGM , she is  interested and she wants to review these documents today and talk tomorrow at 10:00 am her time </t>
  </si>
  <si>
    <t>Follow Ups → Contract Sent | Company: JILANI MEDICAL</t>
  </si>
  <si>
    <t>New Meetings → Follow Ups | Company: WELLNESS MOBILITY SOLUTIONS INC</t>
  </si>
  <si>
    <t>Contract Sent → Dead Leads | Company: ADVANCEDMED DME LLC</t>
  </si>
  <si>
    <t xml:space="preserve">he don't want to pay an upfront payment, he only might pay after he recieve the money from the insurance ,send an email for the price list , ask him about the good states that he is using , he can handle around
wants to get lead bill then pay NI </t>
  </si>
  <si>
    <t>Follow Ups → Temporary Inactive | Company: ODIN MEDICAL SUPPLIES</t>
  </si>
  <si>
    <t xml:space="preserve">He is working with Dr offices and hesaid that he is not ready to do marketing at the moment but will keep us as in his contact 6/10/26 9:27 
VM Sent email - ben </t>
  </si>
  <si>
    <t>Follow Ups → Temporary Inactive | Company: RAPHA LABORATORIES, LLC</t>
  </si>
  <si>
    <t>Follow Ups → Temporary Inactive | Company: LAVINA MEDICAL SOLUTION LLC</t>
  </si>
  <si>
    <t>Follow Ups → Temporary Inactive | Company: LILLIE'S LAB SOLUTIONS</t>
  </si>
  <si>
    <t>No-Show → Dead Leads | Company: ADVANCED HEALTH MEDICAL SUPPLIES, LLC.</t>
  </si>
  <si>
    <t>Contract Sent → Temporary Inactive | Company: EXPERTUS LABORATORIES, INC</t>
  </si>
  <si>
    <t>Invoice Sent → Dead Leads | Company: MAIL ORDER MEDICAL SUPPLIES LLC</t>
  </si>
  <si>
    <t>rescheduled for next  on tuesday s he had sudden walk in patients so busy now</t>
  </si>
  <si>
    <t>No-Show → Dead Leads | Company: NATIONAL DIAGNOSTICS LAB INC</t>
  </si>
  <si>
    <t>Contract Sent → Dead Leads | Company: ABLE GRACE MEDICAL LLC</t>
  </si>
  <si>
    <t>Follow Ups → Dead Leads | Company: DIVINE MEDICAL SUPPLIES LLC</t>
  </si>
  <si>
    <t xml:space="preserve">johnbellano@integrity-sciences.com </t>
  </si>
  <si>
    <t xml:space="preserve">He booked the meeting himself </t>
  </si>
  <si>
    <t>he is only doing PGX ( don't want to focus on medicare only, he wants to get other insurances as well ) he is looking for capital to help him expanding the business, he wants an email containing our scope of work / compliance structure and maybe a quotation for how much he would pay for 100 patients a month ( just an example ) / 898 
200$ Reagenet + over head + shipping 
mobix labs on the ordering physician has to be the treating physician  , he wants a marketing plan also</t>
  </si>
  <si>
    <t>Follow Ups → Dead Leads | Company: WELL HEALTH SUPPLY CO</t>
  </si>
  <si>
    <t>Follow Ups → Temporary Inactive | Company: SOURCE DIRECT MEDICAL SUPPLY, INC</t>
  </si>
  <si>
    <t>Follow Ups → Temporary Inactive | Company: WEST COAST LAB SCREENING</t>
  </si>
  <si>
    <t>Follow Ups → Temporary Inactive | Company: RADID RESULTS DNA LABORATORIES LLC</t>
  </si>
  <si>
    <t xml:space="preserve">She handles around 30-40 calls per day, she has someone who handles the after hours call for her too, but she just wants to have an idea of how it can help her </t>
  </si>
  <si>
    <t>No-Show → Dead Leads | Company: SPACE CITY LABORATORIES</t>
  </si>
  <si>
    <t>No-Show → Dead Leads | Company: MINHA MEDICAL SUPPLIES LLC</t>
  </si>
  <si>
    <t>No-Show → Temporary Inactive | Company: VEIN WHISPERER EXPRESS LABS LLC</t>
  </si>
  <si>
    <t>Temporary Inactive → Dead Leads | Company: BACKCOUNTRY MEDICAL SOLUTIONS</t>
  </si>
  <si>
    <t>Temporary Inactive → Dead Leads | Company: MF EXPRESS LAB AND VITALITY CENTER</t>
  </si>
  <si>
    <t xml:space="preserve">kKALIOUNDJI@gmail.com 
</t>
  </si>
  <si>
    <t xml:space="preserve">CA Based, want to know more on how we can collaborate together, he represents the lab and mentioned that they are cabable of handling NGS and do PGx  </t>
  </si>
  <si>
    <t>Temporary Inactive → Dead Leads | Company: GO LABS MOBILE SERVICES LLC</t>
  </si>
  <si>
    <t>Temporary Inactive → Dead Leads | Company: LOVINLIFE MEDICAL SUPPLIES DME CORP</t>
  </si>
  <si>
    <t>No-Show → Follow Ups | Company: PLATINUMCARE DME LLC</t>
  </si>
  <si>
    <t>Temporary Inactive → Dead Leads | Company: ORTHOTIC &amp; PROSTHETICS INTERNATIONAL</t>
  </si>
  <si>
    <t>Temporary Inactive → Dead Leads | Company: DIALOGIX LABORATORY INC</t>
  </si>
  <si>
    <t>Temporary Inactive → Follow Ups | Company: JFB DISTRIBUTORS &amp; DELIVERY SERVICES INC</t>
  </si>
  <si>
    <t>Temporary Inactive → Follow Ups | Company: ACT FAST LAB LLC</t>
  </si>
  <si>
    <t>Temporary Inactive → Dead Leads | Company: GTI lab</t>
  </si>
  <si>
    <t>New Meetings → No-Show | Company: RADIANCE TECH LLC</t>
  </si>
  <si>
    <t>he is not really understanding the business he has partners from overseas that handles everything but he is interested to open another llc and apply for other insurance ( i will send him an email to find a way that we can work together) / he will call the partners because they are claiming before shipping / he is asking about whether he needsto get preapproved before shipping the item</t>
  </si>
  <si>
    <t xml:space="preserve">NOAH GILL
</t>
  </si>
  <si>
    <t>New Meetings → Dead Leads | Company: BEYOND MEDICAL SUPPLIES LLC</t>
  </si>
  <si>
    <t xml:space="preserve">Following up with him on teams in the group </t>
  </si>
  <si>
    <t>No-Show → Dead Leads | Company: S &amp; S MEDICAL SUPPLIES INC</t>
  </si>
  <si>
    <t>Note edit in Row 57 of Follow Ups queued.</t>
  </si>
  <si>
    <t>Follow Ups → Dead Leads | Company: RAPID RX LAB, LLC</t>
  </si>
  <si>
    <t>trehman@sbcglobal.net
 Naheed.mir1234@gmail.com</t>
  </si>
  <si>
    <t xml:space="preserve">she has a private insurance only not medicare and she has a doctor that can bill medicare , and a friend that has medicare license , Send a price list for braces and ort and contract for her to review then follow up with her on wednesday to make sure that she read this , blue cross, humana aetna, </t>
  </si>
  <si>
    <t>New Meetings → No-Show | Company: TIM'S HOME MEDICAL LLC</t>
  </si>
  <si>
    <t>New Meetings → No-Show | Company: EMALINE'S HOME MEDICAL EQUIPMENT, LLC</t>
  </si>
  <si>
    <t xml:space="preserve">fjf.prostheses@gmail.com </t>
  </si>
  <si>
    <t xml:space="preserve">leg compressions , gaurmets , wheel chairs , ORT , maybe around 20 , she thought that we are more like a medical supplier not a marketing company she is not interested to do marketing right now but i persuaded her to talk to someone that might do a collaboration with her in her business ( long shot ) create a follow up call on tuesday same time </t>
  </si>
  <si>
    <t>New Meetings → Dead Leads | Company: NORMAN'S MEDICAL &amp; SURGICAL SUPPLY INC.</t>
  </si>
  <si>
    <t xml:space="preserve">	Alpha Health Dme</t>
  </si>
  <si>
    <t>New Meetings → No-Show | Company: PRIMECARE MEDICAL SUPPLY INC</t>
  </si>
  <si>
    <t xml:space="preserve"> PROCARE ORTHOTICS &amp;PROSTHETICS</t>
  </si>
  <si>
    <t>TX based supply only ort , he  dont have lymphadema wraps but can order some, billmediare , ship , fax 7137991260  nationwide. meeting tomw 6pm</t>
  </si>
  <si>
    <t xml:space="preserve">didn't show up </t>
  </si>
  <si>
    <t>Contract Sent → Dead Leads | Company: APEX MEDICAL SUPPLY INC</t>
  </si>
  <si>
    <t xml:space="preserve"> Tx based supply ort and cgm, ship nation wide, bill medicare and ppo, asked to send email,meeting tomw </t>
  </si>
  <si>
    <t>NY Based, PPO deals with Eitna Humana Bluecross Blueshield and many  more suplies all braces and CGM meeting mon 8 pm -selene 6/11</t>
  </si>
  <si>
    <t xml:space="preserve">will be back tmrw in office </t>
  </si>
  <si>
    <t>New Meetings → Follow Ups | Company: CIMA CARE DME, INC</t>
  </si>
  <si>
    <t>New Meetings → Follow Ups | Company: DOCTORS EQUIPMENT SERVICE INC</t>
  </si>
  <si>
    <t>Note edit in Row 12 of Temporary Inactive queued.</t>
  </si>
  <si>
    <t>New Meetings → No-Show | Company: NFINITY INNOVATIVE SOLUTIONS LLC</t>
  </si>
  <si>
    <t>New Meetings → No-Show | Company: EPIC PROSTHETICS AND ORTHOTICS LLC</t>
  </si>
  <si>
    <t xml:space="preserve">NY Based, Medicare liscenced CGM meeting  wednesday 7 pm our time call meeting  -selene 5/26 </t>
  </si>
  <si>
    <t>New Meetings → Dead Leads | Company: DISCOVER LAB SERVICES LLC</t>
  </si>
  <si>
    <t>Note edit in Row 76 of No-Show queued.</t>
  </si>
  <si>
    <t xml:space="preserve">MA Based, PPO , provides ORT CGM Lymph wants a call tmrw at 9 pm our time 6/10 </t>
  </si>
  <si>
    <t>No-Show → Dead Leads | Company: EMALINE'S HOME MEDICAL EQUIPMENT, LLC</t>
  </si>
  <si>
    <t>New Meetings → Follow Ups | Company: CORE COMFORT MEDICAL SUPPLIES</t>
  </si>
  <si>
    <t>New Meetings → Follow Ups | Company: MEDICO PHARMACY LLC</t>
  </si>
  <si>
    <t xml:space="preserve">  </t>
  </si>
  <si>
    <t>New Meetings → Follow Ups | Company: GREEN MEDICAL SUPPLY LLC</t>
  </si>
  <si>
    <t>New Meetings → Follow Ups | Company: RAPID REACH MED SUPPLIES LLC</t>
  </si>
  <si>
    <t>New Meetings → Follow Ups | Company: GLOBAL E-LINK LLC</t>
  </si>
  <si>
    <t>Note edit in Row 125 of Follow Ups queued.</t>
  </si>
  <si>
    <t>Note edit in Row 129 of Follow Ups queued.</t>
  </si>
  <si>
    <t xml:space="preserve"> she wants to get me the CPT Codes that she is using to ask her billing team, need to call to follow up , waiting for her to call me back </t>
  </si>
  <si>
    <t>New Meetings → Follow Ups | Company: REVIVE PHARMACY LLC</t>
  </si>
  <si>
    <t xml:space="preserve"> Sammy</t>
  </si>
  <si>
    <t>New Meetings → Dead Leads | Company: BIG SANDY PHARMACY INC</t>
  </si>
  <si>
    <t xml:space="preserve">areej jumped in the call an indian dude that interupted the call and said that the boss are in austerlia and he is the DM , I willsend him the presentation plus the marketing plans and they will call me when he gets back in couple of weeks </t>
  </si>
  <si>
    <t>New Meetings → Follow Ups | Company: NFINITY INNOVATIVE SOLUTIONS LLC</t>
  </si>
  <si>
    <t>Follow Ups → Dead Leads | Company: A2Z MEDICAL SUPPLIES, CO.</t>
  </si>
  <si>
    <t>Follow Ups → Dead Leads | Company: NYKA LLC</t>
  </si>
  <si>
    <t>NY BASED  , SUPPLY ORT AND CGM BILL MEDICARE SHIP ONLY LOCALY NY MEETING NEXT WEEK TUESDAY 6PM</t>
  </si>
  <si>
    <t>Follow Ups → Dead Leads | Company: DISTINCTIVE HANDS LLC</t>
  </si>
  <si>
    <t>Follow Ups → Dead Leads | Company: SYNERGY MOBILE LAB LTD</t>
  </si>
  <si>
    <t>Follow Ups → Dead Leads | Company: MICROWELL LABORATORIES INC</t>
  </si>
  <si>
    <t>Follow Ups → Dead Leads | Company: Condiut health</t>
  </si>
  <si>
    <t xml:space="preserve">he desn't have any insurance no medicare and 1 private insurance he will apply for more </t>
  </si>
  <si>
    <t>Follow Ups → Dead Leads | Company: AMERICAN MEDICAL PRODUCTS INC</t>
  </si>
  <si>
    <t>Note edit in Row 26 of Follow Ups queued.</t>
  </si>
  <si>
    <t>Follow Ups → Dead Leads | Company: MUSC MEDICAL</t>
  </si>
  <si>
    <t>Follow Ups → Dead Leads | Company: BIONX LLC</t>
  </si>
  <si>
    <t>Follow Ups → Dead Leads | Company: ABDA LABS, LLC</t>
  </si>
  <si>
    <t>Follow Ups → Dead Leads | Company: ALPHA DME MEDICAL LLC</t>
  </si>
  <si>
    <t xml:space="preserve">- IL Based, wants to really work with PPO BlueCross Blueshield and humana for CGM he wanted this for a really long time was interested to talk about it wants email and meeting wed 12 am  -selene 6/9, products </t>
  </si>
  <si>
    <t>Follow Ups → Dead Leads | Company: Valmar Surgical Supplies</t>
  </si>
  <si>
    <t>meeting attended</t>
  </si>
  <si>
    <t>Follow Ups → Dead Leads | Company: Assist medical supply</t>
  </si>
  <si>
    <t>Follow Ups → Dead Leads | Company: ELITE MEDPRO DIAGNOSTICS LLC</t>
  </si>
  <si>
    <t>dmebracesllc@gmail.com</t>
  </si>
  <si>
    <t>New Meetings → No-Show | Company: MEGA MEDICAL SUPPLY LLC</t>
  </si>
  <si>
    <t xml:space="preserve">he mainly does Private insurance no medicare license,  he will open another LLC to work with us will propaly take around 2 months to open but he is mainly interested to work with private insurance but he will try to apply to medicare license, , he got an appliance company that work within the tri state area, he is contacting me via whatsapp and he needs me to send him an email contact information  </t>
  </si>
  <si>
    <t>New Meetings → Follow Ups | Company: EASY STICK LAB SERVICES LLC</t>
  </si>
  <si>
    <t>New Meetings → Temporary Inactive | Company: SUPERIOR SUPPORT STORE CORPORATION</t>
  </si>
  <si>
    <t>New Meetings → Follow Ups | Company: TEST AND GO LABS</t>
  </si>
  <si>
    <t>Follow Ups → Dead Leads | Company: NEW YORK RECOVERY DME CORP</t>
  </si>
  <si>
    <t>NY, Software Engineering guy, knows some about the stuff  5/7</t>
  </si>
  <si>
    <t xml:space="preserve">NY, Medicare active, gave him info about dmedesk but he said he didnt have that many patients and he does braces, couldn't not offer him patients </t>
  </si>
  <si>
    <t>doesnt believe palmetto nor free zone states, need to send him those and try to talk him into shipping all states
he didnt see the email,  spoke with him reexplanied and asked him to check his biller, still fears about medicare and the states thing, also wants us to refer him a biller</t>
  </si>
  <si>
    <t>Note edit in Row 15 of Follow Ups queued.</t>
  </si>
  <si>
    <t>Note edit in Row 20 of Follow Ups queued.</t>
  </si>
  <si>
    <t>he wants another email and he wants to speak to his partners, he wants to know more info about the prices and what we do and let's do another call on thursday to talk it over / VM 06/04/2026</t>
  </si>
  <si>
    <t>New Meetings → Dead Leads | Company: AMERICAN LAB LLC</t>
  </si>
  <si>
    <t>CA Based, ORT CGM Medicare liscenced  wants to know the pricesmeeting 26th may  video 10 pm our time 5/18</t>
  </si>
  <si>
    <t>Note edit in Row 38 of Follow Ups queued.</t>
  </si>
  <si>
    <t>Note edit in Row 96 of Follow Ups queued.</t>
  </si>
  <si>
    <t>She usually works alone and want the ai assistant as receptionist , taking nots and do the verfication for insuransea and takes notes, thats what she was looking for because her patients are frustrated  she is not answereing while she is out of store, she wanted to know the prices and how it works</t>
  </si>
  <si>
    <t>Temporary Inactive → Follow Ups | Company: WEST DIAGNOSTICS L L C</t>
  </si>
  <si>
    <t xml:space="preserve">he wants marketing people on the field talking to doctor offices, and convincing them to refer their patients to their lab , ( it will not work out ) but he is a very decent guy </t>
  </si>
  <si>
    <t>Temporary Inactive → Follow Ups | Company: PRECISION DIAGNOSTICS LABORATORY LLC</t>
  </si>
  <si>
    <t>New Meetings → Dead Leads | Company: AAURA HEALTHCARE LLC</t>
  </si>
  <si>
    <t>Ga based, do ngs  immune defiency and pgx a, bill medicare and accept patients all states,meeting on tuesday 11am est 5/6</t>
  </si>
  <si>
    <t>reschduled today 11 pm, she was a bit irritated on the call and kept asking for how much not interested to hear the process so i will send her the price list and if she agrees  she will replay to the email , 06/09/2026 voice mail</t>
  </si>
  <si>
    <t>New Meetings → Follow Ups | Company: LUX Diagnostics (APL)</t>
  </si>
  <si>
    <t>Follow Ups → Dead Leads | Company: LET'S REJUVENATE</t>
  </si>
  <si>
    <t>Note edit in Row 119 of Follow Ups queued.</t>
  </si>
  <si>
    <t>New Meetings → Dead Leads | Company: HALLMARK MEDICAL LLC</t>
  </si>
  <si>
    <t>Note edit in Row 7 of Temporary Inactive queued.</t>
  </si>
  <si>
    <t>Note edit in Row 50 of Onboarded queued.</t>
  </si>
  <si>
    <t>Note edit in Row 9 of No-Show queued.</t>
  </si>
  <si>
    <t>Note edit in Row 114 of Follow Ups queued.</t>
  </si>
  <si>
    <t>Note edit in Row 109 of Follow Ups queued.</t>
  </si>
  <si>
    <t>it would be for another company that can do medicare  , he has one called arial and sons , we talked for an hour, he is interested but he is facing an audit from medicare and his license might get revoked , send him  the contract + presentation + marketing plan for orthopedic braces and marketing plan for CGM devices + some calculations that we did together over the meeting SEND GEORGE INFO CONTACT PHONE NUMBER / he is going to the accreditation process must be done in a month in order not medicare revoke them, he will only know 2-3 week , call back 07/10/2026</t>
  </si>
  <si>
    <t>Note edit in Row 162 of Dead Leads queued.</t>
  </si>
  <si>
    <t xml:space="preserve">he wants to get on a google meet to discuss everything friday afternoon, waiting for his text to confirm the exact time Doc 01/13/2026/ now only interested with lymphadema wrap but if we had surplus paitents for lymphedema wrapsd we can contact him 2/5, i spoke to noah he was a bit interested and he told me he will try fto get moshe over the phone and then call me </t>
  </si>
  <si>
    <t>Note edit in Row 69 of Follow Ups queued.</t>
  </si>
  <si>
    <t>Follow Ups → Dead Leads | Company: TELA MEDICAL LLC</t>
  </si>
  <si>
    <t xml:space="preserve">PA Based, Medicare liscenced , ORT ,CGM meeting tuesday 7 pm our time video meeting -selene 5/22 </t>
  </si>
  <si>
    <t xml:space="preserve">I spoke to david he only said that he is interested in the CGM, He wants to know the reimbursements and the cost and how many can we get him , also send him the presentation </t>
  </si>
  <si>
    <t>Note edit in Row 85 of Follow Ups queued.</t>
  </si>
  <si>
    <t>New Meetings → Follow Ups | Company: ANGIOGENESIS MEDICAL LLC</t>
  </si>
  <si>
    <t xml:space="preserve">DC Based, medicare b, all states </t>
  </si>
  <si>
    <t>New Meetings → Follow Ups | Company: DIRECT DIAGNOSTIC LABORATORY LLC</t>
  </si>
  <si>
    <t xml:space="preserve">PA Based, Medicare liscenced , ORT ,CGM said wants to recieve a phone call tmrw 10.30 our time </t>
  </si>
  <si>
    <t xml:space="preserve">- said cb in 30 min , send the presentation / modules for pricing for both CGM and ort , call back tomorrow </t>
  </si>
  <si>
    <t>FL Based, Medicare liscenced ships nationwide ort meting 6.00 pm our time fri (wazowski lead) -selene 5/14
- Spoke to francky said that he supplies Lymph products  but he only works as PPO (humana /eitna ) said wants to know more details about prices and how it works 6/2</t>
  </si>
  <si>
    <t xml:space="preserve">he has 2 companies, one he worked with a pakistanian call center and they scammed him and another one he just opened, he is not sure that he is medicare licensed most probably he isn't he is only doing private insurances, he is looking for a biller but once he starts working again , we will have another meeting on tuesday same time so he can check which insurances does he have and get back to me,
- spoke to francky said will email george today,spoke to his partner about the work 6/15 , he has a realestate business also </t>
  </si>
  <si>
    <t>Follow Ups → Dead Leads | Company: MAIN STOP TESTING SVCS</t>
  </si>
  <si>
    <t>voice mail, rescheduled on monday 1 pm cst, he asked to call him  on thursday  to rescduled her is out of the office these days</t>
  </si>
  <si>
    <t>Note edit in Row 145 of Dead Leads queued.</t>
  </si>
  <si>
    <t xml:space="preserve">I are currently planning to acquire an existing Medicare store that is already operational and has all the necessary credentials, including a PTAN and other required registrations.
At this stage, we are in the evaluation and discussion phase, and the acquisition has not yet been finalized. If the deal is successfully completed, we will proceed with taking over the store.
 In the meantime, we would like to discuss potential lead generation opportunities and AI-driven marketing strategies that could help us grow the business 6/11/26 7:44 </t>
  </si>
  <si>
    <t>Temporary Inactive → Follow Ups | Company: GENEWELL LABS LLC</t>
  </si>
  <si>
    <t>New Meetings → Dead Leads | Company: SWIFTCHECK LABS LLC</t>
  </si>
  <si>
    <t>Note edit in Row 118 of Follow Ups queued.</t>
  </si>
  <si>
    <t>New Meetings → Follow Ups | Company: LIHIM TECHNOLOGIES, LLC</t>
  </si>
  <si>
    <t>New Meetings → No-Show | Company: DME-NOW, LLC</t>
  </si>
  <si>
    <t xml:space="preserve">CA Based, ORT CGM Medicare liscenced  wants to know the pricesmeeting 26th may  video 10 pm our time 5/18 SAID NI FOR NOW WILL CB IN FUTURE </t>
  </si>
  <si>
    <t xml:space="preserve">CAPITOL MEDICAL SUPPLY INC </t>
  </si>
  <si>
    <t>Follow Ups → Dead Leads | Company: CLOVER FAMILY CORP</t>
  </si>
  <si>
    <t>New Meetings → Contract Sent | Company: GSB DIAGNOSTICS LLC</t>
  </si>
  <si>
    <t>Note edit in Row 22 of Contract Sent queued.</t>
  </si>
  <si>
    <t xml:space="preserve">he has a couple of dmes that he is managing + 2 labs, He can work in private insurances in the dme space insurances are ( humana / cigma . anthem / zing / well med) , and medicare in labs , he is interested to know more about our pricing, so have ben send out the marketing plan for ORT and the Price per brace + the marketing plan for the labs , Also in the email send him the question about what prices do you have in mind for the Private insurance ( pay per referral module) and the calender link to book an appropiate timing with him </t>
  </si>
  <si>
    <t xml:space="preserve">She wants to discover the AI service and how it can help her Business </t>
  </si>
  <si>
    <t>New Meetings → Follow Ups | Company: ADT</t>
  </si>
  <si>
    <t>New Meetings → Dead Leads | Company: RENASCENT LABORATORIES LLC</t>
  </si>
  <si>
    <t>New Meetings → Dead Leads | Company: PROGRESS MEDICAL LLC DBA PROGRESS MEDICAL LABS</t>
  </si>
  <si>
    <t>New Meetings → Dead Leads | Company: Medical Care Alert</t>
  </si>
  <si>
    <t xml:space="preserve">relocating out of lousiana, moving into dropshipping ,asked abt amt of patients, suggested starting from 10-30 then scaling to whatever she would get into agrreem,ent with you, seems v interested , </t>
  </si>
  <si>
    <t xml:space="preserve">New Meetings → Follow Ups | Company: USA Medical Alert
</t>
  </si>
  <si>
    <t>New Meetings → Follow Ups | Company: Medical Guardian</t>
  </si>
  <si>
    <t xml:space="preserve">hazelstouchlab@gmail.com </t>
  </si>
  <si>
    <t>New Meetings → Temporary Inactive | Company: MEDEX DIAGNOSTIC SERVICES INC</t>
  </si>
  <si>
    <t xml:space="preserve">NC based Can do NGS and PGx want to discuss further info </t>
  </si>
  <si>
    <t>New Meetings → Follow Ups | Company: CAPITAL MEDICAL AND SURGICAL INC.</t>
  </si>
  <si>
    <t>Follow Ups → Dead Leads | Company: 50 OCEANA PHARMACY CORP</t>
  </si>
  <si>
    <t>New Meetings → Follow Ups | Company: ALL STAFFING INC</t>
  </si>
  <si>
    <t xml:space="preserve">adam@strykefox.com 
</t>
  </si>
  <si>
    <t xml:space="preserve">Can do all products, can accept medicare PT and asked me if we can do private I said yes we can </t>
  </si>
  <si>
    <t xml:space="preserve">New Meetings → Follow Ups | Company: ST Peter's Health Partners </t>
  </si>
  <si>
    <t>New Meetings → Dead Leads | Company: ROCKET CITY MEDICAL, LLC</t>
  </si>
  <si>
    <t>New Meetings → Temporary Inactive | Company: PREVENTIVE GENOMICS, LLC</t>
  </si>
  <si>
    <t xml:space="preserve">205-847-0741 / 2052532855 (personal Number) </t>
  </si>
  <si>
    <t xml:space="preserve">He does not feel comfortable doing that at the moment, but I tried to comfort him, he said keep me on the list and follow up with me in  a couple of months 6/10/26 8:47 (jimmy) 
L0637 , L0456, L0651 , 1833 , 1852 , l3916 , those are the L codes that he is using , ort samples +price list ort + Contract , + l codes that we are using
he is waiting for his attorney to look at the contract , call him back on tuesday,
said he cant talk right now - ben , he uses the 637 and 650 
send the info of DDP , he will check the billing if he is credentialed for the cgm ( med karma) , after he make sure he can do it , he will open the account of the ddp and we will send him a trial patient , he is waiting for DDP to open the account for him , he said he can't talk right now, i need to talk in another day </t>
  </si>
  <si>
    <t xml:space="preserve">New Meetings → Follow Ups | Company: Alert 1 </t>
  </si>
  <si>
    <t>New Meetings → Follow Ups | Company: Senior protection</t>
  </si>
  <si>
    <t xml:space="preserve">he says that our process is ver tight, but he didn't seem interested to do it right now, he asked to send the information to his team and they will review it and if he decided to go for it, he will respond to the email, Send him the presentation + template of the pricing for lymphedema + sample for a contract </t>
  </si>
  <si>
    <t>Follow Ups → Dead Leads | Company: DARAR RX GROUP CORP.</t>
  </si>
  <si>
    <t xml:space="preserve">humana ppo, BCBS HMO and PPO , he wants to start with BCBS in illinois with a set budget for ORT and CGM, he will do a trial of a certain amount for the optin data for both campaigns so he wants us to send him an invoice and a contract </t>
  </si>
  <si>
    <t>New Meetings → Dead Leads | Company: staaralert
lifesafetymonitoring</t>
  </si>
  <si>
    <t>Follow Ups → Contract Sent | Company: DIRECT DIAGNOSTIC LABORATORY LLC</t>
  </si>
  <si>
    <t>Follow Ups → Contract Sent | Company: BIOLIFE DIAGNOSTICS INC</t>
  </si>
  <si>
    <t xml:space="preserve">WELLNESSMOBILITYSOLUTIONS@Gmail.com
</t>
  </si>
  <si>
    <t>Follow Ups → Contract Sent | Company: CORE COMFORT MEDICAL SUPPLIES</t>
  </si>
  <si>
    <t xml:space="preserve">OK Based can do all 3 products, can ship nation wide, and can accept medicare PT. she will get her partner included in the meeting </t>
  </si>
  <si>
    <t xml:space="preserve">Send the contract and the pricings and follow up on tuesday same time if she did not get back to us she wants to start with sth of 20 PTs </t>
  </si>
  <si>
    <t>Follow Ups → Contract Sent | Company: EIV DIAGNOSTICS LLC</t>
  </si>
  <si>
    <t>New Meetings → Follow Ups | Company: PRECISION CLINICAL LABORATORY PCL</t>
  </si>
  <si>
    <t>Follow Ups → Contract Sent | Company: GENEWELL LABS LLC</t>
  </si>
  <si>
    <t>He said call me back on th 19th, I will be able to make a desicion by then 6/10/26 10:55
NA 6/10/26 10:53 
he wants to talk next thursday same time and he wants to try out the pay per hour module for 1 agent in CGM and 1 agent in orthopedic braces , we need to send him a marketing plan + contract ( don't send them ya ben i have new documents ) , he ran it by his lawyer and decided not to move forward</t>
  </si>
  <si>
    <t>No-Show → Dead Leads | Company: LIFEQUEST DIAGNOSTICS LLC</t>
  </si>
  <si>
    <t>Follow Ups → No-Show | Company: ACT FAST LAB LLC</t>
  </si>
  <si>
    <t xml:space="preserve">ADVANCEDHEALTHCarespecialist@gmail.com
</t>
  </si>
  <si>
    <t xml:space="preserve">MS Based ORT + Lymphedema
Medicare liscenced ships nationwide </t>
  </si>
  <si>
    <t xml:space="preserve">Called her and she heard my name she hung up </t>
  </si>
  <si>
    <t>Note edit in Row 62 of Follow Ups queued.</t>
  </si>
  <si>
    <t>Contract Sent → Dead Leads | Company: VARIETY ENTERPRISES, LLC</t>
  </si>
  <si>
    <t xml:space="preserve">she is interested but she only has MS and LA at the moment we need to sent her the count of our most important states and the two pay per hour module one for the lead Gen and the other for lead gen + document Reterival and we will have a meeting next thursday about how we will move forward , 
04/02/2026 she is interested to move forward with 1 agent for CGM , she is still waiting to know exactly how many states can she add at first so we will have a meeting next monday 11:00 am her time and in the mean while we need to send her a contract for ( 1 agent ( normal price ) , ask her about the states that we will work with to start the deploying process and what would be a good time to start , she is out of the country till the 05/02/2026 call her on 05/03/2026 and she will work . </t>
  </si>
  <si>
    <t>New Meetings → Temporary Inactive | Company: BENJAMIN'S DME LLC</t>
  </si>
  <si>
    <t>"Number is not in service 1/27/26 8:46
Number is not in service 1/22/26 10:35 
Call is not going through  1/21/26 10:17 "
voice mail 01/08/2025</t>
  </si>
  <si>
    <t>New Meetings → Follow Ups | Company: VIRGINIA ORTHOTICS CENTER, INC.</t>
  </si>
  <si>
    <t xml:space="preserve">NA 6/10/26 10:47 
send palmetto states for CGM and braces / send a fixed pay per hour campaign for CGM 10-11 patients and for orthopedic braces pay per hour also but from 5-7 patients , ask in the email about an exact time next week that they would be free so we can talk again </t>
  </si>
  <si>
    <t>New Meetings → Follow Ups | Company: BANNER MEDICAL EQUIPMENT &amp; SUPPLIES</t>
  </si>
  <si>
    <t>New Meetings → Temporary Inactive | Company: BRICKTOWNE PHARMACY LLC</t>
  </si>
  <si>
    <t>New Meetings → Contract Sent | Company: VITALCARE ESSENTIAL SUPPLIES CORP</t>
  </si>
  <si>
    <t>New Meetings → Contract Sent | Company: GRAJAG LLC</t>
  </si>
  <si>
    <t>New Meetings → Dead Leads | Company: MSK GLOBAL VENTURES LLC</t>
  </si>
  <si>
    <t>New Meetings → Contract Sent | Company: UNITED DOCTORS LAB INC</t>
  </si>
  <si>
    <t>she is interested but she need to show her team all of this info, the presentation , the landing page , pricing per hour / per prescription and to have a meeting on tuesday 12:30 EST 
NA, ben</t>
  </si>
  <si>
    <t xml:space="preserve">she said that she will call jimmy again later because she is out of the office right now
</t>
  </si>
  <si>
    <t xml:space="preserve">- contact info , she is a collection lab, she only do blood work </t>
  </si>
  <si>
    <t xml:space="preserve"> Tx based supply ort and cgm, ship nation wide, bill medicare and ppo, asked to send email,meeting </t>
  </si>
  <si>
    <t xml:space="preserve">he is not really understanding the business he has partners from overseas that handles everything but he is interested to open another llc and apply for other insurance ( i will send him an email to find a way that we can work together) / he will call the partners because they are claiming before shipping / he is asking about whether he needsto get preapproved before shipping the item , he got humana insurance  
He will talk to his partner and get back to george / humana optim all states 5 patients, </t>
  </si>
  <si>
    <t>I talked to him again and we discussed sth about doing the business but for private insurance, he wants to know the prices, he thought that we just give him the PTs, but I told him that we do the quality, the chasing and the marketing from our side and we provide a complete lead for him 6/29/26 10:15 
IL based, supply ort+ lymph , PPO liscensed ,ship nationwide, meeting MON 01/05/25 8:30</t>
  </si>
  <si>
    <t>"He said he is out of service for now, and now he can't take our leads, he said we might check with him again after a couple of month 1/21/25 10:12 
NA 1/19/26 4:37
He stated that he attended the meeting but while talking to me He sounded confused. He added that he was busy at the time and would follow up later. 1/13/25 5:23 " voice mail 03/18/2026</t>
  </si>
  <si>
    <t xml:space="preserve">lismery@hudsonmedicalsupplies.com </t>
  </si>
  <si>
    <t>Can ship to Tri state area  - medicare and private insurace 
ORT - Diabetic supplies but not CGM - lymph wraps</t>
  </si>
  <si>
    <t xml:space="preserve">She spoke with her boss and he said that they are not ready for that at the moment 7/2/26 6:53 </t>
  </si>
  <si>
    <t xml:space="preserve">he talked to his partner and they said the price is too high 7/2/26 8:26 (jim) </t>
  </si>
  <si>
    <t xml:space="preserve"> tls70@yahoo.com</t>
  </si>
  <si>
    <t xml:space="preserve">Ga based, supply ort , medicare licenced,able to  ship jurcdiction  C  only MEETING 12:30 TUESDAY </t>
  </si>
  <si>
    <t xml:space="preserve">TN BASED SUPPLY ONLY ORT, AND DIBETIC SHOES, BILL MEDICARE AND PPO, CAN SHIP TO JURSDUCTION C, NEVER  DONE MARKETING BEFORE, MEETING 1PM CST </t>
  </si>
  <si>
    <t>she  had urgent thing came up, asked to reschedule it for next week</t>
  </si>
  <si>
    <t>NA left a VM 6/10/26 8:50
send a CGM contract + pay per presctiption and send a finance invoice
"Doc 01/19/2026 - Jeelani , wants CGM ,
- Epiode alert link - DDP Link - Template of faxing - Palmetto link (20 states that are free zone State) Send pdf,
- medicare part b, Can work in States that are Jurc B, orthopedic braces - lymphadema wraps Price list, 
next meeting, 01/26/2026, 7:30 our time ", left a voice mail, left a voice maik
VM again - ben</t>
  </si>
  <si>
    <t xml:space="preserve">no answer please try from your end </t>
  </si>
  <si>
    <t xml:space="preserve"> FL based, medicarebill, ship localy and willing to drop ship to other states, supply only ort, MEETING ON MONDAY 10 AM EST</t>
  </si>
  <si>
    <t>she didnt review it yet and want to disscus it with her partner and call me back by end of the week</t>
  </si>
  <si>
    <t xml:space="preserve"> Ms based  do immune deficiency test, she owns two labs but dont have the machine do it in other lab, medicare licensed, accept allstates , meeting on thursday </t>
  </si>
  <si>
    <t>Wed 12:00 AM</t>
  </si>
  <si>
    <t xml:space="preserve">UT Based ,supply ORT ,Mediacre liscenced ,supply locally said he does marketing himself but interested to know more said to give him a call at 3 pm his time tmrw  because he might be busy with patients 6/23 </t>
  </si>
  <si>
    <t xml:space="preserve">dheeraj.tewari2025@yahoo.com 
</t>
  </si>
  <si>
    <t xml:space="preserve">KY Based, Ship Nationwide - no medicare - private insurce 
Braces - Wheelchairs - walkers - CGM </t>
  </si>
  <si>
    <t xml:space="preserve">He said I am not interested in your offer 7/14/26 8:31
He said that the prices is a bit higher than the market, will send him the contract and the price list for CGM and ORT and will follow up with again next Tue 7/10/26 8:15 </t>
  </si>
  <si>
    <t>she  had urgent thing came up, asked to reschedule it for next week, not interested bitch</t>
  </si>
  <si>
    <t xml:space="preserve">Meeting attended by mike send marketing plans, ORT CGM samples, Contract , they will review it and will reach out to us and i can follow up with them on mon 7/8 </t>
  </si>
  <si>
    <t xml:space="preserve">MI Based, CGM Only, Medicare liscenced and all insurance too work MI only  meeting tmrw 5.30 our time </t>
  </si>
  <si>
    <t xml:space="preserve">Meeting attended wants ORT sent marketing plan meeting follow up 11 am tmrw 7/1 , he wants to follow up on monday , he is super sick , but he is interested </t>
  </si>
  <si>
    <t xml:space="preserve">he gave me the prices and the insurances that he can work with, I told him i will check with the team and get back with him, So we need to send him a price list ( i will prepare it ) for the PPO leads + contract , tomorrow 12:30 EST 
MI State only 
Humana meriedian mclaren BCBS commercial plan PPO, he might work with medicare ( strict criteria )
some of them BSBC they get billed with north wood and they can't accept  it if it's BCBS
 </t>
  </si>
  <si>
    <t xml:space="preserve">IN Based, PPO (Humana ,Wellmed, Bluecross) , provides ORT CGM dropshisp nationwide  wants a video meeting thursday  at 9 pm our time 6/10 </t>
  </si>
  <si>
    <t>he has the insurances written + anthem + he can work in all states but he only wants to start with 2-3 patients only as it's a new DME , I told him i will check with the team about this possibility and get back to you and also we will talk around monday 8 pm our time if it's not available choose a slot from 8 pm to 10 pm our time 
- Will create a whatsapp group to discus the prices and see when to start he said they might start second week of july and george will send the prices 6/29</t>
  </si>
  <si>
    <t xml:space="preserve"> iceman625@hotmail.com</t>
  </si>
  <si>
    <t>TX Based, Medicare LIscenced , PPO but more comfertable with PPO because of medicare issues ORT CGM and they also have immune lab  nationwide meeting Friday 7 pm our time 7/7</t>
  </si>
  <si>
    <t>Spoke with mike send prescriptions ORT / Lab samples  / contarct for immune / ORT call back next week / said will review it today</t>
  </si>
  <si>
    <t xml:space="preserve">NY Based, CGM and ORT , Medicare liscenced , locally meeting tmrw 10.30 our time 7/6 </t>
  </si>
  <si>
    <t xml:space="preserve">he is an egyptian pharmacist , he is interested but he will check with the billing team what insurance and what states to work with , and to see the availability to do audits , please send him my contact information </t>
  </si>
  <si>
    <t>she said that there are no DM available you could try again late next week , I SPOKE WITH HER DANIELLE AND SHE THOUGHT WE ARE OTHE COMPANY AFTER  READING THE MAIL, SHE SAID I DONT WANT TO DEAL WITH PEOPLE I DONT KNOW, I TOLD HER I CAN ANSWER ALL QUESTIONS AND CONSERNS BUT SHE INSEASTED IN HER POSITION SHE SOUNDED SCARED TO WORK</t>
  </si>
  <si>
    <t>(844) 244-2430/  912-294-1284</t>
  </si>
  <si>
    <t>called back and asked to reschedule on thursday 1;30 cst, send a marketing plan for immune , set a meeting on tuesday 9:30 our time</t>
  </si>
  <si>
    <t xml:space="preserve">may 14th  12:00pm - 2:00 pm , he wants to know what would be the price to get around 55 patients a month and he wants to send him a proposal , also to see the contract with the amount to be paid, i called to confirm he will enter the meeting he said it doesnt make sense to doit now cuz of the high prices maybe after couple of weeks, i tried to convince hime that there is flexsiblity in payment,he said better to call him 1s of june , talk again on the 15th </t>
  </si>
  <si>
    <t xml:space="preserve">she declined the invite, she is driving please send her an email asking her what would be a good time tomorrow to get on a call and wait for her response/ she said didnt review it want meeting monday after noon 2/5, I left her a massage / she apologized ans asked to reschdule friday morning 4pm our time2/10, send price and contract 2/20
left her a vm and sent email - ben
closed - ben
NA </t>
  </si>
  <si>
    <t xml:space="preserve">in the meeting , he wants to share his own pricing so we can work together, he has very low pricing </t>
  </si>
  <si>
    <t xml:space="preserve">CO Based He is just having some concerns on how we operate and whether it is safe or not, he had another company reaching out to him for the same reason, but he said that he is a bit okay with us because we shared with him all the docs that he might need. Can accept medicare PT. </t>
  </si>
  <si>
    <t xml:space="preserve">She is a collection site, I told her if she has a refrence lab we a offer a refferal program, she mentioned that she is in rebranding process and I mentioned that we ask for a marketing fee and she understood that and asked for an email and a meeting invitaion on the 29th </t>
  </si>
  <si>
    <t xml:space="preserve">shloimy7322@gmail.com </t>
  </si>
  <si>
    <t xml:space="preserve">NY Based, can do nationwide, He only do Cash and private insurce at the moment and it might take a whild to start accepting medicare PT </t>
  </si>
  <si>
    <t xml:space="preserve">testandgolabs@gmail.com </t>
  </si>
  <si>
    <t xml:space="preserve">Called her she said that last time she was having a probelm with her phone that is why she could not attend  WED 8:30 PM 7/6/26 10:46 
She is a collection site, she works with  Lap corp and CRL 
I mentioned that we ask for a marketing fee and she said that this is sth acceptable from her side </t>
  </si>
  <si>
    <t xml:space="preserve"> lorenzo@americanlabfl.com</t>
  </si>
  <si>
    <t xml:space="preserve"> fl based, do uti and other test the deal with many labs referrals,, accept allnation wide, bill medicare, meeting on  tuesday</t>
  </si>
  <si>
    <t>mike spoke with him , he explained all the process and he wanted to review the email again and meeting on monday for follow up same time 4/9, he will send email to reschedule for follow up meeeting now he is busy with pts and have bad network, he called yesturday and reschedule today meeting , he wanted to know the prices after reviewed the email. i called him if he is currently doing the uti testing, he said yes asked to send email  and booked meeting on friday 9 pm our time, he wants 50per week, but we told him we can do 25 per week,aka 100 month , will calculate it for him and get him a price and send it  with contract. and schedeule a meeting on tuesday on thursday 9 pm  our time</t>
  </si>
  <si>
    <t>he said he is swapmed with patients now asked to call end of the week to rescdule another one, still busy will all me when avalible at end of week call him back, HE IS INTERESTED  MORE IN ORT BACK BRACE, WANT TO TAKE 5 OR 10 PT ASKED TO FOR THE PRICES PER LEAD OR PT, SAID TO CALL HIM BACK NEXT WEEK HE WANT TO WORK WITH US BUT WANT TO DO MORE RESEARCH ABOUT US</t>
  </si>
  <si>
    <t>he has two labs GA and TX,HE CAN DO IMMUNE WITH PARTNERING  OTHER LABS, CAN PROVIDE UTI, PGX AND STI IN HOUSE, MEDICARE PTS, BUT AFRAID OF TELE MEDICINE HE THINKS IT RISCKY,PREFER PCP , BUT WILL SEND HIM OUR SAMPLE OF PGX TELE MEDICINE IF COMPLIANT WITH H IM WILL DO BOTH MODULE, AND WILL SEND ROUGH MARKETING PLAN FOR ALL THREE TEST</t>
  </si>
  <si>
    <t>Another meeting on Wed 4 pm CST send contract
Interested in UTI, STI ,PGX and Immundefiency test / covid ( influenza A ,b ) RSV , meeting tuesday 11:00 am, SAID WILL START ON FEB, forward to an automatic voice system , forwarded to Automatic voice message 02/25/2026
- Spoke to Mr Hafeez he said that he is busy with projects related to the world cup he said that when he is ready he will give us acall he couldnt give us a time to give him a cb selene 2/25 , voice mail meeting july 30th 11 am cst 7/20</t>
  </si>
  <si>
    <t>TX BASED / she confirmed UTI, CMP BMP (metabolic) and maybe NGS and Immunodeficiency / they accept medicare and private insurances</t>
  </si>
  <si>
    <t>Licensed in TX, LA, AR / can do PGx and UTI, but still waiting for confirmation about the immunodeficiency (NGS) / sent her the marketingplan for all three and the contract for review and scheduled a follow-up meeting for WED 6:00</t>
  </si>
  <si>
    <t>he has two labs GA and TX,HE CAN DO IMMUNE WITH PARTNERING  OTHER LABS, CAN PROVIDE UTI, PGX AND STI IN HOUSE, MEDICARE PTS, BUT AFRAID OF TELE MEDICINE HE THINKS IT RISCKY,PREFER PCP , BUT WILL SEND HIM OUR SAMPLE OF PGX TELE MEDICINE IF COMPLIANT WITH H IM WILL DO BOTH MODULE, AND WILL SEND ROUGH MARKETING PLAN FOR ALL THREE TEST,  the just saw it and will review it will reply to us back, still didnt review it yet</t>
  </si>
  <si>
    <t xml:space="preserve">Meeting attended by mike send marketing plans, ORT CGM samples, Contract , they will review it and will reach out to us and i can follow up with them on mon 7/8 left a vm 7/16
- spoke to wassem said he really liked the marketing plan but he wants to figure things out on his side and will recah out to us said he will get back to us this week and agreed for me to reach out on him at mon 7/28 - meeting finalizing thursday at 8.30 our time he works with most ppo insurances humana, bcbs, united, wants to start with one agent and start with cgm asked about if we rae w2 i said we are w8 and its upfront payment 8/3 
He said that he is interested in working with us </t>
  </si>
  <si>
    <t>wednesday 11:00 pm
he wants to do some duediligence to check if everything checks out, he is kinda skyptical and not very sure that if he did this he will get paid from medicare but we can do a follow up meeting on the 27th 11:00 pm , Doc 01/21/2025
working on stuff for the testing, talking to vendors, working on the panel, once he's ready he'll give us a call.spoke to him said he wants to get the z code approval for billing and it takes time 4/9 said cb 15th of june 6/2
- told him about the uti and pgx said hes interested and meeting tmrw 7/20
- Meeting follow up with george irfan said that california reimbursment is low and require z code so sends samples out of state in medicare ,he prefers cash pay, but we agreed on targeted insurance etna bcbs for CA he said our prices are high but george is willing to negionate follow up august 10 7/21</t>
  </si>
  <si>
    <t>Mon 8:00 PM 05/13/26</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</si>
</sst>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000-0000"/>
    <numFmt numFmtId="165" formatCode="M/d/yyyy H:mm:ss"/>
    <numFmt numFmtId="166" formatCode="m/d/yyyy"/>
    <numFmt numFmtId="167" formatCode="m/d/yyyy h:mm:ss"/>
    <numFmt numFmtId="168" formatCode="M/d/yyyy"/>
    <numFmt numFmtId="169" formatCode="m/d/yy"/>
    <numFmt numFmtId="170" formatCode="m/d/yyyy h:mm"/>
  </numFmts>
  <fonts count="50">
    <font>
      <sz val="10.0"/>
      <color rgb="FF000000"/>
      <name val="Arial"/>
      <scheme val="minor"/>
    </font>
    <font>
      <b/>
      <sz val="13.0"/>
      <color theme="1"/>
      <name val="Arial"/>
    </font>
    <font>
      <color theme="1"/>
      <name val="Arial"/>
      <scheme val="minor"/>
    </font>
    <font>
      <b/>
      <u/>
      <sz val="13.0"/>
      <color rgb="FF1155CC"/>
      <name val="Arial"/>
    </font>
    <font>
      <b/>
      <u/>
      <sz val="13.0"/>
      <color theme="1"/>
      <name val="Arial"/>
    </font>
    <font>
      <b/>
      <u/>
      <sz val="13.0"/>
      <color rgb="FF1155CC"/>
      <name val="Arial"/>
    </font>
    <font>
      <b/>
      <sz val="13.0"/>
      <color rgb="FF1155CC"/>
      <name val="Arial"/>
    </font>
    <font>
      <color theme="1"/>
      <name val="Arial"/>
    </font>
    <font>
      <b/>
      <sz val="13.0"/>
      <color theme="1"/>
      <name val="Arial"/>
      <scheme val="minor"/>
    </font>
    <font>
      <b/>
      <u/>
      <sz val="13.0"/>
      <color rgb="FF0000FF"/>
    </font>
    <font>
      <b/>
      <u/>
      <sz val="13.0"/>
      <color rgb="FF0000FF"/>
      <name val="Arial"/>
    </font>
    <font>
      <b/>
      <sz val="13.0"/>
      <color rgb="FF2563EB"/>
      <name val="Ui-sans-serif"/>
    </font>
    <font>
      <b/>
      <u/>
      <sz val="13.0"/>
      <color rgb="FF1155CC"/>
      <name val="Arial"/>
    </font>
    <font>
      <b/>
      <sz val="12.0"/>
      <color theme="1"/>
      <name val="Arial"/>
    </font>
    <font>
      <b/>
      <u/>
      <sz val="13.0"/>
      <color theme="1"/>
      <name val="Arial"/>
      <scheme val="minor"/>
    </font>
    <font>
      <b/>
      <sz val="13.0"/>
      <color rgb="FF374151"/>
      <name val="Ui-sans-serif"/>
    </font>
    <font>
      <b/>
      <u/>
      <sz val="13.0"/>
      <color theme="1"/>
      <name val="Arial"/>
    </font>
    <font>
      <b/>
      <u/>
      <sz val="13.0"/>
      <color rgb="FF0000FF"/>
      <name val="Arial"/>
    </font>
    <font>
      <b/>
      <u/>
      <sz val="13.0"/>
      <color theme="1"/>
      <name val="Arial"/>
      <scheme val="minor"/>
    </font>
    <font>
      <b/>
      <u/>
      <sz val="13.0"/>
      <color rgb="FF000000"/>
      <name val="Arial"/>
    </font>
    <font>
      <b/>
      <u/>
      <sz val="13.0"/>
      <color theme="1"/>
      <name val="Arial"/>
    </font>
    <font>
      <b/>
      <u/>
      <sz val="13.0"/>
      <color rgb="FF0000FF"/>
    </font>
    <font>
      <b/>
      <u/>
      <sz val="13.0"/>
      <color theme="1"/>
      <name val="Arial"/>
      <scheme val="minor"/>
    </font>
    <font>
      <b/>
      <u/>
      <sz val="13.0"/>
      <color rgb="FF1155CC"/>
      <name val="Arial"/>
    </font>
    <font>
      <b/>
      <u/>
      <sz val="13.0"/>
      <color rgb="FF1155CC"/>
      <name val="Arial"/>
    </font>
    <font>
      <b/>
      <u/>
      <sz val="13.0"/>
      <color theme="1"/>
      <name val="Arial"/>
      <scheme val="minor"/>
    </font>
    <font>
      <b/>
      <u/>
      <sz val="13.0"/>
      <color rgb="FF1155CC"/>
      <name val="Arial"/>
    </font>
    <font>
      <b/>
      <sz val="26.0"/>
      <color rgb="FFFFFFFF"/>
      <name val="Arial"/>
    </font>
    <font/>
    <font>
      <b/>
      <u/>
      <sz val="13.0"/>
      <color theme="1"/>
      <name val="Arial"/>
    </font>
    <font>
      <b/>
      <u/>
      <sz val="13.0"/>
      <color rgb="FF1155CC"/>
      <name val="Arial"/>
    </font>
    <font>
      <b/>
      <u/>
      <sz val="13.0"/>
      <color rgb="FF1155CC"/>
      <name val="Arial"/>
    </font>
    <font>
      <b/>
      <u/>
      <sz val="13.0"/>
      <color rgb="FF1155CC"/>
      <name val="Arial"/>
    </font>
    <font>
      <b/>
      <u/>
      <sz val="13.0"/>
      <color rgb="FF1155CC"/>
      <name val="Arial"/>
    </font>
    <font>
      <b/>
      <u/>
      <sz val="13.0"/>
      <color rgb="FF1155CC"/>
      <name val="Arial"/>
    </font>
    <font>
      <b/>
      <u/>
      <sz val="13.0"/>
      <color rgb="FF1155CC"/>
      <name val="Arial"/>
    </font>
    <font>
      <b/>
      <u/>
      <sz val="13.0"/>
      <color rgb="FF1155CC"/>
      <name val="Arial"/>
    </font>
    <font>
      <b/>
      <u/>
      <sz val="13.0"/>
      <color theme="1"/>
      <name val="Arial"/>
      <scheme val="minor"/>
    </font>
    <font>
      <b/>
      <u/>
      <sz val="13.0"/>
      <color rgb="FF1155CC"/>
      <name val="Arial"/>
    </font>
    <font>
      <b/>
      <color rgb="FFFFFFFF"/>
      <name val="Arial"/>
      <scheme val="minor"/>
    </font>
    <font>
      <u/>
      <color rgb="FF0000FF"/>
    </font>
    <font>
      <b/>
      <u/>
      <sz val="13.0"/>
      <color rgb="FF1155CC"/>
      <name val="Arial"/>
    </font>
    <font>
      <b/>
      <u/>
      <sz val="13.0"/>
      <color rgb="FF1155CC"/>
      <name val="Arial"/>
    </font>
    <font>
      <b/>
      <u/>
      <sz val="13.0"/>
      <color rgb="FF1155CC"/>
      <name val="Arial"/>
    </font>
    <font>
      <b/>
      <u/>
      <sz val="13.0"/>
      <color rgb="FF1155CC"/>
      <name val="Arial"/>
    </font>
    <font>
      <b/>
      <u/>
      <sz val="13.0"/>
      <color theme="1"/>
      <name val="Arial"/>
      <scheme val="minor"/>
    </font>
    <font>
      <b/>
      <sz val="13.0"/>
      <color rgb="FF000000"/>
      <name val="Arial"/>
    </font>
    <font>
      <u/>
      <color theme="1"/>
      <name val="Arial"/>
      <scheme val="minor"/>
    </font>
    <font>
      <b/>
      <u/>
      <sz val="13.0"/>
      <color rgb="FF0000FF"/>
    </font>
    <font>
      <b/>
      <u/>
      <sz val="13.0"/>
      <color theme="1"/>
      <name val="Arial"/>
      <scheme val="minor"/>
    </font>
  </fonts>
  <fills count="17">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ECED51"/>
        <bgColor rgb="FFECED51"/>
      </patternFill>
    </fill>
    <fill>
      <patternFill patternType="solid">
        <fgColor rgb="FFF9FAFB"/>
        <bgColor rgb="FFF9FAFB"/>
      </patternFill>
    </fill>
    <fill>
      <patternFill patternType="solid">
        <fgColor rgb="FFF3F4F6"/>
        <bgColor rgb="FFF3F4F6"/>
      </patternFill>
    </fill>
    <fill>
      <patternFill patternType="solid">
        <fgColor rgb="FFF3F3F3"/>
        <bgColor rgb="FFF3F3F3"/>
      </patternFill>
    </fill>
    <fill>
      <patternFill patternType="solid">
        <fgColor rgb="FFA4C2F4"/>
        <bgColor rgb="FFA4C2F4"/>
      </patternFill>
    </fill>
    <fill>
      <patternFill patternType="solid">
        <fgColor rgb="FF00FF00"/>
        <bgColor rgb="FF00FF00"/>
      </patternFill>
    </fill>
    <fill>
      <patternFill patternType="solid">
        <fgColor rgb="FFE06666"/>
        <bgColor rgb="FFE06666"/>
      </patternFill>
    </fill>
    <fill>
      <patternFill patternType="solid">
        <fgColor rgb="FF000000"/>
        <bgColor rgb="FF000000"/>
      </patternFill>
    </fill>
    <fill>
      <patternFill patternType="solid">
        <fgColor rgb="FFFF0000"/>
        <bgColor rgb="FFFF0000"/>
      </patternFill>
    </fill>
    <fill>
      <patternFill patternType="solid">
        <fgColor rgb="FF4A86E8"/>
        <bgColor rgb="FF4A86E8"/>
      </patternFill>
    </fill>
    <fill>
      <patternFill patternType="solid">
        <fgColor rgb="FFFF6B6B"/>
        <bgColor rgb="FFFF6B6B"/>
      </patternFill>
    </fill>
  </fills>
  <borders count="6">
    <border/>
    <border>
      <left style="thin">
        <color rgb="FF000000"/>
      </left>
      <right style="thin">
        <color rgb="FF000000"/>
      </right>
      <top style="thin">
        <color rgb="FF000000"/>
      </top>
      <bottom style="thin">
        <color rgb="FF000000"/>
      </bottom>
    </border>
    <border>
      <bottom style="thin">
        <color rgb="FFE5E7EB"/>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2" fontId="1" numFmtId="0" xfId="0" applyAlignment="1" applyBorder="1" applyFont="1">
      <alignment horizontal="center" readingOrder="0" shrinkToFit="0" vertical="center" wrapText="1"/>
    </xf>
    <xf borderId="1" fillId="2" fontId="1" numFmtId="0" xfId="0" applyAlignment="1" applyBorder="1" applyFont="1">
      <alignment horizontal="center" shrinkToFit="0" vertical="center" wrapText="1"/>
    </xf>
    <xf borderId="1" fillId="2" fontId="1" numFmtId="164" xfId="0" applyAlignment="1" applyBorder="1" applyFont="1" applyNumberFormat="1">
      <alignment horizontal="center" shrinkToFit="0" vertical="center" wrapText="1"/>
    </xf>
    <xf borderId="1" fillId="2" fontId="1" numFmtId="165" xfId="0" applyAlignment="1" applyBorder="1" applyFont="1" applyNumberFormat="1">
      <alignment horizontal="center" shrinkToFit="0" vertical="center" wrapText="1"/>
    </xf>
    <xf borderId="0" fillId="0" fontId="2" numFmtId="0" xfId="0" applyAlignment="1" applyFont="1">
      <alignment vertical="center"/>
    </xf>
    <xf borderId="0" fillId="2" fontId="1" numFmtId="0" xfId="0" applyAlignment="1" applyFont="1">
      <alignment horizontal="center" shrinkToFit="0" vertical="center" wrapText="1"/>
    </xf>
    <xf borderId="1" fillId="0" fontId="1" numFmtId="0" xfId="0" applyAlignment="1" applyBorder="1" applyFont="1">
      <alignment horizontal="center" readingOrder="0" shrinkToFit="0" vertical="center" wrapText="1"/>
    </xf>
    <xf borderId="1" fillId="2" fontId="1" numFmtId="0" xfId="0" applyAlignment="1" applyBorder="1" applyFont="1">
      <alignment horizontal="center" shrinkToFit="0" vertical="center" wrapText="0"/>
    </xf>
    <xf borderId="1" fillId="0" fontId="1" numFmtId="0" xfId="0" applyAlignment="1" applyBorder="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0" fontId="1" numFmtId="14"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1" fillId="3" fontId="1" numFmtId="166" xfId="0" applyAlignment="1" applyBorder="1" applyFont="1" applyNumberFormat="1">
      <alignment horizontal="center" readingOrder="0" shrinkToFit="0" vertical="center" wrapText="1"/>
    </xf>
    <xf borderId="1" fillId="3" fontId="3"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wrapText="1"/>
    </xf>
    <xf borderId="1" fillId="3" fontId="1" numFmtId="0" xfId="0" applyAlignment="1" applyBorder="1" applyFont="1">
      <alignment horizontal="left" readingOrder="0" shrinkToFit="0" vertical="center" wrapText="1"/>
    </xf>
    <xf borderId="1" fillId="3" fontId="4" numFmtId="0" xfId="0" applyAlignment="1" applyBorder="1" applyFont="1">
      <alignment horizontal="center" readingOrder="0" shrinkToFit="0" vertical="center" wrapText="1"/>
    </xf>
    <xf borderId="1" fillId="0" fontId="1" numFmtId="165" xfId="0" applyAlignment="1" applyBorder="1" applyFont="1" applyNumberFormat="1">
      <alignment horizontal="center" shrinkToFit="0" wrapText="1"/>
    </xf>
    <xf borderId="1" fillId="3" fontId="5" numFmtId="0" xfId="0" applyAlignment="1" applyBorder="1" applyFont="1">
      <alignment horizontal="center" readingOrder="0" shrinkToFit="0" vertical="center" wrapText="1"/>
    </xf>
    <xf borderId="1" fillId="0" fontId="1" numFmtId="167" xfId="0" applyAlignment="1" applyBorder="1" applyFont="1" applyNumberFormat="1">
      <alignment horizontal="center" readingOrder="0" shrinkToFit="0" wrapText="1"/>
    </xf>
    <xf borderId="1" fillId="3" fontId="6" numFmtId="0" xfId="0" applyAlignment="1" applyBorder="1" applyFont="1">
      <alignment horizontal="center" readingOrder="0" shrinkToFit="0" vertical="center" wrapText="1"/>
    </xf>
    <xf borderId="1" fillId="0" fontId="7" numFmtId="9" xfId="0" applyAlignment="1" applyBorder="1" applyFont="1" applyNumberFormat="1">
      <alignment vertical="center"/>
    </xf>
    <xf borderId="1" fillId="3" fontId="1" numFmtId="0" xfId="0" applyAlignment="1" applyBorder="1" applyFont="1">
      <alignment horizontal="center" readingOrder="0" shrinkToFit="0" wrapText="1"/>
    </xf>
    <xf borderId="0" fillId="3" fontId="1" numFmtId="0" xfId="0" applyAlignment="1" applyFont="1">
      <alignment horizontal="center" readingOrder="0" shrinkToFit="0" vertical="center" wrapText="1"/>
    </xf>
    <xf borderId="1" fillId="3" fontId="1" numFmtId="0" xfId="0" applyAlignment="1" applyBorder="1" applyFont="1">
      <alignment horizontal="center" shrinkToFit="0" wrapText="1"/>
    </xf>
    <xf borderId="1" fillId="0" fontId="1" numFmtId="168" xfId="0" applyAlignment="1" applyBorder="1" applyFont="1" applyNumberFormat="1">
      <alignment horizontal="left" readingOrder="0" shrinkToFit="0" wrapText="1"/>
    </xf>
    <xf borderId="1" fillId="3" fontId="1" numFmtId="165" xfId="0" applyAlignment="1" applyBorder="1" applyFont="1" applyNumberFormat="1">
      <alignment horizontal="center" readingOrder="0" shrinkToFit="0" wrapText="1"/>
    </xf>
    <xf borderId="1" fillId="3" fontId="1" numFmtId="0" xfId="0" applyAlignment="1" applyBorder="1" applyFont="1">
      <alignment horizontal="center" readingOrder="0"/>
    </xf>
    <xf borderId="1" fillId="0" fontId="7" numFmtId="0" xfId="0" applyAlignment="1" applyBorder="1" applyFont="1">
      <alignment readingOrder="0" shrinkToFit="0" vertical="center" wrapText="0"/>
    </xf>
    <xf borderId="1" fillId="3" fontId="7" numFmtId="0" xfId="0" applyAlignment="1" applyBorder="1" applyFont="1">
      <alignment readingOrder="0" vertical="center"/>
    </xf>
    <xf borderId="1" fillId="0" fontId="1" numFmtId="0" xfId="0" applyAlignment="1" applyBorder="1" applyFont="1">
      <alignment horizontal="center" readingOrder="0" shrinkToFit="0" wrapText="1"/>
    </xf>
    <xf borderId="1" fillId="3" fontId="7" numFmtId="9" xfId="0" applyAlignment="1" applyBorder="1" applyFont="1" applyNumberFormat="1">
      <alignment vertical="center"/>
    </xf>
    <xf borderId="1" fillId="0" fontId="1" numFmtId="0" xfId="0" applyAlignment="1" applyBorder="1" applyFont="1">
      <alignment horizontal="center" readingOrder="0" shrinkToFit="0" vertical="center" wrapText="0"/>
    </xf>
    <xf borderId="1" fillId="0" fontId="2" numFmtId="0" xfId="0" applyAlignment="1" applyBorder="1" applyFont="1">
      <alignment readingOrder="0" vertical="center"/>
    </xf>
    <xf borderId="1" fillId="3" fontId="8" numFmtId="14" xfId="0" applyAlignment="1" applyBorder="1" applyFont="1" applyNumberFormat="1">
      <alignment horizontal="center" readingOrder="0"/>
    </xf>
    <xf borderId="1" fillId="0" fontId="2" numFmtId="0" xfId="0" applyAlignment="1" applyBorder="1" applyFont="1">
      <alignment vertical="center"/>
    </xf>
    <xf borderId="1" fillId="3" fontId="1" numFmtId="0" xfId="0" applyAlignment="1" applyBorder="1" applyFont="1">
      <alignment readingOrder="0" vertical="center"/>
    </xf>
    <xf borderId="1" fillId="3" fontId="8" numFmtId="0" xfId="0" applyAlignment="1" applyBorder="1" applyFont="1">
      <alignment horizontal="center" readingOrder="0"/>
    </xf>
    <xf borderId="0" fillId="3" fontId="7" numFmtId="9" xfId="0" applyAlignment="1" applyFont="1" applyNumberFormat="1">
      <alignment vertical="center"/>
    </xf>
    <xf borderId="1" fillId="0" fontId="1" numFmtId="14" xfId="0" applyAlignment="1" applyBorder="1" applyFont="1" applyNumberFormat="1">
      <alignment horizontal="center" readingOrder="0" shrinkToFit="0" vertical="center" wrapText="1"/>
    </xf>
    <xf borderId="1" fillId="3" fontId="8" numFmtId="0" xfId="0" applyAlignment="1" applyBorder="1" applyFont="1">
      <alignment horizontal="center" readingOrder="0" shrinkToFit="0" vertical="center" wrapText="1"/>
    </xf>
    <xf borderId="1" fillId="3" fontId="6" numFmtId="0" xfId="0" applyAlignment="1" applyBorder="1" applyFont="1">
      <alignment horizontal="center" readingOrder="0" shrinkToFit="0" vertical="center" wrapText="1"/>
    </xf>
    <xf borderId="1" fillId="3" fontId="8" numFmtId="0" xfId="0" applyAlignment="1" applyBorder="1" applyFont="1">
      <alignment horizontal="center"/>
    </xf>
    <xf borderId="1" fillId="0" fontId="1" numFmtId="0" xfId="0" applyAlignment="1" applyBorder="1" applyFont="1">
      <alignment horizontal="center" shrinkToFit="0" wrapText="1"/>
    </xf>
    <xf borderId="1" fillId="3" fontId="8" numFmtId="167" xfId="0" applyAlignment="1" applyBorder="1" applyFont="1" applyNumberFormat="1">
      <alignment horizontal="center" readingOrder="0"/>
    </xf>
    <xf borderId="1" fillId="0" fontId="1" numFmtId="168" xfId="0" applyAlignment="1" applyBorder="1" applyFont="1" applyNumberFormat="1">
      <alignment horizontal="left" readingOrder="0" shrinkToFit="0" wrapText="1"/>
    </xf>
    <xf borderId="1" fillId="3" fontId="1" numFmtId="0" xfId="0" applyAlignment="1" applyBorder="1" applyFont="1">
      <alignment horizontal="center"/>
    </xf>
    <xf borderId="1" fillId="3" fontId="7" numFmtId="0" xfId="0" applyAlignment="1" applyBorder="1" applyFont="1">
      <alignment vertical="center"/>
    </xf>
    <xf borderId="1" fillId="3" fontId="1" numFmtId="9" xfId="0" applyAlignment="1" applyBorder="1" applyFont="1" applyNumberFormat="1">
      <alignment horizontal="center"/>
    </xf>
    <xf borderId="1" fillId="0" fontId="7" numFmtId="0" xfId="0" applyAlignment="1" applyBorder="1" applyFont="1">
      <alignment readingOrder="0" shrinkToFit="0" vertical="center" wrapText="0"/>
    </xf>
    <xf borderId="0" fillId="3" fontId="1" numFmtId="9" xfId="0" applyAlignment="1" applyFont="1" applyNumberFormat="1">
      <alignment horizontal="center"/>
    </xf>
    <xf borderId="1" fillId="4" fontId="1" numFmtId="0" xfId="0" applyAlignment="1" applyBorder="1" applyFill="1" applyFont="1">
      <alignment horizontal="center" readingOrder="0" shrinkToFit="0" vertical="center" wrapText="1"/>
    </xf>
    <xf borderId="1" fillId="3" fontId="1" numFmtId="0" xfId="0" applyAlignment="1" applyBorder="1" applyFont="1">
      <alignment horizontal="left" shrinkToFit="0" vertical="center" wrapText="1"/>
    </xf>
    <xf borderId="1" fillId="3" fontId="1" numFmtId="0" xfId="0" applyAlignment="1" applyBorder="1" applyFont="1">
      <alignment horizontal="center" readingOrder="0" vertical="center"/>
    </xf>
    <xf borderId="1" fillId="4" fontId="1" numFmtId="14" xfId="0" applyAlignment="1" applyBorder="1" applyFont="1" applyNumberFormat="1">
      <alignment horizontal="center" readingOrder="0" shrinkToFit="0" vertical="center" wrapText="1"/>
    </xf>
    <xf borderId="1" fillId="0" fontId="1" numFmtId="0" xfId="0" applyAlignment="1" applyBorder="1" applyFont="1">
      <alignment horizontal="left" readingOrder="0" shrinkToFit="0" vertical="center" wrapText="1"/>
    </xf>
    <xf borderId="1" fillId="4" fontId="6" numFmtId="0" xfId="0" applyAlignment="1" applyBorder="1" applyFont="1">
      <alignment horizontal="center" readingOrder="0" shrinkToFit="0" vertical="center" wrapText="1"/>
    </xf>
    <xf borderId="1" fillId="4" fontId="1" numFmtId="0" xfId="0" applyAlignment="1" applyBorder="1" applyFont="1">
      <alignment horizontal="center" readingOrder="0" shrinkToFit="0" wrapText="1"/>
    </xf>
    <xf borderId="1" fillId="4" fontId="1" numFmtId="167" xfId="0" applyAlignment="1" applyBorder="1" applyFont="1" applyNumberFormat="1">
      <alignment horizontal="center" readingOrder="0" shrinkToFit="0" wrapText="1"/>
    </xf>
    <xf borderId="1" fillId="4" fontId="1" numFmtId="168" xfId="0" applyAlignment="1" applyBorder="1" applyFont="1" applyNumberFormat="1">
      <alignment horizontal="left" readingOrder="0" shrinkToFit="0" wrapText="1"/>
    </xf>
    <xf borderId="1" fillId="4" fontId="7" numFmtId="0" xfId="0" applyAlignment="1" applyBorder="1" applyFont="1">
      <alignment readingOrder="0" vertical="center"/>
    </xf>
    <xf borderId="1" fillId="4" fontId="7" numFmtId="0" xfId="0" applyAlignment="1" applyBorder="1" applyFont="1">
      <alignment readingOrder="0" shrinkToFit="0" vertical="center" wrapText="0"/>
    </xf>
    <xf borderId="1" fillId="3" fontId="9" numFmtId="0" xfId="0" applyAlignment="1" applyBorder="1" applyFont="1">
      <alignment horizontal="center" readingOrder="0" shrinkToFit="0" vertical="center" wrapText="1"/>
    </xf>
    <xf borderId="1" fillId="0" fontId="1" numFmtId="14" xfId="0" applyAlignment="1" applyBorder="1" applyFont="1" applyNumberFormat="1">
      <alignment horizontal="center" readingOrder="0" shrinkToFit="0" wrapText="1"/>
    </xf>
    <xf borderId="1" fillId="3" fontId="1" numFmtId="0" xfId="0" applyAlignment="1" applyBorder="1" applyFont="1">
      <alignment horizontal="center" readingOrder="0" shrinkToFit="0" vertical="center" wrapText="1"/>
    </xf>
    <xf borderId="1" fillId="3" fontId="1" numFmtId="166" xfId="0" applyAlignment="1" applyBorder="1" applyFont="1" applyNumberFormat="1">
      <alignment horizontal="center" readingOrder="0" shrinkToFit="0" wrapText="1"/>
    </xf>
    <xf borderId="1" fillId="3" fontId="7" numFmtId="165" xfId="0" applyAlignment="1" applyBorder="1" applyFont="1" applyNumberFormat="1">
      <alignment vertical="center"/>
    </xf>
    <xf borderId="1" fillId="3" fontId="1" numFmtId="167" xfId="0" applyAlignment="1" applyBorder="1" applyFont="1" applyNumberFormat="1">
      <alignment horizontal="center" readingOrder="0" shrinkToFit="0" vertical="center" wrapText="1"/>
    </xf>
    <xf borderId="1" fillId="3" fontId="1" numFmtId="0" xfId="0" applyAlignment="1" applyBorder="1" applyFont="1">
      <alignment horizontal="center" readingOrder="0" shrinkToFit="0" vertical="bottom" wrapText="1"/>
    </xf>
    <xf borderId="1" fillId="5" fontId="1" numFmtId="0" xfId="0" applyAlignment="1" applyBorder="1" applyFill="1" applyFont="1">
      <alignment horizontal="center" readingOrder="0" shrinkToFit="0" wrapText="1"/>
    </xf>
    <xf borderId="1" fillId="0" fontId="7" numFmtId="0" xfId="0" applyAlignment="1" applyBorder="1" applyFont="1">
      <alignment shrinkToFit="0" vertical="center" wrapText="0"/>
    </xf>
    <xf borderId="1" fillId="3" fontId="1" numFmtId="165" xfId="0" applyAlignment="1" applyBorder="1" applyFont="1" applyNumberFormat="1">
      <alignment horizontal="center" shrinkToFit="0" wrapText="1"/>
    </xf>
    <xf borderId="1" fillId="3" fontId="1" numFmtId="14" xfId="0" applyAlignment="1" applyBorder="1" applyFont="1" applyNumberFormat="1">
      <alignment horizontal="center" readingOrder="0" shrinkToFit="0" vertical="center" wrapText="1"/>
    </xf>
    <xf borderId="1" fillId="3" fontId="1" numFmtId="10" xfId="0" applyAlignment="1" applyBorder="1" applyFont="1" applyNumberFormat="1">
      <alignment horizontal="center" shrinkToFit="0" wrapText="1"/>
    </xf>
    <xf borderId="1" fillId="3" fontId="10"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1" fillId="6" fontId="1" numFmtId="0" xfId="0" applyAlignment="1" applyBorder="1" applyFill="1" applyFont="1">
      <alignment horizontal="center" readingOrder="0" shrinkToFit="0" vertical="center" wrapText="1"/>
    </xf>
    <xf borderId="1" fillId="3" fontId="6" numFmtId="0" xfId="0" applyAlignment="1" applyBorder="1" applyFont="1">
      <alignment horizontal="center" readingOrder="0" shrinkToFit="0" wrapText="1"/>
    </xf>
    <xf borderId="0" fillId="7" fontId="11" numFmtId="0" xfId="0" applyAlignment="1" applyFill="1" applyFont="1">
      <alignment readingOrder="0"/>
    </xf>
    <xf borderId="1" fillId="6" fontId="1" numFmtId="14" xfId="0" applyAlignment="1" applyBorder="1" applyFont="1" applyNumberFormat="1">
      <alignment horizontal="center" readingOrder="0" shrinkToFit="0" vertical="center" wrapText="1"/>
    </xf>
    <xf borderId="1" fillId="0" fontId="1" numFmtId="10" xfId="0" applyAlignment="1" applyBorder="1" applyFont="1" applyNumberFormat="1">
      <alignment horizontal="center" shrinkToFit="0" wrapText="1"/>
    </xf>
    <xf borderId="1" fillId="3" fontId="1" numFmtId="169" xfId="0" applyAlignment="1" applyBorder="1" applyFont="1" applyNumberFormat="1">
      <alignment horizontal="center" readingOrder="0" shrinkToFit="0" vertical="center" wrapText="1"/>
    </xf>
    <xf borderId="1" fillId="6" fontId="12" numFmtId="0" xfId="0" applyAlignment="1" applyBorder="1" applyFont="1">
      <alignment horizontal="center" readingOrder="0" shrinkToFit="0" vertical="center" wrapText="1"/>
    </xf>
    <xf borderId="1" fillId="3" fontId="7" numFmtId="0" xfId="0" applyAlignment="1" applyBorder="1" applyFont="1">
      <alignment readingOrder="0" shrinkToFit="0" wrapText="0"/>
    </xf>
    <xf borderId="1" fillId="6" fontId="1" numFmtId="0" xfId="0" applyAlignment="1" applyBorder="1" applyFont="1">
      <alignment horizontal="center" readingOrder="0" shrinkToFit="0" wrapText="1"/>
    </xf>
    <xf borderId="1" fillId="6" fontId="1" numFmtId="14" xfId="0" applyAlignment="1" applyBorder="1" applyFont="1" applyNumberFormat="1">
      <alignment horizontal="center" readingOrder="0" shrinkToFit="0" wrapText="1"/>
    </xf>
    <xf borderId="1" fillId="6" fontId="7" numFmtId="0" xfId="0" applyAlignment="1" applyBorder="1" applyFont="1">
      <alignment readingOrder="0" vertical="center"/>
    </xf>
    <xf borderId="1" fillId="0" fontId="1" numFmtId="14" xfId="0" applyAlignment="1" applyBorder="1" applyFont="1" applyNumberFormat="1">
      <alignment horizontal="center" readingOrder="0" shrinkToFit="0" wrapText="1"/>
    </xf>
    <xf borderId="1" fillId="6" fontId="7" numFmtId="9" xfId="0" applyAlignment="1" applyBorder="1" applyFont="1" applyNumberFormat="1">
      <alignment vertical="center"/>
    </xf>
    <xf borderId="0" fillId="6" fontId="7" numFmtId="9" xfId="0" applyAlignment="1" applyFont="1" applyNumberFormat="1">
      <alignment vertical="center"/>
    </xf>
    <xf borderId="1" fillId="3" fontId="13" numFmtId="0" xfId="0" applyAlignment="1" applyBorder="1" applyFont="1">
      <alignment horizontal="center" readingOrder="0" shrinkToFit="0" vertical="center" wrapText="1"/>
    </xf>
    <xf borderId="1" fillId="3" fontId="14" numFmtId="0" xfId="0" applyAlignment="1" applyBorder="1" applyFont="1">
      <alignment horizontal="center" readingOrder="0" shrinkToFit="0" vertical="center" wrapText="1"/>
    </xf>
    <xf borderId="0" fillId="6" fontId="7" numFmtId="0" xfId="0" applyAlignment="1" applyFont="1">
      <alignment readingOrder="0" vertical="center"/>
    </xf>
    <xf borderId="2" fillId="7" fontId="11" numFmtId="0" xfId="0" applyAlignment="1" applyBorder="1" applyFont="1">
      <alignment readingOrder="0"/>
    </xf>
    <xf borderId="1" fillId="0" fontId="1" numFmtId="167" xfId="0" applyAlignment="1" applyBorder="1" applyFont="1" applyNumberFormat="1">
      <alignment horizontal="left" readingOrder="0" shrinkToFit="0" wrapText="1"/>
    </xf>
    <xf borderId="1" fillId="6" fontId="1" numFmtId="167" xfId="0" applyAlignment="1" applyBorder="1" applyFont="1" applyNumberFormat="1">
      <alignment horizontal="center" readingOrder="0" shrinkToFit="0" wrapText="1"/>
    </xf>
    <xf borderId="1" fillId="3" fontId="7" numFmtId="9" xfId="0" applyAlignment="1" applyBorder="1" applyFont="1" applyNumberFormat="1">
      <alignment shrinkToFit="0" wrapText="0"/>
    </xf>
    <xf borderId="0" fillId="8" fontId="15" numFmtId="0" xfId="0" applyAlignment="1" applyFill="1" applyFont="1">
      <alignment readingOrder="0"/>
    </xf>
    <xf borderId="0" fillId="3" fontId="7" numFmtId="0" xfId="0" applyAlignment="1" applyFont="1">
      <alignment readingOrder="0" vertical="center"/>
    </xf>
    <xf borderId="1" fillId="3" fontId="16"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1" fillId="0" fontId="1" numFmtId="0" xfId="0" applyAlignment="1" applyBorder="1" applyFont="1">
      <alignment horizontal="center" shrinkToFit="0" wrapText="1"/>
    </xf>
    <xf borderId="1" fillId="0" fontId="1" numFmtId="165" xfId="0" applyAlignment="1" applyBorder="1" applyFont="1" applyNumberFormat="1">
      <alignment horizontal="center" shrinkToFit="0" wrapText="1"/>
    </xf>
    <xf borderId="1" fillId="0" fontId="7" numFmtId="9" xfId="0" applyAlignment="1" applyBorder="1" applyFont="1" applyNumberFormat="1">
      <alignment vertical="center"/>
    </xf>
    <xf borderId="1" fillId="0" fontId="1" numFmtId="0" xfId="0" applyAlignment="1" applyBorder="1" applyFont="1">
      <alignment readingOrder="0" vertical="center"/>
    </xf>
    <xf borderId="0" fillId="0" fontId="7" numFmtId="9" xfId="0" applyAlignment="1" applyFont="1" applyNumberFormat="1">
      <alignment vertical="center"/>
    </xf>
    <xf borderId="1" fillId="0" fontId="1" numFmtId="165" xfId="0" applyAlignment="1" applyBorder="1" applyFont="1" applyNumberFormat="1">
      <alignment horizontal="center" readingOrder="0" shrinkToFit="0" wrapText="1"/>
    </xf>
    <xf borderId="1" fillId="9" fontId="1" numFmtId="0" xfId="0" applyAlignment="1" applyBorder="1" applyFill="1" applyFont="1">
      <alignment horizontal="center"/>
    </xf>
    <xf borderId="1" fillId="9" fontId="7" numFmtId="166" xfId="0" applyBorder="1" applyFont="1" applyNumberFormat="1"/>
    <xf borderId="0" fillId="0" fontId="1" numFmtId="0" xfId="0" applyAlignment="1" applyFont="1">
      <alignment horizontal="center" readingOrder="0" shrinkToFit="0" vertical="center" wrapText="0"/>
    </xf>
    <xf borderId="1" fillId="9" fontId="1" numFmtId="0" xfId="0" applyAlignment="1" applyBorder="1" applyFont="1">
      <alignment horizontal="center" shrinkToFit="0" wrapText="1"/>
    </xf>
    <xf borderId="0" fillId="0" fontId="1" numFmtId="0" xfId="0" applyAlignment="1" applyFont="1">
      <alignment horizontal="center" readingOrder="0" shrinkToFit="0" vertical="center" wrapText="1"/>
    </xf>
    <xf borderId="1" fillId="9" fontId="7" numFmtId="0" xfId="0" applyBorder="1" applyFont="1"/>
    <xf borderId="0" fillId="0" fontId="1" numFmtId="14" xfId="0" applyAlignment="1" applyFont="1" applyNumberFormat="1">
      <alignment horizontal="center" readingOrder="0" shrinkToFit="0" vertical="center" wrapText="1"/>
    </xf>
    <xf borderId="1" fillId="9" fontId="7" numFmtId="0" xfId="0" applyAlignment="1" applyBorder="1" applyFont="1">
      <alignment horizontal="left"/>
    </xf>
    <xf borderId="0" fillId="3" fontId="6" numFmtId="0" xfId="0" applyAlignment="1" applyFont="1">
      <alignment horizontal="center" readingOrder="0" shrinkToFit="0" wrapText="1"/>
    </xf>
    <xf borderId="1" fillId="9" fontId="7" numFmtId="170" xfId="0" applyAlignment="1" applyBorder="1" applyFont="1" applyNumberFormat="1">
      <alignment vertical="bottom"/>
    </xf>
    <xf borderId="0" fillId="0" fontId="1" numFmtId="0" xfId="0" applyAlignment="1" applyFont="1">
      <alignment horizontal="center" readingOrder="0" shrinkToFit="0" wrapText="1"/>
    </xf>
    <xf borderId="1" fillId="9" fontId="7" numFmtId="0" xfId="0" applyAlignment="1" applyBorder="1" applyFont="1">
      <alignment shrinkToFit="0" vertical="center" wrapText="1"/>
    </xf>
    <xf borderId="0" fillId="0" fontId="1" numFmtId="14" xfId="0" applyAlignment="1" applyFont="1" applyNumberFormat="1">
      <alignment horizontal="center" readingOrder="0" shrinkToFit="0" wrapText="1"/>
    </xf>
    <xf borderId="0" fillId="0" fontId="1" numFmtId="167" xfId="0" applyAlignment="1" applyFont="1" applyNumberFormat="1">
      <alignment horizontal="left" readingOrder="0" shrinkToFit="0" wrapText="1"/>
    </xf>
    <xf borderId="1" fillId="9" fontId="7" numFmtId="0" xfId="0" applyAlignment="1" applyBorder="1" applyFont="1">
      <alignment vertical="bottom"/>
    </xf>
    <xf borderId="1" fillId="9" fontId="7" numFmtId="165" xfId="0" applyAlignment="1" applyBorder="1" applyFont="1" applyNumberFormat="1">
      <alignment vertical="bottom"/>
    </xf>
    <xf borderId="0" fillId="3" fontId="7" numFmtId="9" xfId="0" applyAlignment="1" applyFont="1" applyNumberFormat="1">
      <alignment shrinkToFit="0" wrapText="0"/>
    </xf>
    <xf borderId="0" fillId="0" fontId="1" numFmtId="0" xfId="0" applyAlignment="1" applyFont="1">
      <alignment horizontal="center" readingOrder="0" shrinkToFit="0" wrapText="1"/>
    </xf>
    <xf borderId="1" fillId="9" fontId="7" numFmtId="9" xfId="0" applyBorder="1" applyFont="1" applyNumberFormat="1"/>
    <xf borderId="1" fillId="9" fontId="1" numFmtId="0" xfId="0" applyAlignment="1" applyBorder="1" applyFont="1">
      <alignment readingOrder="0"/>
    </xf>
    <xf borderId="0" fillId="9" fontId="7" numFmtId="9" xfId="0" applyFont="1" applyNumberFormat="1"/>
    <xf borderId="1" fillId="3" fontId="1" numFmtId="0" xfId="0" applyAlignment="1" applyBorder="1" applyFont="1">
      <alignment horizontal="center"/>
    </xf>
    <xf borderId="1" fillId="3" fontId="7" numFmtId="166" xfId="0" applyBorder="1" applyFont="1" applyNumberFormat="1"/>
    <xf borderId="1" fillId="3" fontId="7" numFmtId="0" xfId="0" applyBorder="1" applyFont="1"/>
    <xf borderId="1" fillId="3" fontId="7" numFmtId="0" xfId="0" applyAlignment="1" applyBorder="1" applyFont="1">
      <alignment horizontal="left"/>
    </xf>
    <xf borderId="1" fillId="3" fontId="7" numFmtId="170" xfId="0" applyAlignment="1" applyBorder="1" applyFont="1" applyNumberFormat="1">
      <alignment vertical="bottom"/>
    </xf>
    <xf borderId="1" fillId="3" fontId="7" numFmtId="0" xfId="0" applyAlignment="1" applyBorder="1" applyFont="1">
      <alignment shrinkToFit="0" vertical="center" wrapText="1"/>
    </xf>
    <xf borderId="1" fillId="3" fontId="7" numFmtId="0" xfId="0" applyAlignment="1" applyBorder="1" applyFont="1">
      <alignment vertical="bottom"/>
    </xf>
    <xf borderId="1" fillId="3" fontId="7" numFmtId="165" xfId="0" applyAlignment="1" applyBorder="1" applyFont="1" applyNumberFormat="1">
      <alignment vertical="bottom"/>
    </xf>
    <xf borderId="1" fillId="3" fontId="7" numFmtId="9" xfId="0" applyBorder="1" applyFont="1" applyNumberFormat="1"/>
    <xf borderId="1" fillId="3" fontId="1" numFmtId="0" xfId="0" applyAlignment="1" applyBorder="1" applyFont="1">
      <alignment readingOrder="0"/>
    </xf>
    <xf borderId="0" fillId="3" fontId="7" numFmtId="9" xfId="0" applyFont="1" applyNumberFormat="1"/>
    <xf borderId="1" fillId="0" fontId="1" numFmtId="167" xfId="0" applyAlignment="1" applyBorder="1" applyFont="1" applyNumberFormat="1">
      <alignment horizontal="center" readingOrder="0" shrinkToFit="0" wrapText="1"/>
    </xf>
    <xf borderId="1" fillId="0" fontId="17" numFmtId="0" xfId="0" applyAlignment="1" applyBorder="1" applyFont="1">
      <alignment horizontal="center" readingOrder="0" shrinkToFit="0" wrapText="1"/>
    </xf>
    <xf borderId="1" fillId="0" fontId="1" numFmtId="165" xfId="0" applyAlignment="1" applyBorder="1" applyFont="1" applyNumberFormat="1">
      <alignment horizontal="center" readingOrder="0" shrinkToFit="0" wrapText="1"/>
    </xf>
    <xf borderId="1" fillId="3" fontId="7" numFmtId="0" xfId="0" applyAlignment="1" applyBorder="1" applyFont="1">
      <alignment readingOrder="0" vertical="center"/>
    </xf>
    <xf borderId="1" fillId="10" fontId="1" numFmtId="0" xfId="0" applyAlignment="1" applyBorder="1" applyFill="1" applyFont="1">
      <alignment horizontal="center" readingOrder="0" shrinkToFit="0" vertical="bottom" wrapText="1"/>
    </xf>
    <xf borderId="0" fillId="0" fontId="7" numFmtId="9" xfId="0" applyAlignment="1" applyFont="1" applyNumberFormat="1">
      <alignment vertical="center"/>
    </xf>
    <xf borderId="1" fillId="10" fontId="1" numFmtId="0" xfId="0" applyAlignment="1" applyBorder="1" applyFont="1">
      <alignment horizontal="center" readingOrder="0" shrinkToFit="0" vertical="center" wrapText="0"/>
    </xf>
    <xf borderId="1" fillId="10" fontId="1" numFmtId="0" xfId="0" applyAlignment="1" applyBorder="1" applyFont="1">
      <alignment horizontal="center" readingOrder="0" shrinkToFit="0" vertical="center" wrapText="1"/>
    </xf>
    <xf borderId="1" fillId="10" fontId="1" numFmtId="14" xfId="0" applyAlignment="1" applyBorder="1" applyFont="1" applyNumberFormat="1">
      <alignment horizontal="center" readingOrder="0" shrinkToFit="0" vertical="center" wrapText="1"/>
    </xf>
    <xf borderId="1" fillId="10" fontId="1" numFmtId="0" xfId="0" applyAlignment="1" applyBorder="1" applyFont="1">
      <alignment horizontal="left" readingOrder="0" shrinkToFit="0" vertical="center" wrapText="1"/>
    </xf>
    <xf borderId="1" fillId="10" fontId="18" numFmtId="0" xfId="0" applyAlignment="1" applyBorder="1" applyFont="1">
      <alignment horizontal="center" readingOrder="0" shrinkToFit="0" vertical="center" wrapText="1"/>
    </xf>
    <xf borderId="1" fillId="10" fontId="1" numFmtId="0" xfId="0" applyAlignment="1" applyBorder="1" applyFont="1">
      <alignment horizontal="center" readingOrder="0" shrinkToFit="0" wrapText="1"/>
    </xf>
    <xf borderId="1" fillId="10" fontId="1" numFmtId="10" xfId="0" applyAlignment="1" applyBorder="1" applyFont="1" applyNumberFormat="1">
      <alignment horizontal="center" shrinkToFit="0" wrapText="1"/>
    </xf>
    <xf borderId="1" fillId="10" fontId="7" numFmtId="0" xfId="0" applyAlignment="1" applyBorder="1" applyFont="1">
      <alignment readingOrder="0" vertical="center"/>
    </xf>
    <xf borderId="1" fillId="10" fontId="2" numFmtId="0" xfId="0" applyAlignment="1" applyBorder="1" applyFont="1">
      <alignment vertical="center"/>
    </xf>
    <xf borderId="0" fillId="10" fontId="2" numFmtId="0" xfId="0" applyAlignment="1" applyFont="1">
      <alignment vertical="center"/>
    </xf>
    <xf borderId="1" fillId="5" fontId="1" numFmtId="0" xfId="0" applyAlignment="1" applyBorder="1" applyFont="1">
      <alignment horizontal="center" readingOrder="0" shrinkToFit="0" vertical="center" wrapText="0"/>
    </xf>
    <xf borderId="1" fillId="5" fontId="1" numFmtId="0" xfId="0" applyAlignment="1" applyBorder="1" applyFont="1">
      <alignment horizontal="center" readingOrder="0" shrinkToFit="0" vertical="center" wrapText="1"/>
    </xf>
    <xf borderId="1" fillId="5" fontId="1" numFmtId="14" xfId="0" applyAlignment="1" applyBorder="1" applyFont="1" applyNumberFormat="1">
      <alignment horizontal="center" readingOrder="0" shrinkToFit="0" vertical="center" wrapText="1"/>
    </xf>
    <xf borderId="1" fillId="5" fontId="1" numFmtId="0" xfId="0" applyAlignment="1" applyBorder="1" applyFont="1">
      <alignment horizontal="left" readingOrder="0" shrinkToFit="0" vertical="center" wrapText="1"/>
    </xf>
    <xf borderId="1" fillId="11" fontId="19" numFmtId="0" xfId="0" applyAlignment="1" applyBorder="1" applyFill="1" applyFont="1">
      <alignment horizontal="center" readingOrder="0" shrinkToFit="0" wrapText="1"/>
    </xf>
    <xf borderId="3" fillId="2" fontId="1" numFmtId="0" xfId="0" applyAlignment="1" applyBorder="1" applyFont="1">
      <alignment horizontal="center" shrinkToFit="0" vertical="center" wrapText="1"/>
    </xf>
    <xf borderId="1" fillId="5" fontId="1" numFmtId="165" xfId="0" applyAlignment="1" applyBorder="1" applyFont="1" applyNumberFormat="1">
      <alignment horizontal="center" readingOrder="0" shrinkToFit="0" wrapText="1"/>
    </xf>
    <xf borderId="3" fillId="2" fontId="1" numFmtId="165" xfId="0" applyAlignment="1" applyBorder="1" applyFont="1" applyNumberFormat="1">
      <alignment horizontal="center" shrinkToFit="0" vertical="center" wrapText="1"/>
    </xf>
    <xf borderId="1" fillId="5" fontId="7" numFmtId="0" xfId="0" applyAlignment="1" applyBorder="1" applyFont="1">
      <alignment readingOrder="0" vertical="center"/>
    </xf>
    <xf borderId="1" fillId="5" fontId="7" numFmtId="9" xfId="0" applyAlignment="1" applyBorder="1" applyFont="1" applyNumberFormat="1">
      <alignment vertical="center"/>
    </xf>
    <xf borderId="0" fillId="5" fontId="7" numFmtId="9" xfId="0" applyAlignment="1" applyFont="1" applyNumberFormat="1">
      <alignment vertical="center"/>
    </xf>
    <xf borderId="1" fillId="0" fontId="1" numFmtId="166" xfId="0" applyAlignment="1" applyBorder="1" applyFont="1" applyNumberFormat="1">
      <alignment horizontal="center" readingOrder="0" shrinkToFit="0" vertical="center" wrapText="1"/>
    </xf>
    <xf borderId="1" fillId="10" fontId="1" numFmtId="0" xfId="0" applyAlignment="1" applyBorder="1" applyFont="1">
      <alignment horizontal="left" readingOrder="0" shrinkToFit="0" vertical="bottom" wrapText="1"/>
    </xf>
    <xf borderId="1" fillId="6" fontId="1" numFmtId="0" xfId="0" applyAlignment="1" applyBorder="1" applyFont="1">
      <alignment horizontal="center" readingOrder="0" vertical="center"/>
    </xf>
    <xf borderId="1" fillId="10" fontId="20" numFmtId="0" xfId="0" applyAlignment="1" applyBorder="1" applyFont="1">
      <alignment horizontal="center" readingOrder="0" shrinkToFit="0" vertical="bottom" wrapText="1"/>
    </xf>
    <xf borderId="1" fillId="0" fontId="1" numFmtId="10" xfId="0" applyAlignment="1" applyBorder="1" applyFont="1" applyNumberFormat="1">
      <alignment horizontal="center" shrinkToFit="0" wrapText="1"/>
    </xf>
    <xf borderId="1" fillId="6" fontId="1" numFmtId="166" xfId="0" applyAlignment="1" applyBorder="1" applyFont="1" applyNumberFormat="1">
      <alignment horizontal="center" readingOrder="0" shrinkToFit="0" vertical="center" wrapText="1"/>
    </xf>
    <xf borderId="1" fillId="10" fontId="1" numFmtId="165" xfId="0" applyAlignment="1" applyBorder="1" applyFont="1" applyNumberFormat="1">
      <alignment horizontal="center" shrinkToFit="0" vertical="bottom" wrapText="1"/>
    </xf>
    <xf borderId="1" fillId="3" fontId="7" numFmtId="10" xfId="0" applyAlignment="1" applyBorder="1" applyFont="1" applyNumberFormat="1">
      <alignment vertical="center"/>
    </xf>
    <xf borderId="1" fillId="10" fontId="7" numFmtId="0" xfId="0" applyAlignment="1" applyBorder="1" applyFont="1">
      <alignment vertical="bottom"/>
    </xf>
    <xf borderId="0" fillId="0" fontId="2" numFmtId="0" xfId="0" applyAlignment="1" applyFont="1">
      <alignment vertical="center"/>
    </xf>
    <xf borderId="1" fillId="0" fontId="7" numFmtId="0" xfId="0" applyAlignment="1" applyBorder="1" applyFont="1">
      <alignment readingOrder="0" vertical="center"/>
    </xf>
    <xf borderId="0" fillId="0" fontId="2" numFmtId="0" xfId="0" applyAlignment="1" applyFont="1">
      <alignment readingOrder="0" vertical="center"/>
    </xf>
    <xf borderId="1" fillId="10" fontId="1" numFmtId="9" xfId="0" applyAlignment="1" applyBorder="1" applyFont="1" applyNumberFormat="1">
      <alignment horizontal="center" shrinkToFit="0" vertical="bottom" wrapText="1"/>
    </xf>
    <xf borderId="1" fillId="6" fontId="21" numFmtId="0" xfId="0" applyAlignment="1" applyBorder="1" applyFont="1">
      <alignment horizontal="center" readingOrder="0" shrinkToFit="0" vertical="center" wrapText="1"/>
    </xf>
    <xf borderId="0" fillId="10" fontId="1" numFmtId="9" xfId="0" applyAlignment="1" applyFont="1" applyNumberFormat="1">
      <alignment horizontal="center" shrinkToFit="0" vertical="bottom" wrapText="1"/>
    </xf>
    <xf borderId="1" fillId="6" fontId="7" numFmtId="165" xfId="0" applyAlignment="1" applyBorder="1" applyFont="1" applyNumberFormat="1">
      <alignment vertical="center"/>
    </xf>
    <xf borderId="1" fillId="6" fontId="7" numFmtId="0" xfId="0" applyAlignment="1" applyBorder="1" applyFont="1">
      <alignment vertical="center"/>
    </xf>
    <xf borderId="1" fillId="6" fontId="1" numFmtId="0" xfId="0" applyAlignment="1" applyBorder="1" applyFont="1">
      <alignment horizontal="center" shrinkToFit="0" vertical="center" wrapText="1"/>
    </xf>
    <xf borderId="1" fillId="0" fontId="1" numFmtId="166" xfId="0" applyAlignment="1" applyBorder="1" applyFont="1" applyNumberFormat="1">
      <alignment horizontal="center" readingOrder="0" shrinkToFit="0" wrapText="1"/>
    </xf>
    <xf borderId="1" fillId="6" fontId="22" numFmtId="0" xfId="0" applyAlignment="1" applyBorder="1" applyFont="1">
      <alignment horizontal="center" readingOrder="0" shrinkToFit="0" vertical="center" wrapText="1"/>
    </xf>
    <xf borderId="1" fillId="6" fontId="1" numFmtId="167"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0"/>
    </xf>
    <xf borderId="1" fillId="0" fontId="1" numFmtId="166" xfId="0" applyAlignment="1" applyBorder="1" applyFont="1" applyNumberFormat="1">
      <alignment horizontal="center" readingOrder="0" shrinkToFit="0" vertical="center" wrapText="1"/>
    </xf>
    <xf borderId="1" fillId="3" fontId="23" numFmtId="0" xfId="0" applyAlignment="1" applyBorder="1" applyFont="1">
      <alignment horizontal="center" shrinkToFit="0" wrapText="1"/>
    </xf>
    <xf borderId="0" fillId="0" fontId="2" numFmtId="0" xfId="0" applyAlignment="1" applyFont="1">
      <alignment readingOrder="0"/>
    </xf>
    <xf borderId="1" fillId="3" fontId="1" numFmtId="0" xfId="0" applyAlignment="1" applyBorder="1" applyFont="1">
      <alignment horizontal="center" readingOrder="0"/>
    </xf>
    <xf borderId="1" fillId="3" fontId="7" numFmtId="0" xfId="0" applyAlignment="1" applyBorder="1" applyFont="1">
      <alignment vertical="center"/>
    </xf>
    <xf borderId="1" fillId="3" fontId="1" numFmtId="0" xfId="0" applyAlignment="1" applyBorder="1" applyFont="1">
      <alignment horizontal="center" readingOrder="0" shrinkToFit="0" wrapText="1"/>
    </xf>
    <xf borderId="1" fillId="12" fontId="1" numFmtId="0" xfId="0" applyAlignment="1" applyBorder="1" applyFill="1" applyFont="1">
      <alignment horizontal="center" readingOrder="0" shrinkToFit="0" vertical="bottom" wrapText="1"/>
    </xf>
    <xf borderId="1" fillId="3" fontId="1" numFmtId="0" xfId="0" applyAlignment="1" applyBorder="1" applyFont="1">
      <alignment horizontal="left" readingOrder="0" shrinkToFit="0" wrapText="1"/>
    </xf>
    <xf borderId="0" fillId="12" fontId="1" numFmtId="0" xfId="0" applyAlignment="1" applyFont="1">
      <alignment horizontal="center" readingOrder="0" shrinkToFit="0" vertical="bottom" wrapText="1"/>
    </xf>
    <xf borderId="1" fillId="0" fontId="1" numFmtId="0" xfId="0" applyAlignment="1" applyBorder="1" applyFont="1">
      <alignment horizontal="center" shrinkToFit="0" wrapText="1"/>
    </xf>
    <xf borderId="1" fillId="3" fontId="24" numFmtId="0" xfId="0" applyAlignment="1" applyBorder="1" applyFont="1">
      <alignment horizontal="center" readingOrder="0" shrinkToFit="0" vertical="bottom" wrapText="1"/>
    </xf>
    <xf borderId="1" fillId="3" fontId="7" numFmtId="165" xfId="0" applyAlignment="1" applyBorder="1" applyFont="1" applyNumberFormat="1">
      <alignment vertical="bottom"/>
    </xf>
    <xf borderId="1" fillId="3" fontId="1" numFmtId="165" xfId="0" applyAlignment="1" applyBorder="1" applyFont="1" applyNumberFormat="1">
      <alignment horizontal="center" readingOrder="0" shrinkToFit="0" vertical="bottom" wrapText="1"/>
    </xf>
    <xf borderId="1" fillId="3" fontId="7" numFmtId="0" xfId="0" applyBorder="1" applyFont="1"/>
    <xf borderId="1" fillId="3" fontId="7" numFmtId="14" xfId="0" applyAlignment="1" applyBorder="1" applyFont="1" applyNumberFormat="1">
      <alignment readingOrder="0" vertical="center"/>
    </xf>
    <xf borderId="1" fillId="3" fontId="7" numFmtId="9" xfId="0" applyBorder="1" applyFont="1" applyNumberFormat="1"/>
    <xf borderId="0" fillId="3" fontId="7" numFmtId="9" xfId="0" applyFont="1" applyNumberFormat="1"/>
    <xf borderId="1" fillId="10" fontId="1" numFmtId="0" xfId="0" applyAlignment="1" applyBorder="1" applyFont="1">
      <alignment horizontal="center" readingOrder="0"/>
    </xf>
    <xf borderId="1" fillId="10" fontId="8" numFmtId="14" xfId="0" applyAlignment="1" applyBorder="1" applyFont="1" applyNumberFormat="1">
      <alignment horizontal="center" readingOrder="0"/>
    </xf>
    <xf borderId="1" fillId="10" fontId="8" numFmtId="0" xfId="0" applyAlignment="1" applyBorder="1" applyFont="1">
      <alignment horizontal="center" readingOrder="0"/>
    </xf>
    <xf borderId="1" fillId="5" fontId="1" numFmtId="0" xfId="0" applyAlignment="1" applyBorder="1" applyFont="1">
      <alignment horizontal="center" readingOrder="0" shrinkToFit="0" vertical="bottom" wrapText="1"/>
    </xf>
    <xf borderId="1" fillId="10" fontId="8" numFmtId="0" xfId="0" applyAlignment="1" applyBorder="1" applyFont="1">
      <alignment horizontal="left" readingOrder="0"/>
    </xf>
    <xf borderId="0" fillId="5" fontId="1" numFmtId="0" xfId="0" applyAlignment="1" applyFont="1">
      <alignment horizontal="center" readingOrder="0" shrinkToFit="0" vertical="bottom" wrapText="1"/>
    </xf>
    <xf borderId="1" fillId="10" fontId="8" numFmtId="0" xfId="0" applyAlignment="1" applyBorder="1" applyFont="1">
      <alignment horizontal="center"/>
    </xf>
    <xf borderId="0" fillId="6" fontId="1" numFmtId="0" xfId="0" applyAlignment="1" applyFont="1">
      <alignment horizontal="center" readingOrder="0" vertical="center"/>
    </xf>
    <xf borderId="1" fillId="10" fontId="8" numFmtId="167" xfId="0" applyAlignment="1" applyBorder="1" applyFont="1" applyNumberFormat="1">
      <alignment horizontal="center" readingOrder="0"/>
    </xf>
    <xf borderId="0" fillId="6" fontId="1" numFmtId="0" xfId="0" applyAlignment="1" applyFont="1">
      <alignment horizontal="center" readingOrder="0" shrinkToFit="0" vertical="center" wrapText="1"/>
    </xf>
    <xf borderId="1" fillId="10" fontId="1" numFmtId="0" xfId="0" applyAlignment="1" applyBorder="1" applyFont="1">
      <alignment horizontal="center"/>
    </xf>
    <xf borderId="0" fillId="0" fontId="1" numFmtId="0" xfId="0" applyAlignment="1" applyFont="1">
      <alignment horizontal="center" readingOrder="0" shrinkToFit="0" vertical="center" wrapText="1"/>
    </xf>
    <xf borderId="0" fillId="6" fontId="1" numFmtId="14" xfId="0" applyAlignment="1" applyFont="1" applyNumberFormat="1">
      <alignment horizontal="center" readingOrder="0" shrinkToFit="0" vertical="center" wrapText="1"/>
    </xf>
    <xf borderId="1" fillId="10" fontId="1" numFmtId="9" xfId="0" applyAlignment="1" applyBorder="1" applyFont="1" applyNumberFormat="1">
      <alignment horizontal="center"/>
    </xf>
    <xf borderId="0" fillId="0" fontId="1" numFmtId="166" xfId="0" applyAlignment="1" applyFont="1" applyNumberFormat="1">
      <alignment horizontal="center" readingOrder="0" shrinkToFit="0" vertical="center" wrapText="1"/>
    </xf>
    <xf borderId="0" fillId="6" fontId="25" numFmtId="0" xfId="0" applyAlignment="1" applyFont="1">
      <alignment horizontal="center" readingOrder="0" shrinkToFit="0" vertical="center" wrapText="1"/>
    </xf>
    <xf borderId="0" fillId="10" fontId="1" numFmtId="9" xfId="0" applyAlignment="1" applyFont="1" applyNumberFormat="1">
      <alignment horizontal="center"/>
    </xf>
    <xf borderId="0" fillId="3" fontId="26" numFmtId="0" xfId="0" applyAlignment="1" applyFont="1">
      <alignment horizontal="center" readingOrder="0" shrinkToFit="0" vertical="center" wrapText="1"/>
    </xf>
    <xf borderId="0" fillId="6" fontId="7" numFmtId="165" xfId="0" applyAlignment="1" applyFont="1" applyNumberFormat="1">
      <alignment vertical="center"/>
    </xf>
    <xf borderId="0" fillId="0" fontId="1" numFmtId="165" xfId="0" applyAlignment="1" applyFont="1" applyNumberFormat="1">
      <alignment horizontal="center" shrinkToFit="0" wrapText="1"/>
    </xf>
    <xf borderId="0" fillId="6" fontId="1" numFmtId="167" xfId="0" applyAlignment="1" applyFont="1" applyNumberFormat="1">
      <alignment horizontal="center" readingOrder="0" shrinkToFit="0" vertical="center" wrapText="1"/>
    </xf>
    <xf borderId="0" fillId="3" fontId="7" numFmtId="10" xfId="0" applyAlignment="1" applyFont="1" applyNumberFormat="1">
      <alignment vertical="center"/>
    </xf>
    <xf borderId="1" fillId="10" fontId="8" numFmtId="166" xfId="0" applyAlignment="1" applyBorder="1" applyFont="1" applyNumberFormat="1">
      <alignment horizontal="center" readingOrder="0"/>
    </xf>
    <xf borderId="0" fillId="0" fontId="7" numFmtId="0" xfId="0" applyAlignment="1" applyFont="1">
      <alignment readingOrder="0" vertical="center"/>
    </xf>
    <xf borderId="0" fillId="6" fontId="7" numFmtId="0" xfId="0" applyAlignment="1" applyFont="1">
      <alignment vertical="center"/>
    </xf>
    <xf borderId="0" fillId="0" fontId="2" numFmtId="9" xfId="0" applyAlignment="1" applyFont="1" applyNumberFormat="1">
      <alignment vertical="center"/>
    </xf>
    <xf borderId="1" fillId="10" fontId="8" numFmtId="0" xfId="0" applyAlignment="1" applyBorder="1" applyFont="1">
      <alignment horizontal="center"/>
    </xf>
    <xf borderId="1" fillId="10" fontId="8" numFmtId="0" xfId="0" applyAlignment="1" applyBorder="1" applyFont="1">
      <alignment horizontal="center" readingOrder="0" shrinkToFit="0" vertical="center" wrapText="1"/>
    </xf>
    <xf borderId="1" fillId="10" fontId="8" numFmtId="165" xfId="0" applyAlignment="1" applyBorder="1" applyFont="1" applyNumberFormat="1">
      <alignment horizontal="center"/>
    </xf>
    <xf borderId="1" fillId="10" fontId="8" numFmtId="165" xfId="0" applyAlignment="1" applyBorder="1" applyFont="1" applyNumberFormat="1">
      <alignment horizontal="center" readingOrder="0"/>
    </xf>
    <xf borderId="1" fillId="10" fontId="1" numFmtId="0" xfId="0" applyAlignment="1" applyBorder="1" applyFont="1">
      <alignment horizontal="center" shrinkToFit="0" wrapText="1"/>
    </xf>
    <xf borderId="3" fillId="13" fontId="27" numFmtId="0" xfId="0" applyAlignment="1" applyBorder="1" applyFill="1" applyFont="1">
      <alignment horizontal="center" readingOrder="0" shrinkToFit="0" vertical="center" wrapText="1"/>
    </xf>
    <xf borderId="4" fillId="0" fontId="28" numFmtId="0" xfId="0" applyBorder="1" applyFont="1"/>
    <xf borderId="5" fillId="0" fontId="28" numFmtId="0" xfId="0" applyBorder="1" applyFont="1"/>
    <xf borderId="0" fillId="13" fontId="27" numFmtId="0" xfId="0" applyAlignment="1" applyFont="1">
      <alignment horizontal="center" readingOrder="0" shrinkToFit="0" vertical="center" wrapText="1"/>
    </xf>
    <xf borderId="1" fillId="0" fontId="1" numFmtId="0" xfId="0" applyAlignment="1" applyBorder="1" applyFont="1">
      <alignment horizontal="center" readingOrder="0" shrinkToFit="0" vertical="bottom" wrapText="1"/>
    </xf>
    <xf borderId="1" fillId="12" fontId="29" numFmtId="0" xfId="0" applyAlignment="1" applyBorder="1" applyFont="1">
      <alignment horizontal="center" readingOrder="0" shrinkToFit="0" vertical="bottom" wrapText="1"/>
    </xf>
    <xf borderId="1" fillId="12" fontId="1" numFmtId="0" xfId="0" applyAlignment="1" applyBorder="1" applyFont="1">
      <alignment horizontal="center" shrinkToFit="0" vertical="bottom" wrapText="1"/>
    </xf>
    <xf borderId="1" fillId="2" fontId="1" numFmtId="0" xfId="0" applyAlignment="1" applyBorder="1" applyFont="1">
      <alignment horizontal="center" readingOrder="0" shrinkToFit="0" wrapText="1"/>
    </xf>
    <xf borderId="1" fillId="12" fontId="7" numFmtId="10" xfId="0" applyAlignment="1" applyBorder="1" applyFont="1" applyNumberFormat="1">
      <alignment vertical="bottom"/>
    </xf>
    <xf borderId="1" fillId="12" fontId="7" numFmtId="0" xfId="0" applyAlignment="1" applyBorder="1" applyFont="1">
      <alignment vertical="bottom"/>
    </xf>
    <xf borderId="1" fillId="2" fontId="1" numFmtId="0" xfId="0" applyAlignment="1" applyBorder="1" applyFont="1">
      <alignment horizontal="center" shrinkToFit="0" wrapText="1"/>
    </xf>
    <xf borderId="1" fillId="12" fontId="7" numFmtId="0" xfId="0" applyAlignment="1" applyBorder="1" applyFont="1">
      <alignment readingOrder="0" vertical="bottom"/>
    </xf>
    <xf borderId="1" fillId="2" fontId="1" numFmtId="164" xfId="0" applyAlignment="1" applyBorder="1" applyFont="1" applyNumberFormat="1">
      <alignment horizontal="center" shrinkToFit="0" wrapText="1"/>
    </xf>
    <xf borderId="1" fillId="12" fontId="1" numFmtId="9" xfId="0" applyAlignment="1" applyBorder="1" applyFont="1" applyNumberFormat="1">
      <alignment horizontal="center" shrinkToFit="0" vertical="bottom" wrapText="1"/>
    </xf>
    <xf borderId="1" fillId="2" fontId="1" numFmtId="165" xfId="0" applyAlignment="1" applyBorder="1" applyFont="1" applyNumberFormat="1">
      <alignment horizontal="center" shrinkToFit="0" wrapText="1"/>
    </xf>
    <xf borderId="0" fillId="2" fontId="1" numFmtId="0" xfId="0" applyAlignment="1" applyFont="1">
      <alignment horizontal="center" readingOrder="0" shrinkToFit="0" wrapText="1"/>
    </xf>
    <xf borderId="1" fillId="14" fontId="1" numFmtId="0" xfId="0" applyAlignment="1" applyBorder="1" applyFill="1" applyFont="1">
      <alignment horizontal="center" readingOrder="0" shrinkToFit="0" vertical="center" wrapText="1"/>
    </xf>
    <xf borderId="1" fillId="14" fontId="1" numFmtId="0" xfId="0" applyAlignment="1" applyBorder="1" applyFont="1">
      <alignment horizontal="center" readingOrder="0" shrinkToFit="0" vertical="center" wrapText="1"/>
    </xf>
    <xf borderId="1" fillId="14" fontId="1" numFmtId="166" xfId="0" applyAlignment="1" applyBorder="1" applyFont="1" applyNumberFormat="1">
      <alignment horizontal="center" readingOrder="0" shrinkToFit="0" vertical="center" wrapText="1"/>
    </xf>
    <xf borderId="1" fillId="14" fontId="1" numFmtId="0" xfId="0" applyAlignment="1" applyBorder="1" applyFont="1">
      <alignment horizontal="center" shrinkToFit="0" vertical="center" wrapText="1"/>
    </xf>
    <xf borderId="1" fillId="14" fontId="30" numFmtId="0" xfId="0" applyAlignment="1" applyBorder="1" applyFont="1">
      <alignment horizontal="center" readingOrder="0" shrinkToFit="0" vertical="center" wrapText="1"/>
    </xf>
    <xf borderId="1" fillId="14" fontId="7" numFmtId="9" xfId="0" applyAlignment="1" applyBorder="1" applyFont="1" applyNumberFormat="1">
      <alignment vertical="center"/>
    </xf>
    <xf borderId="1" fillId="14" fontId="7" numFmtId="0" xfId="0" applyAlignment="1" applyBorder="1" applyFont="1">
      <alignment vertical="center"/>
    </xf>
    <xf borderId="0" fillId="14" fontId="7" numFmtId="9" xfId="0" applyAlignment="1" applyFont="1" applyNumberFormat="1">
      <alignment vertical="center"/>
    </xf>
    <xf borderId="1" fillId="14" fontId="7" numFmtId="0" xfId="0" applyAlignment="1" applyBorder="1" applyFont="1">
      <alignment readingOrder="0" vertical="center"/>
    </xf>
    <xf borderId="0" fillId="10" fontId="1" numFmtId="0" xfId="0" applyAlignment="1" applyFont="1">
      <alignment readingOrder="0" vertical="center"/>
    </xf>
    <xf borderId="1" fillId="10" fontId="1" numFmtId="0" xfId="0" applyAlignment="1" applyBorder="1" applyFont="1">
      <alignment readingOrder="0" vertical="center"/>
    </xf>
    <xf borderId="1" fillId="12" fontId="7" numFmtId="10" xfId="0" applyAlignment="1" applyBorder="1" applyFont="1" applyNumberFormat="1">
      <alignment readingOrder="0" vertical="bottom"/>
    </xf>
    <xf borderId="1" fillId="14" fontId="7" numFmtId="0" xfId="0" applyAlignment="1" applyBorder="1" applyFont="1">
      <alignment shrinkToFit="0" vertical="center" wrapText="0"/>
    </xf>
    <xf borderId="1" fillId="3" fontId="7" numFmtId="165" xfId="0" applyAlignment="1" applyBorder="1" applyFont="1" applyNumberFormat="1">
      <alignment vertical="center"/>
    </xf>
    <xf borderId="1" fillId="3" fontId="1" numFmtId="14" xfId="0" applyAlignment="1" applyBorder="1" applyFont="1" applyNumberFormat="1">
      <alignment horizontal="center" readingOrder="0" shrinkToFit="0" vertical="center" wrapText="1"/>
    </xf>
    <xf borderId="1" fillId="3" fontId="1" numFmtId="0" xfId="0" applyAlignment="1" applyBorder="1" applyFont="1">
      <alignment horizontal="center" shrinkToFit="0" vertical="center" wrapText="1"/>
    </xf>
    <xf borderId="1" fillId="3" fontId="7" numFmtId="9" xfId="0" applyAlignment="1" applyBorder="1" applyFont="1" applyNumberFormat="1">
      <alignment vertical="center"/>
    </xf>
    <xf borderId="0" fillId="0" fontId="1" numFmtId="10" xfId="0" applyAlignment="1" applyFont="1" applyNumberFormat="1">
      <alignment horizontal="center" shrinkToFit="0" wrapText="1"/>
    </xf>
    <xf borderId="1" fillId="3" fontId="1" numFmtId="0" xfId="0" applyAlignment="1" applyBorder="1" applyFont="1">
      <alignment readingOrder="0" vertical="center"/>
    </xf>
    <xf borderId="0" fillId="3" fontId="7" numFmtId="0" xfId="0" applyAlignment="1" applyFont="1">
      <alignment vertical="center"/>
    </xf>
    <xf borderId="1" fillId="14" fontId="7" numFmtId="0" xfId="0" applyAlignment="1" applyBorder="1" applyFont="1">
      <alignment readingOrder="0" shrinkToFit="0" vertical="center" wrapText="0"/>
    </xf>
    <xf borderId="1" fillId="5" fontId="31" numFmtId="0" xfId="0" applyAlignment="1" applyBorder="1" applyFont="1">
      <alignment horizontal="center" readingOrder="0" shrinkToFit="0" vertical="center" wrapText="1"/>
    </xf>
    <xf borderId="1" fillId="0" fontId="2" numFmtId="0" xfId="0" applyAlignment="1" applyBorder="1" applyFont="1">
      <alignment vertical="center"/>
    </xf>
    <xf borderId="1" fillId="10" fontId="1" numFmtId="0" xfId="0" applyAlignment="1" applyBorder="1" applyFont="1">
      <alignment horizontal="center" readingOrder="0" vertical="center"/>
    </xf>
    <xf borderId="1" fillId="5" fontId="1" numFmtId="0" xfId="0" applyAlignment="1" applyBorder="1" applyFont="1">
      <alignment horizontal="center" shrinkToFit="0" wrapText="1"/>
    </xf>
    <xf borderId="1" fillId="5" fontId="1" numFmtId="10" xfId="0" applyAlignment="1" applyBorder="1" applyFont="1" applyNumberFormat="1">
      <alignment horizontal="center" shrinkToFit="0" wrapText="1"/>
    </xf>
    <xf borderId="1" fillId="10" fontId="1" numFmtId="166" xfId="0" applyAlignment="1" applyBorder="1" applyFont="1" applyNumberFormat="1">
      <alignment horizontal="center" readingOrder="0" shrinkToFit="0" vertical="center" wrapText="1"/>
    </xf>
    <xf borderId="1" fillId="10" fontId="7" numFmtId="165" xfId="0" applyAlignment="1" applyBorder="1" applyFont="1" applyNumberFormat="1">
      <alignment vertical="center"/>
    </xf>
    <xf borderId="1" fillId="10" fontId="1" numFmtId="167" xfId="0" applyAlignment="1" applyBorder="1" applyFont="1" applyNumberFormat="1">
      <alignment horizontal="center" readingOrder="0" shrinkToFit="0" vertical="center" wrapText="1"/>
    </xf>
    <xf borderId="1" fillId="5" fontId="1" numFmtId="0" xfId="0" applyAlignment="1" applyBorder="1" applyFont="1">
      <alignment horizontal="center"/>
    </xf>
    <xf borderId="1" fillId="0" fontId="2" numFmtId="0" xfId="0" applyAlignment="1" applyBorder="1" applyFont="1">
      <alignment readingOrder="0" vertical="center"/>
    </xf>
    <xf borderId="1" fillId="10" fontId="7" numFmtId="0" xfId="0" applyAlignment="1" applyBorder="1" applyFont="1">
      <alignment vertical="center"/>
    </xf>
    <xf borderId="1" fillId="5" fontId="1" numFmtId="166" xfId="0" applyAlignment="1" applyBorder="1" applyFont="1" applyNumberFormat="1">
      <alignment horizontal="center" shrinkToFit="0" wrapText="1"/>
    </xf>
    <xf borderId="1" fillId="10" fontId="7" numFmtId="9" xfId="0" applyAlignment="1" applyBorder="1" applyFont="1" applyNumberFormat="1">
      <alignment vertical="center"/>
    </xf>
    <xf borderId="1" fillId="5" fontId="32" numFmtId="0" xfId="0" applyAlignment="1" applyBorder="1" applyFont="1">
      <alignment horizontal="center" shrinkToFit="0" wrapText="1"/>
    </xf>
    <xf borderId="1" fillId="5" fontId="1" numFmtId="0" xfId="0" applyAlignment="1" applyBorder="1" applyFont="1">
      <alignment horizontal="center" shrinkToFit="0" vertical="bottom" wrapText="1"/>
    </xf>
    <xf borderId="1" fillId="5" fontId="7" numFmtId="165" xfId="0" applyAlignment="1" applyBorder="1" applyFont="1" applyNumberFormat="1">
      <alignment vertical="bottom"/>
    </xf>
    <xf borderId="1" fillId="3" fontId="1" numFmtId="14" xfId="0" applyAlignment="1" applyBorder="1" applyFont="1" applyNumberFormat="1">
      <alignment horizontal="center" readingOrder="0" shrinkToFit="0" wrapText="1"/>
    </xf>
    <xf borderId="1" fillId="5" fontId="7" numFmtId="10" xfId="0" applyAlignment="1" applyBorder="1" applyFont="1" applyNumberFormat="1">
      <alignment vertical="bottom"/>
    </xf>
    <xf borderId="1" fillId="5" fontId="7" numFmtId="0" xfId="0" applyBorder="1" applyFont="1"/>
    <xf borderId="0" fillId="3" fontId="2" numFmtId="0" xfId="0" applyAlignment="1" applyFont="1">
      <alignment readingOrder="0" vertical="center"/>
    </xf>
    <xf borderId="1" fillId="5" fontId="7" numFmtId="9" xfId="0" applyBorder="1" applyFont="1" applyNumberFormat="1"/>
    <xf borderId="1" fillId="5" fontId="1" numFmtId="14" xfId="0" applyAlignment="1" applyBorder="1" applyFont="1" applyNumberFormat="1">
      <alignment horizontal="center" readingOrder="0" shrinkToFit="0" wrapText="1"/>
    </xf>
    <xf borderId="1" fillId="5" fontId="7" numFmtId="0" xfId="0" applyAlignment="1" applyBorder="1" applyFont="1">
      <alignment vertical="center"/>
    </xf>
    <xf borderId="0" fillId="0" fontId="2" numFmtId="0" xfId="0" applyAlignment="1" applyFont="1">
      <alignment readingOrder="0" vertical="center"/>
    </xf>
    <xf borderId="1" fillId="3" fontId="1" numFmtId="0" xfId="0" applyAlignment="1" applyBorder="1" applyFont="1">
      <alignment horizontal="center" shrinkToFit="0" vertical="bottom" wrapText="1"/>
    </xf>
    <xf borderId="1" fillId="3" fontId="1" numFmtId="14" xfId="0" applyAlignment="1" applyBorder="1" applyFont="1" applyNumberFormat="1">
      <alignment horizontal="center" shrinkToFit="0" vertical="bottom" wrapText="1"/>
    </xf>
    <xf borderId="1" fillId="3" fontId="1" numFmtId="0" xfId="0" applyAlignment="1" applyBorder="1" applyFont="1">
      <alignment horizontal="center" shrinkToFit="0" wrapText="1"/>
    </xf>
    <xf borderId="1" fillId="3" fontId="33" numFmtId="0" xfId="0" applyAlignment="1" applyBorder="1" applyFont="1">
      <alignment horizontal="center" shrinkToFit="0" vertical="bottom" wrapText="1"/>
    </xf>
    <xf borderId="1" fillId="3" fontId="7" numFmtId="0" xfId="0" applyAlignment="1" applyBorder="1" applyFont="1">
      <alignment readingOrder="0"/>
    </xf>
    <xf borderId="0" fillId="3" fontId="7" numFmtId="0" xfId="0" applyAlignment="1" applyFont="1">
      <alignment readingOrder="0"/>
    </xf>
    <xf borderId="1" fillId="14" fontId="7" numFmtId="9" xfId="0" applyAlignment="1" applyBorder="1" applyFont="1" applyNumberFormat="1">
      <alignment readingOrder="0" vertical="center"/>
    </xf>
    <xf borderId="1" fillId="3" fontId="34" numFmtId="0" xfId="0" applyAlignment="1" applyBorder="1" applyFont="1">
      <alignment horizontal="center" readingOrder="0" shrinkToFit="0" wrapText="1"/>
    </xf>
    <xf borderId="0" fillId="3" fontId="7" numFmtId="0" xfId="0" applyAlignment="1" applyFont="1">
      <alignment readingOrder="0"/>
    </xf>
    <xf borderId="1" fillId="11" fontId="1" numFmtId="0" xfId="0" applyAlignment="1" applyBorder="1" applyFont="1">
      <alignment horizontal="center" readingOrder="0"/>
    </xf>
    <xf borderId="1" fillId="11" fontId="1" numFmtId="0" xfId="0" applyAlignment="1" applyBorder="1" applyFont="1">
      <alignment horizontal="center" readingOrder="0" shrinkToFit="0" vertical="center" wrapText="1"/>
    </xf>
    <xf borderId="1" fillId="11" fontId="8" numFmtId="14" xfId="0" applyAlignment="1" applyBorder="1" applyFont="1" applyNumberFormat="1">
      <alignment horizontal="center" readingOrder="0"/>
    </xf>
    <xf borderId="1" fillId="11" fontId="8" numFmtId="0" xfId="0" applyAlignment="1" applyBorder="1" applyFont="1">
      <alignment horizontal="center" readingOrder="0"/>
    </xf>
    <xf borderId="1" fillId="11" fontId="8" numFmtId="0" xfId="0" applyAlignment="1" applyBorder="1" applyFont="1">
      <alignment horizontal="left" readingOrder="0"/>
    </xf>
    <xf borderId="1" fillId="11" fontId="8" numFmtId="0" xfId="0" applyAlignment="1" applyBorder="1" applyFont="1">
      <alignment horizontal="center" readingOrder="0" shrinkToFit="0" vertical="center" wrapText="1"/>
    </xf>
    <xf borderId="1" fillId="11" fontId="1" numFmtId="0" xfId="0" applyAlignment="1" applyBorder="1" applyFont="1">
      <alignment horizontal="center" readingOrder="0" shrinkToFit="0" wrapText="1"/>
    </xf>
    <xf borderId="1" fillId="11" fontId="8" numFmtId="167" xfId="0" applyAlignment="1" applyBorder="1" applyFont="1" applyNumberFormat="1">
      <alignment horizontal="center" readingOrder="0"/>
    </xf>
    <xf borderId="1" fillId="11" fontId="1" numFmtId="9" xfId="0" applyAlignment="1" applyBorder="1" applyFont="1" applyNumberFormat="1">
      <alignment horizontal="center"/>
    </xf>
    <xf borderId="0" fillId="11" fontId="1" numFmtId="0" xfId="0" applyAlignment="1" applyFont="1">
      <alignment horizontal="center" readingOrder="0"/>
    </xf>
    <xf borderId="1" fillId="3" fontId="1" numFmtId="0" xfId="0" applyAlignment="1" applyBorder="1" applyFont="1">
      <alignment horizontal="center" readingOrder="0" shrinkToFit="0" vertical="bottom" wrapText="1"/>
    </xf>
    <xf borderId="1" fillId="3" fontId="1" numFmtId="14" xfId="0" applyAlignment="1" applyBorder="1" applyFont="1" applyNumberFormat="1">
      <alignment horizontal="center" readingOrder="0" shrinkToFit="0" vertical="bottom" wrapText="1"/>
    </xf>
    <xf borderId="0" fillId="3" fontId="35" numFmtId="0" xfId="0" applyAlignment="1" applyFont="1">
      <alignment horizontal="center" readingOrder="0" shrinkToFit="0" vertical="center" wrapText="1"/>
    </xf>
    <xf borderId="0" fillId="0" fontId="1" numFmtId="165" xfId="0" applyAlignment="1" applyFont="1" applyNumberFormat="1">
      <alignment horizontal="center" shrinkToFit="0" wrapText="1"/>
    </xf>
    <xf borderId="0" fillId="0" fontId="1" numFmtId="167" xfId="0" applyAlignment="1" applyFont="1" applyNumberFormat="1">
      <alignment horizontal="center" readingOrder="0" shrinkToFit="0" wrapText="1"/>
    </xf>
    <xf borderId="1" fillId="3" fontId="1" numFmtId="167" xfId="0" applyAlignment="1" applyBorder="1" applyFont="1" applyNumberFormat="1">
      <alignment horizontal="center" readingOrder="0" shrinkToFit="0" vertical="bottom" wrapText="1"/>
    </xf>
    <xf borderId="0" fillId="10" fontId="7" numFmtId="9" xfId="0" applyAlignment="1" applyFont="1" applyNumberFormat="1">
      <alignment vertical="center"/>
    </xf>
    <xf borderId="1" fillId="3" fontId="1" numFmtId="14" xfId="0" applyAlignment="1" applyBorder="1" applyFont="1" applyNumberFormat="1">
      <alignment horizontal="center" shrinkToFit="0" vertical="center" wrapText="1"/>
    </xf>
    <xf borderId="1" fillId="3" fontId="1" numFmtId="0" xfId="0" applyAlignment="1" applyBorder="1" applyFont="1">
      <alignment horizontal="center" shrinkToFit="0" vertical="center" wrapText="1"/>
    </xf>
    <xf borderId="1" fillId="3" fontId="1" numFmtId="14" xfId="0" applyAlignment="1" applyBorder="1" applyFont="1" applyNumberFormat="1">
      <alignment horizontal="center" shrinkToFit="0" vertical="center" wrapText="1"/>
    </xf>
    <xf borderId="1" fillId="14" fontId="7" numFmtId="14" xfId="0" applyAlignment="1" applyBorder="1" applyFont="1" applyNumberFormat="1">
      <alignment readingOrder="0" vertical="center"/>
    </xf>
    <xf borderId="1" fillId="14" fontId="36" numFmtId="0" xfId="0" applyAlignment="1" applyBorder="1" applyFont="1">
      <alignment horizontal="center" shrinkToFit="0" vertical="center" wrapText="1"/>
    </xf>
    <xf borderId="0" fillId="3" fontId="1" numFmtId="0" xfId="0" applyAlignment="1" applyFont="1">
      <alignment horizontal="center" readingOrder="0" vertical="center"/>
    </xf>
    <xf borderId="0" fillId="3" fontId="37"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0" fillId="3" fontId="7" numFmtId="165" xfId="0" applyAlignment="1" applyFont="1" applyNumberFormat="1">
      <alignment vertical="center"/>
    </xf>
    <xf borderId="0" fillId="3" fontId="1" numFmtId="167" xfId="0" applyAlignment="1" applyFont="1" applyNumberFormat="1">
      <alignment horizontal="center" readingOrder="0" shrinkToFit="0" vertical="center" wrapText="1"/>
    </xf>
    <xf borderId="1" fillId="0" fontId="7" numFmtId="0" xfId="0" applyAlignment="1" applyBorder="1" applyFont="1">
      <alignment readingOrder="0" vertical="center"/>
    </xf>
    <xf borderId="0" fillId="0" fontId="7" numFmtId="0" xfId="0" applyAlignment="1" applyFont="1">
      <alignment readingOrder="0" vertical="center"/>
    </xf>
    <xf borderId="1" fillId="14" fontId="1" numFmtId="166" xfId="0" applyAlignment="1" applyBorder="1" applyFont="1" applyNumberFormat="1">
      <alignment horizontal="center" shrinkToFit="0" vertical="center" wrapText="1"/>
    </xf>
    <xf borderId="1" fillId="14" fontId="1" numFmtId="14" xfId="0" applyAlignment="1" applyBorder="1" applyFont="1" applyNumberFormat="1">
      <alignment horizontal="center" readingOrder="0" shrinkToFit="0" vertical="center" wrapText="1"/>
    </xf>
    <xf borderId="0" fillId="14" fontId="7" numFmtId="0" xfId="0" applyAlignment="1" applyFont="1">
      <alignment readingOrder="0" vertical="center"/>
    </xf>
    <xf borderId="1" fillId="14" fontId="1" numFmtId="0" xfId="0" applyAlignment="1" applyBorder="1" applyFont="1">
      <alignment horizontal="center" shrinkToFit="0" wrapText="1"/>
    </xf>
    <xf borderId="1" fillId="14" fontId="1" numFmtId="166" xfId="0" applyAlignment="1" applyBorder="1" applyFont="1" applyNumberFormat="1">
      <alignment horizontal="center" shrinkToFit="0" wrapText="1"/>
    </xf>
    <xf borderId="1" fillId="14" fontId="38" numFmtId="0" xfId="0" applyAlignment="1" applyBorder="1" applyFont="1">
      <alignment horizontal="center" shrinkToFit="0" wrapText="1"/>
    </xf>
    <xf borderId="1" fillId="14" fontId="7" numFmtId="165" xfId="0" applyAlignment="1" applyBorder="1" applyFont="1" applyNumberFormat="1">
      <alignment vertical="bottom"/>
    </xf>
    <xf borderId="1" fillId="14" fontId="7" numFmtId="10" xfId="0" applyAlignment="1" applyBorder="1" applyFont="1" applyNumberFormat="1">
      <alignment vertical="bottom"/>
    </xf>
    <xf borderId="1" fillId="14" fontId="7" numFmtId="0" xfId="0" applyBorder="1" applyFont="1"/>
    <xf borderId="0" fillId="14" fontId="1" numFmtId="0" xfId="0" applyAlignment="1" applyFont="1">
      <alignment horizontal="center" shrinkToFit="0" wrapText="1"/>
    </xf>
    <xf borderId="1" fillId="14" fontId="7" numFmtId="0" xfId="0" applyAlignment="1" applyBorder="1" applyFont="1">
      <alignment vertical="bottom"/>
    </xf>
    <xf borderId="1" fillId="14" fontId="7" numFmtId="0" xfId="0" applyAlignment="1" applyBorder="1" applyFont="1">
      <alignment shrinkToFit="0" vertical="bottom" wrapText="0"/>
    </xf>
    <xf borderId="1" fillId="14" fontId="1" numFmtId="0" xfId="0" applyAlignment="1" applyBorder="1" applyFont="1">
      <alignment horizontal="center" readingOrder="0" shrinkToFit="0" wrapText="0"/>
    </xf>
    <xf borderId="1" fillId="14" fontId="1" numFmtId="165" xfId="0" applyAlignment="1" applyBorder="1" applyFont="1" applyNumberFormat="1">
      <alignment horizontal="center" shrinkToFit="0" wrapText="1"/>
    </xf>
    <xf borderId="1" fillId="14" fontId="1" numFmtId="10" xfId="0" applyAlignment="1" applyBorder="1" applyFont="1" applyNumberFormat="1">
      <alignment horizontal="center" shrinkToFit="0" wrapText="1"/>
    </xf>
    <xf borderId="0" fillId="14" fontId="1" numFmtId="0" xfId="0" applyAlignment="1" applyFont="1">
      <alignment horizontal="center" readingOrder="0" shrinkToFit="0" vertical="center" wrapText="1"/>
    </xf>
    <xf borderId="1" fillId="14" fontId="1" numFmtId="0" xfId="0" applyAlignment="1" applyBorder="1" applyFont="1">
      <alignment horizontal="center" readingOrder="0" shrinkToFit="0" wrapText="1"/>
    </xf>
    <xf borderId="1" fillId="0" fontId="1" numFmtId="0" xfId="0" applyAlignment="1" applyBorder="1" applyFont="1">
      <alignment horizontal="center" readingOrder="0" shrinkToFit="0" wrapText="1"/>
    </xf>
    <xf borderId="1" fillId="0" fontId="7" numFmtId="0" xfId="0" applyAlignment="1" applyBorder="1" applyFont="1">
      <alignment vertical="center"/>
    </xf>
    <xf borderId="1" fillId="0" fontId="1" numFmtId="0" xfId="0" applyAlignment="1" applyBorder="1" applyFont="1">
      <alignment horizontal="center" shrinkToFit="0" vertical="center" wrapText="1"/>
    </xf>
    <xf borderId="0" fillId="15" fontId="39" numFmtId="0" xfId="0" applyAlignment="1" applyFill="1" applyFont="1">
      <alignment readingOrder="0"/>
    </xf>
    <xf borderId="0" fillId="0" fontId="2" numFmtId="167" xfId="0" applyAlignment="1" applyFont="1" applyNumberFormat="1">
      <alignment readingOrder="0"/>
    </xf>
    <xf borderId="0" fillId="16" fontId="39" numFmtId="0" xfId="0" applyAlignment="1" applyFill="1" applyFont="1">
      <alignment readingOrder="0"/>
    </xf>
    <xf borderId="0" fillId="0" fontId="2" numFmtId="0" xfId="0" applyAlignment="1" applyFont="1">
      <alignment readingOrder="0"/>
    </xf>
    <xf borderId="0" fillId="0" fontId="2" numFmtId="14" xfId="0" applyAlignment="1" applyFont="1" applyNumberFormat="1">
      <alignment readingOrder="0"/>
    </xf>
    <xf borderId="0" fillId="0" fontId="2" numFmtId="0" xfId="0" applyFont="1"/>
    <xf borderId="0" fillId="0" fontId="2" numFmtId="164" xfId="0" applyFont="1" applyNumberFormat="1"/>
    <xf borderId="0" fillId="0" fontId="2" numFmtId="165" xfId="0" applyFont="1" applyNumberFormat="1"/>
    <xf borderId="0" fillId="0" fontId="2" numFmtId="166" xfId="0" applyFont="1" applyNumberFormat="1"/>
    <xf borderId="1" fillId="14" fontId="1" numFmtId="165" xfId="0" applyAlignment="1" applyBorder="1" applyFont="1" applyNumberFormat="1">
      <alignment horizontal="center" readingOrder="0" shrinkToFit="0" wrapText="1"/>
    </xf>
    <xf borderId="0" fillId="0" fontId="2" numFmtId="14" xfId="0" applyFont="1" applyNumberFormat="1"/>
    <xf borderId="0" fillId="0" fontId="2" numFmtId="167" xfId="0" applyFont="1" applyNumberFormat="1"/>
    <xf borderId="0" fillId="0" fontId="2" numFmtId="9" xfId="0" applyFont="1" applyNumberFormat="1"/>
    <xf borderId="0" fillId="0" fontId="40" numFmtId="0" xfId="0" applyFont="1"/>
    <xf borderId="1" fillId="14" fontId="1" numFmtId="0" xfId="0" applyAlignment="1" applyBorder="1" applyFont="1">
      <alignment horizontal="center"/>
    </xf>
    <xf borderId="1" fillId="14" fontId="41" numFmtId="0" xfId="0" applyAlignment="1" applyBorder="1" applyFont="1">
      <alignment horizontal="center" shrinkToFit="0" vertical="bottom" wrapText="1"/>
    </xf>
    <xf borderId="1" fillId="14" fontId="1" numFmtId="0" xfId="0" applyAlignment="1" applyBorder="1" applyFont="1">
      <alignment horizontal="center" shrinkToFit="0" vertical="bottom" wrapText="1"/>
    </xf>
    <xf borderId="1" fillId="14" fontId="1" numFmtId="0" xfId="0" applyAlignment="1" applyBorder="1" applyFont="1">
      <alignment horizontal="center" readingOrder="0"/>
    </xf>
    <xf borderId="1" fillId="14" fontId="1" numFmtId="14" xfId="0" applyAlignment="1" applyBorder="1" applyFont="1" applyNumberFormat="1">
      <alignment horizontal="center" readingOrder="0" shrinkToFit="0" wrapText="1"/>
    </xf>
    <xf borderId="1" fillId="14" fontId="42" numFmtId="0" xfId="0" applyAlignment="1" applyBorder="1" applyFont="1">
      <alignment horizontal="center" readingOrder="0" shrinkToFit="0" vertical="bottom" wrapText="1"/>
    </xf>
    <xf borderId="0" fillId="14" fontId="1" numFmtId="0" xfId="0" applyAlignment="1" applyFont="1">
      <alignment horizontal="center" readingOrder="0" shrinkToFit="0" wrapText="1"/>
    </xf>
    <xf borderId="0" fillId="0" fontId="2" numFmtId="169" xfId="0" applyFont="1" applyNumberFormat="1"/>
    <xf borderId="1" fillId="14" fontId="1" numFmtId="0" xfId="0" applyAlignment="1" applyBorder="1" applyFont="1">
      <alignment horizontal="center" readingOrder="0" shrinkToFit="0" vertical="bottom" wrapText="1"/>
    </xf>
    <xf borderId="1" fillId="14" fontId="1" numFmtId="0" xfId="0" applyAlignment="1" applyBorder="1" applyFont="1">
      <alignment horizontal="center" shrinkToFit="0" vertical="center" wrapText="0"/>
    </xf>
    <xf borderId="1" fillId="14" fontId="43" numFmtId="0" xfId="0" applyAlignment="1" applyBorder="1" applyFont="1">
      <alignment horizontal="center" shrinkToFit="0" wrapText="1"/>
    </xf>
    <xf borderId="1" fillId="14" fontId="1" numFmtId="0" xfId="0" applyAlignment="1" applyBorder="1" applyFont="1">
      <alignment horizontal="center" shrinkToFit="0" wrapText="1"/>
    </xf>
    <xf borderId="1" fillId="14" fontId="2" numFmtId="165" xfId="0" applyBorder="1" applyFont="1" applyNumberFormat="1"/>
    <xf borderId="1" fillId="14" fontId="1" numFmtId="0" xfId="0" applyAlignment="1" applyBorder="1" applyFont="1">
      <alignment horizontal="center" readingOrder="0" shrinkToFit="0" vertical="center" wrapText="0"/>
    </xf>
    <xf borderId="1" fillId="14" fontId="44" numFmtId="0" xfId="0" applyAlignment="1" applyBorder="1" applyFont="1">
      <alignment horizontal="center" readingOrder="0" shrinkToFit="0" wrapText="1"/>
    </xf>
    <xf borderId="1" fillId="14" fontId="2" numFmtId="0" xfId="0" applyBorder="1" applyFont="1"/>
    <xf borderId="1" fillId="14" fontId="45" numFmtId="0" xfId="0" applyAlignment="1" applyBorder="1" applyFont="1">
      <alignment horizontal="center" readingOrder="0" shrinkToFit="0" vertical="center" wrapText="1"/>
    </xf>
    <xf borderId="1" fillId="14" fontId="1" numFmtId="0" xfId="0" applyAlignment="1" applyBorder="1" applyFont="1">
      <alignment horizontal="center" readingOrder="0" shrinkToFit="0" vertical="center" wrapText="0"/>
    </xf>
    <xf borderId="1" fillId="14" fontId="46" numFmtId="0" xfId="0" applyAlignment="1" applyBorder="1" applyFont="1">
      <alignment horizontal="center" readingOrder="0" shrinkToFit="0" vertical="center" wrapText="0"/>
    </xf>
    <xf borderId="0" fillId="0" fontId="47" numFmtId="0" xfId="0" applyFont="1"/>
    <xf borderId="1" fillId="14" fontId="2" numFmtId="0" xfId="0" applyAlignment="1" applyBorder="1" applyFont="1">
      <alignment vertical="center"/>
    </xf>
    <xf borderId="0" fillId="14" fontId="2" numFmtId="0" xfId="0" applyAlignment="1" applyFont="1">
      <alignment vertical="center"/>
    </xf>
    <xf borderId="1" fillId="14" fontId="1" numFmtId="14" xfId="0" applyAlignment="1" applyBorder="1" applyFont="1" applyNumberFormat="1">
      <alignment horizontal="center" readingOrder="0" shrinkToFit="0" vertical="bottom" wrapText="1"/>
    </xf>
    <xf borderId="1" fillId="14" fontId="7" numFmtId="0" xfId="0" applyBorder="1" applyFont="1"/>
    <xf borderId="1" fillId="14" fontId="7" numFmtId="9" xfId="0" applyBorder="1" applyFont="1" applyNumberFormat="1"/>
    <xf borderId="1" fillId="14" fontId="1" numFmtId="167" xfId="0" applyAlignment="1" applyBorder="1" applyFont="1" applyNumberFormat="1">
      <alignment horizontal="center" readingOrder="0" shrinkToFit="0" wrapText="1"/>
    </xf>
    <xf borderId="0" fillId="0" fontId="2" numFmtId="10" xfId="0" applyFont="1" applyNumberFormat="1"/>
    <xf borderId="1" fillId="14" fontId="1" numFmtId="14" xfId="0" applyAlignment="1" applyBorder="1" applyFont="1" applyNumberFormat="1">
      <alignment horizontal="center" shrinkToFit="0" vertical="bottom" wrapText="1"/>
    </xf>
    <xf borderId="0" fillId="14" fontId="7" numFmtId="9" xfId="0" applyFont="1" applyNumberFormat="1"/>
    <xf borderId="1" fillId="14" fontId="1" numFmtId="167" xfId="0" applyAlignment="1" applyBorder="1" applyFont="1" applyNumberFormat="1">
      <alignment horizontal="center" readingOrder="0" shrinkToFit="0" vertical="bottom" wrapText="1"/>
    </xf>
    <xf borderId="0" fillId="0" fontId="2" numFmtId="170" xfId="0" applyFont="1" applyNumberFormat="1"/>
    <xf borderId="1" fillId="14" fontId="1" numFmtId="0" xfId="0" applyAlignment="1" applyBorder="1" applyFont="1">
      <alignment horizontal="center" vertical="bottom"/>
    </xf>
    <xf borderId="1" fillId="14" fontId="7" numFmtId="14" xfId="0" applyAlignment="1" applyBorder="1" applyFont="1" applyNumberFormat="1">
      <alignment vertical="bottom"/>
    </xf>
    <xf borderId="1" fillId="14" fontId="7" numFmtId="9" xfId="0" applyAlignment="1" applyBorder="1" applyFont="1" applyNumberFormat="1">
      <alignment vertical="bottom"/>
    </xf>
    <xf borderId="0" fillId="14" fontId="7" numFmtId="9" xfId="0" applyAlignment="1" applyFont="1" applyNumberFormat="1">
      <alignment vertical="bottom"/>
    </xf>
    <xf borderId="1" fillId="14" fontId="8" numFmtId="14" xfId="0" applyAlignment="1" applyBorder="1" applyFont="1" applyNumberFormat="1">
      <alignment horizontal="center" readingOrder="0"/>
    </xf>
    <xf borderId="1" fillId="14" fontId="8" numFmtId="0" xfId="0" applyAlignment="1" applyBorder="1" applyFont="1">
      <alignment horizontal="center" readingOrder="0"/>
    </xf>
    <xf borderId="1" fillId="14" fontId="8" numFmtId="0" xfId="0" applyAlignment="1" applyBorder="1" applyFont="1">
      <alignment horizontal="center" readingOrder="0" shrinkToFit="0" wrapText="1"/>
    </xf>
    <xf borderId="1" fillId="14" fontId="8" numFmtId="0" xfId="0" applyAlignment="1" applyBorder="1" applyFont="1">
      <alignment horizontal="left" readingOrder="0"/>
    </xf>
    <xf borderId="1" fillId="14" fontId="8" numFmtId="0" xfId="0" applyAlignment="1" applyBorder="1" applyFont="1">
      <alignment horizontal="center"/>
    </xf>
    <xf borderId="1" fillId="14" fontId="8" numFmtId="167" xfId="0" applyAlignment="1" applyBorder="1" applyFont="1" applyNumberFormat="1">
      <alignment horizontal="center" readingOrder="0"/>
    </xf>
    <xf borderId="1" fillId="14" fontId="1" numFmtId="0" xfId="0" applyAlignment="1" applyBorder="1" applyFont="1">
      <alignment horizontal="center"/>
    </xf>
    <xf borderId="1" fillId="14" fontId="1" numFmtId="9" xfId="0" applyAlignment="1" applyBorder="1" applyFont="1" applyNumberFormat="1">
      <alignment horizontal="center"/>
    </xf>
    <xf borderId="0" fillId="14" fontId="1" numFmtId="9" xfId="0" applyAlignment="1" applyFont="1" applyNumberFormat="1">
      <alignment horizontal="center"/>
    </xf>
    <xf borderId="0" fillId="14" fontId="1" numFmtId="0" xfId="0" applyAlignment="1" applyFont="1">
      <alignment horizontal="center" readingOrder="0"/>
    </xf>
    <xf borderId="1" fillId="14" fontId="7" numFmtId="165" xfId="0" applyBorder="1" applyFont="1" applyNumberFormat="1"/>
    <xf borderId="1" fillId="14" fontId="1" numFmtId="14" xfId="0" applyAlignment="1" applyBorder="1" applyFont="1" applyNumberFormat="1">
      <alignment horizontal="center" shrinkToFit="0" wrapText="1"/>
    </xf>
    <xf borderId="1" fillId="14" fontId="7" numFmtId="0" xfId="0" applyAlignment="1" applyBorder="1" applyFont="1">
      <alignment readingOrder="0"/>
    </xf>
    <xf borderId="0" fillId="14" fontId="7" numFmtId="0" xfId="0" applyAlignment="1" applyFont="1">
      <alignment readingOrder="0"/>
    </xf>
    <xf borderId="1" fillId="14" fontId="48" numFmtId="0" xfId="0" applyAlignment="1" applyBorder="1" applyFont="1">
      <alignment horizontal="center" readingOrder="0" shrinkToFit="0" vertical="center" wrapText="1"/>
    </xf>
    <xf borderId="1" fillId="14" fontId="1" numFmtId="167" xfId="0" applyAlignment="1" applyBorder="1" applyFont="1" applyNumberFormat="1">
      <alignment horizontal="center" readingOrder="0" shrinkToFit="0" vertical="center" wrapText="1"/>
    </xf>
    <xf borderId="0" fillId="0" fontId="2" numFmtId="168" xfId="0" applyFont="1" applyNumberFormat="1"/>
    <xf borderId="0" fillId="14" fontId="1" numFmtId="14" xfId="0" applyAlignment="1" applyFont="1" applyNumberFormat="1">
      <alignment horizontal="center" readingOrder="0" shrinkToFit="0" vertical="center" wrapText="1"/>
    </xf>
    <xf borderId="0" fillId="14" fontId="49" numFmtId="0" xfId="0" applyAlignment="1" applyFont="1">
      <alignment horizontal="center" readingOrder="0" shrinkToFit="0" vertical="center" wrapText="1"/>
    </xf>
    <xf borderId="0" fillId="14" fontId="1" numFmtId="167" xfId="0" applyAlignment="1" applyFont="1" applyNumberFormat="1">
      <alignment horizontal="center" readingOrder="0" shrinkToFit="0" vertical="center" wrapText="1"/>
    </xf>
    <xf borderId="1" fillId="3" fontId="1" numFmtId="168" xfId="0" applyAlignment="1" applyBorder="1" applyFont="1" applyNumberFormat="1">
      <alignment horizontal="left" readingOrder="0" shrinkToFit="0" vertical="bottom" wrapText="1"/>
    </xf>
    <xf borderId="1" fillId="3" fontId="7" numFmtId="0" xfId="0" applyAlignment="1" applyBorder="1" applyFont="1">
      <alignment readingOrder="0" shrinkToFit="0" wrapText="0"/>
    </xf>
    <xf borderId="0" fillId="3" fontId="1" numFmtId="14" xfId="0" applyAlignment="1" applyFont="1" applyNumberFormat="1">
      <alignment horizontal="center" readingOrder="0" shrinkToFit="0" vertical="center" wrapText="1"/>
    </xf>
  </cellXfs>
  <cellStyles count="1">
    <cellStyle xfId="0" name="Normal" builtinId="0"/>
  </cellStyles>
  <dxfs count="10">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A4C2F4"/>
          <bgColor rgb="FFA4C2F4"/>
        </patternFill>
      </fill>
      <border/>
    </dxf>
    <dxf>
      <font/>
      <fill>
        <patternFill patternType="solid">
          <fgColor rgb="FFECED51"/>
          <bgColor rgb="FFECED51"/>
        </patternFill>
      </fill>
      <border/>
    </dxf>
    <dxf>
      <font/>
      <fill>
        <patternFill patternType="solid">
          <fgColor rgb="FFFF0000"/>
          <bgColor rgb="FFFF0000"/>
        </patternFill>
      </fill>
      <border/>
    </dxf>
    <dxf>
      <font/>
      <fill>
        <patternFill patternType="solid">
          <fgColor rgb="FF00FF00"/>
          <bgColor rgb="FF00FF00"/>
        </patternFill>
      </fill>
      <border/>
    </dxf>
    <dxf>
      <font/>
      <fill>
        <patternFill patternType="solid">
          <fgColor rgb="FFB6D7A8"/>
          <bgColor rgb="FFB6D7A8"/>
        </patternFill>
      </fill>
      <border/>
    </dxf>
    <dxf>
      <font>
        <i/>
      </font>
      <fill>
        <patternFill patternType="solid">
          <fgColor rgb="FFFFFF00"/>
          <bgColor rgb="FFFFFF00"/>
        </patternFill>
      </fill>
      <border/>
    </dxf>
  </dxfs>
  <tableStyles count="13">
    <tableStyle count="3" pivot="0" name="New Meetings-style">
      <tableStyleElement dxfId="1" type="headerRow"/>
      <tableStyleElement dxfId="2" type="firstRowStripe"/>
      <tableStyleElement dxfId="3" type="secondRowStripe"/>
    </tableStyle>
    <tableStyle count="3" pivot="0" name="Invoice Sent-style">
      <tableStyleElement dxfId="1" type="headerRow"/>
      <tableStyleElement dxfId="2" type="firstRowStripe"/>
      <tableStyleElement dxfId="3" type="secondRowStripe"/>
    </tableStyle>
    <tableStyle count="3" pivot="0" name="Contract Sent-style">
      <tableStyleElement dxfId="1" type="headerRow"/>
      <tableStyleElement dxfId="2" type="firstRowStripe"/>
      <tableStyleElement dxfId="3" type="secondRowStripe"/>
    </tableStyle>
    <tableStyle count="3" pivot="0" name="Follow Ups-style">
      <tableStyleElement dxfId="1" type="headerRow"/>
      <tableStyleElement dxfId="2" type="firstRowStripe"/>
      <tableStyleElement dxfId="3" type="secondRowStripe"/>
    </tableStyle>
    <tableStyle count="3" pivot="0" name="Temporary Inactive-style">
      <tableStyleElement dxfId="1" type="headerRow"/>
      <tableStyleElement dxfId="2" type="firstRowStripe"/>
      <tableStyleElement dxfId="3" type="secondRowStripe"/>
    </tableStyle>
    <tableStyle count="3" pivot="0" name="Onboarded-style">
      <tableStyleElement dxfId="1" type="headerRow"/>
      <tableStyleElement dxfId="2" type="firstRowStripe"/>
      <tableStyleElement dxfId="3" type="secondRowStripe"/>
    </tableStyle>
    <tableStyle count="2" pivot="0" name="Onboarded-style 2">
      <tableStyleElement dxfId="3" type="firstRowStripe"/>
      <tableStyleElement dxfId="2" type="secondRowStripe"/>
    </tableStyle>
    <tableStyle count="2" pivot="0" name="Onboarded-style 3">
      <tableStyleElement dxfId="3" type="firstRowStripe"/>
      <tableStyleElement dxfId="2" type="secondRowStripe"/>
    </tableStyle>
    <tableStyle count="3" pivot="0" name="No-Show-style">
      <tableStyleElement dxfId="1" type="headerRow"/>
      <tableStyleElement dxfId="2" type="firstRowStripe"/>
      <tableStyleElement dxfId="3" type="secondRowStripe"/>
    </tableStyle>
    <tableStyle count="2" pivot="0" name="Dead Leads-style">
      <tableStyleElement dxfId="3" type="firstRowStripe"/>
      <tableStyleElement dxfId="2" type="secondRowStripe"/>
    </tableStyle>
    <tableStyle count="3" pivot="0" name="Georges Callbacks-style">
      <tableStyleElement dxfId="1" type="headerRow"/>
      <tableStyleElement dxfId="2" type="firstRowStripe"/>
      <tableStyleElement dxfId="3" type="secondRowStripe"/>
    </tableStyle>
    <tableStyle count="2" pivot="0" name="Georges Callbacks-style 2">
      <tableStyleElement dxfId="3" type="firstRowStripe"/>
      <tableStyleElement dxfId="2" type="secondRowStripe"/>
    </tableStyle>
    <tableStyle count="3" pivot="0" name="Real Estat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S27" displayName="Table_1" name="Table_1"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New Meeting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S1" displayName="Table_4" name="Table_4" id="4">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Follow Up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Q29" displayName="Table_3" name="Table_3" id="3">
  <tableColumns count="17">
    <tableColumn name="SUB" id="1"/>
    <tableColumn name="Opener" id="2"/>
    <tableColumn name="Status" id="3"/>
    <tableColumn name="Date Added" id="4"/>
    <tableColumn name="Company Name" id="5"/>
    <tableColumn name="Authorized Person" id="6"/>
    <tableColumn name="Phone" id="7"/>
    <tableColumn name="EMAIL" id="8"/>
    <tableColumn name="Meeting Time" id="9"/>
    <tableColumn name="Opener Summary" id="10"/>
    <tableColumn name="George's Notes" id="11"/>
    <tableColumn name="Auto Scheduler" id="12"/>
    <tableColumn name="Last Call" id="13"/>
    <tableColumn name="Action" id="14"/>
    <tableColumn name="Checkbox" id="15"/>
    <tableColumn name="Log" id="16"/>
    <tableColumn name="NPI" id="17"/>
  </tableColumns>
  <tableStyleInfo name="Contract Sent-style" showColumnStripes="0" showFirstColumn="1" showLastColumn="1" showRowStripes="1"/>
</table>
</file>

<file path=xl/tables/table4.xml><?xml version="1.0" encoding="utf-8"?>
<table xmlns="http://schemas.openxmlformats.org/spreadsheetml/2006/main" headerRowCount="0" ref="A1:S5" displayName="Table_2" name="Table_2" id="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Invoice Sen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Q69" displayName="Table_5" name="Table_5" id="5">
  <tableColumns count="17">
    <tableColumn name="SUB" id="1"/>
    <tableColumn name="Opener" id="2"/>
    <tableColumn name="Status" id="3"/>
    <tableColumn name="Date Added" id="4"/>
    <tableColumn name="Company Name" id="5"/>
    <tableColumn name="Authorized Person" id="6"/>
    <tableColumn name="Phone" id="7"/>
    <tableColumn name="EMAIL" id="8"/>
    <tableColumn name="Meeting Time" id="9"/>
    <tableColumn name="Opener Summary" id="10"/>
    <tableColumn name="George's Notes" id="11"/>
    <tableColumn name="Auto Scheduler" id="12"/>
    <tableColumn name="Last Call" id="13"/>
    <tableColumn name="Action" id="14"/>
    <tableColumn name="Checkbox" id="15"/>
    <tableColumn name="Log" id="16"/>
    <tableColumn name="NPI" id="17"/>
  </tableColumns>
  <tableStyleInfo name="Temporary Inactive-style" showColumnStripes="0" showFirstColumn="1" showLastColumn="1" showRowStripes="1"/>
</table>
</file>

<file path=xl/tables/table6.xml><?xml version="1.0" encoding="utf-8"?>
<table xmlns="http://schemas.openxmlformats.org/spreadsheetml/2006/main" headerRowCount="0" ref="A1:S1" displayName="Table_6" name="Table_6" id="6">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Onboarded-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46:S46" displayName="Table_7" name="Table_7" id="7">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Onboarded-style 2" showColumnStripes="0" showFirstColumn="1" showLastColumn="1" showRowStripes="1"/>
</table>
</file>

<file path=xl/tables/table8.xml><?xml version="1.0" encoding="utf-8"?>
<table xmlns="http://schemas.openxmlformats.org/spreadsheetml/2006/main" headerRowCount="0" ref="A47:S60" displayName="Table_8" name="Table_8" id="8">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Onboarded-style 3" showColumnStripes="0" showFirstColumn="1" showLastColumn="1" showRowStripes="1"/>
</table>
</file>

<file path=xl/tables/table9.xml><?xml version="1.0" encoding="utf-8"?>
<table xmlns="http://schemas.openxmlformats.org/spreadsheetml/2006/main" headerRowCount="0" ref="A1:S87" displayName="Table_9" name="Table_9" id="9">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No-Show-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161:S301" displayName="Table_10" name="Table_10" id="10">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Dead Leads-style" showColumnStripes="0" showFirstColumn="1" showLastColumn="1" showRowStripes="1"/>
</table>
</file>

<file path=xl/tables/table11.xml><?xml version="1.0" encoding="utf-8"?>
<table xmlns="http://schemas.openxmlformats.org/spreadsheetml/2006/main" headerRowCount="0" ref="A1:Q1" displayName="Table_11" name="Table_11" id="1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Georges Callbacks-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2:Q3" displayName="Table_12" name="Table_12" id="12">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Georges Callbacks-style 2" showColumnStripes="0" showFirstColumn="1" showLastColumn="1" showRowStripes="1"/>
</table>
</file>

<file path=xl/tables/table13.xml><?xml version="1.0" encoding="utf-8"?>
<table xmlns="http://schemas.openxmlformats.org/spreadsheetml/2006/main" headerRowCount="0" ref="A1:Q12" displayName="Table_13" name="Table_13" id="13">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Real Estat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sharmamicroseqdx.com/" TargetMode="External"/><Relationship Id="rId2" Type="http://schemas.openxmlformats.org/officeDocument/2006/relationships/hyperlink" Target="mailto:bendacpr@gmail.com" TargetMode="External"/><Relationship Id="rId3" Type="http://schemas.openxmlformats.org/officeDocument/2006/relationships/hyperlink" Target="mailto:info@welcaredx.com"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chadmoduslaboratories.com/" TargetMode="External"/><Relationship Id="rId3" Type="http://schemas.openxmlformats.org/officeDocument/2006/relationships/drawing" Target="../drawings/drawing2.xml"/><Relationship Id="rId4" Type="http://schemas.openxmlformats.org/officeDocument/2006/relationships/vmlDrawing" Target="../drawings/vmlDrawing1.vml"/><Relationship Id="rId6"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6.xml"/><Relationship Id="rId6" Type="http://schemas.openxmlformats.org/officeDocument/2006/relationships/table" Target="../tables/table7.xml"/><Relationship Id="rId7"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 Id="rId5"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1.xml"/><Relationship Id="rId5"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https://calendar.google.com/calendar/u/0/r/eventedit/NjJnYTlubG1oOWpybm9mc3M3bmo3a21jMnEgYzM5ZjIxNjY2YTJjNzBkNjQ0MDI0YmQyOWM3ZmM5ODM3OTY2MmY3OTJlNWEwNDdjZGIzNTdhNDJiM2M1N2QwNEBn?pli=1" TargetMode="External"/><Relationship Id="rId20" Type="http://schemas.openxmlformats.org/officeDocument/2006/relationships/hyperlink" Target="https://calendar.google.com/calendar/u/0/r/eventedit/MjFyZTg3dGk5aG5qYWx1NnZmdGNuNzdlYzIgYzM5ZjIxNjY2YTJjNzBkNjQ0MDI0YmQyOWM3ZmM5ODM3OTY2MmY3OTJlNWEwNDdjZGIzNTdhNDJiM2M1N2QwNEBn?pli=1" TargetMode="External"/><Relationship Id="rId41" Type="http://schemas.openxmlformats.org/officeDocument/2006/relationships/drawing" Target="../drawings/drawing13.xml"/><Relationship Id="rId22" Type="http://schemas.openxmlformats.org/officeDocument/2006/relationships/hyperlink" Target="https://calendar.google.com/calendar/u/0/r/eventedit/M25pZWFlbjdqZ2xiaGFwN29pc3BrajVkZTggYzM5ZjIxNjY2YTJjNzBkNjQ0MDI0YmQyOWM3ZmM5ODM3OTY2MmY3OTJlNWEwNDdjZGIzNTdhNDJiM2M1N2QwNEBn?pli=1" TargetMode="External"/><Relationship Id="rId21" Type="http://schemas.openxmlformats.org/officeDocument/2006/relationships/hyperlink" Target="https://calendar.google.com/calendar/u/0/r/eventedit/M25pZWFlbjdqZ2xiaGFwN29pc3BrajVkZTggYzM5ZjIxNjY2YTJjNzBkNjQ0MDI0YmQyOWM3ZmM5ODM3OTY2MmY3OTJlNWEwNDdjZGIzNTdhNDJiM2M1N2QwNEBn?pli=1" TargetMode="External"/><Relationship Id="rId24" Type="http://schemas.openxmlformats.org/officeDocument/2006/relationships/hyperlink" Target="https://calendar.google.com/calendar/u/0/r/eventedit/N2loODVkbnNnOXA1ZWVoMXU1dXFoMTgydWUgYzM5ZjIxNjY2YTJjNzBkNjQ0MDI0YmQyOWM3ZmM5ODM3OTY2MmY3OTJlNWEwNDdjZGIzNTdhNDJiM2M1N2QwNEBn?pli=1" TargetMode="External"/><Relationship Id="rId23" Type="http://schemas.openxmlformats.org/officeDocument/2006/relationships/hyperlink" Target="https://calendar.google.com/calendar/u/0/r/eventedit/MDc2aDQ5YXNvZGdkNDNtbWM3bTJmcDF1OTEgYzM5ZjIxNjY2YTJjNzBkNjQ0MDI0YmQyOWM3ZmM5ODM3OTY2MmY3OTJlNWEwNDdjZGIzNTdhNDJiM2M1N2QwNEBn?pli=1" TargetMode="External"/><Relationship Id="rId1" Type="http://schemas.openxmlformats.org/officeDocument/2006/relationships/hyperlink" Target="https://calendar.google.com/calendar/u/0/r/eventedit/Mm8zMmNqNmJidG8zZWZyODlubXNtMzFydGUgYzM5ZjIxNjY2YTJjNzBkNjQ0MDI0YmQyOWM3ZmM5ODM3OTY2MmY3OTJlNWEwNDdjZGIzNTdhNDJiM2M1N2QwNEBn?pli=1" TargetMode="External"/><Relationship Id="rId2" Type="http://schemas.openxmlformats.org/officeDocument/2006/relationships/hyperlink" Target="https://calendar.google.com/calendar/u/0/r/eventedit/NjdvNWowNGZkdGtwZmtxMzk2MnM5c3F0ZTIgYzM5ZjIxNjY2YTJjNzBkNjQ0MDI0YmQyOWM3ZmM5ODM3OTY2MmY3OTJlNWEwNDdjZGIzNTdhNDJiM2M1N2QwNEBn" TargetMode="External"/><Relationship Id="rId3" Type="http://schemas.openxmlformats.org/officeDocument/2006/relationships/hyperlink" Target="http://rsharmamicroseqdx.com/" TargetMode="External"/><Relationship Id="rId4" Type="http://schemas.openxmlformats.org/officeDocument/2006/relationships/hyperlink" Target="https://calendar.google.com/calendar/u/0/r/eventedit/M3ZvM2Q1M2JiazRjc285MGZmZWU4Z2w2NjcgYzM5ZjIxNjY2YTJjNzBkNjQ0MDI0YmQyOWM3ZmM5ODM3OTY2MmY3OTJlNWEwNDdjZGIzNTdhNDJiM2M1N2QwNEBn?pli=1" TargetMode="External"/><Relationship Id="rId9" Type="http://schemas.openxmlformats.org/officeDocument/2006/relationships/hyperlink" Target="https://calendar.google.com/calendar/u/0/r/eventedit/N2I0bXJxc3VkNGFrZWFyajVxZmMwMjU3ODcgYzM5ZjIxNjY2YTJjNzBkNjQ0MDI0YmQyOWM3ZmM5ODM3OTY2MmY3OTJlNWEwNDdjZGIzNTdhNDJiM2M1N2QwNEBn?pli=1" TargetMode="External"/><Relationship Id="rId26" Type="http://schemas.openxmlformats.org/officeDocument/2006/relationships/hyperlink" Target="https://calendar.google.com/calendar/u/0/r/eventedit/MXFrc2JiYXA1MTY1aWppOG5qZG0xbW44ZzQgYzM5ZjIxNjY2YTJjNzBkNjQ0MDI0YmQyOWM3ZmM5ODM3OTY2MmY3OTJlNWEwNDdjZGIzNTdhNDJiM2M1N2QwNEBn?pli=1" TargetMode="External"/><Relationship Id="rId25" Type="http://schemas.openxmlformats.org/officeDocument/2006/relationships/hyperlink" Target="https://calendar.google.com/calendar/u/0/r/eventedit/MzA0MjkwdGtscmRwYnY3aDgwdWhyanVwbWcgYzM5ZjIxNjY2YTJjNzBkNjQ0MDI0YmQyOWM3ZmM5ODM3OTY2MmY3OTJlNWEwNDdjZGIzNTdhNDJiM2M1N2QwNEBn" TargetMode="External"/><Relationship Id="rId28" Type="http://schemas.openxmlformats.org/officeDocument/2006/relationships/hyperlink" Target="https://calendar.google.com/calendar/u/0/r/eventedit/NnJuZThuaWdub2I2MW5yOGthajRwZzhidWQgYzM5ZjIxNjY2YTJjNzBkNjQ0MDI0YmQyOWM3ZmM5ODM3OTY2MmY3OTJlNWEwNDdjZGIzNTdhNDJiM2M1N2QwNEBn" TargetMode="External"/><Relationship Id="rId27" Type="http://schemas.openxmlformats.org/officeDocument/2006/relationships/hyperlink" Target="https://calendar.google.com/calendar/u/0/r/eventedit/NDBqMTJqbWVlNjl2a3J0c3NxczE2NGZsNm8gYzM5ZjIxNjY2YTJjNzBkNjQ0MDI0YmQyOWM3ZmM5ODM3OTY2MmY3OTJlNWEwNDdjZGIzNTdhNDJiM2M1N2QwNEBn?pli=1" TargetMode="External"/><Relationship Id="rId5" Type="http://schemas.openxmlformats.org/officeDocument/2006/relationships/hyperlink" Target="https://calendar.google.com/calendar/u/0/r/eventedit/NWdmZDZpbjVjcGxidGhjcDUydmNwaDlyOHMgamFuZS5teWxlcy53aXpAbQ" TargetMode="External"/><Relationship Id="rId6" Type="http://schemas.openxmlformats.org/officeDocument/2006/relationships/hyperlink" Target="https://calendar.google.com/calendar/u/0/r/eventedit/MjlvM2kza2xiaDZ2dThybGNva2hmamRkcG8gYzM5ZjIxNjY2YTJjNzBkNjQ0MDI0YmQyOWM3ZmM5ODM3OTY2MmY3OTJlNWEwNDdjZGIzNTdhNDJiM2M1N2QwNEBn?pli=1" TargetMode="External"/><Relationship Id="rId29" Type="http://schemas.openxmlformats.org/officeDocument/2006/relationships/hyperlink" Target="https://calendar.google.com/calendar/u/0/r/eventedit/NnNmMGYyZnMzaDBnaTZvdjI3Y3FjYXIybXYgYzM5ZjIxNjY2YTJjNzBkNjQ0MDI0YmQyOWM3ZmM5ODM3OTY2MmY3OTJlNWEwNDdjZGIzNTdhNDJiM2M1N2QwNEBn" TargetMode="External"/><Relationship Id="rId7" Type="http://schemas.openxmlformats.org/officeDocument/2006/relationships/hyperlink" Target="https://calendar.google.com/calendar/u/0/r/eventedit/NjM1Y2tqZjY0cTd2dW9lZWc1anQ4dXN0bjcgYzM5ZjIxNjY2YTJjNzBkNjQ0MDI0YmQyOWM3ZmM5ODM3OTY2MmY3OTJlNWEwNDdjZGIzNTdhNDJiM2M1N2QwNEBn?pli=1" TargetMode="External"/><Relationship Id="rId8" Type="http://schemas.openxmlformats.org/officeDocument/2006/relationships/hyperlink" Target="https://calendar.google.com/calendar/u/0/r/eventedit/NTFnZmo4YWhzb3JmNmt2ZThhNTNhZGttb2MgamFuZS5teWxlcy53aXpAbQ" TargetMode="External"/><Relationship Id="rId31" Type="http://schemas.openxmlformats.org/officeDocument/2006/relationships/hyperlink" Target="https://calendar.google.com/calendar/u/0/r/eventedit/MXBxcTNwanZzc2hsMnQyZTAxbnVkNDdicjAgYzM5ZjIxNjY2YTJjNzBkNjQ0MDI0YmQyOWM3ZmM5ODM3OTY2MmY3OTJlNWEwNDdjZGIzNTdhNDJiM2M1N2QwNEBn?pli=1" TargetMode="External"/><Relationship Id="rId30" Type="http://schemas.openxmlformats.org/officeDocument/2006/relationships/hyperlink" Target="https://calendar.google.com/calendar/u/0/r/eventedit/Mm83Zm1wYXV2OWlnMXAwY3I0YzBpNm5oMDkgYzM5ZjIxNjY2YTJjNzBkNjQ0MDI0YmQyOWM3ZmM5ODM3OTY2MmY3OTJlNWEwNDdjZGIzNTdhNDJiM2M1N2QwNEBn?pli=1" TargetMode="External"/><Relationship Id="rId11" Type="http://schemas.openxmlformats.org/officeDocument/2006/relationships/hyperlink" Target="mailto:bendacpr@gmail.com" TargetMode="External"/><Relationship Id="rId33" Type="http://schemas.openxmlformats.org/officeDocument/2006/relationships/hyperlink" Target="https://calendar.google.com/calendar/u/0/r/eventedit/M2JobTRyOTJyY2Rvbzg1ZWh2c2NzbGhhYjYgYzM5ZjIxNjY2YTJjNzBkNjQ0MDI0YmQyOWM3ZmM5ODM3OTY2MmY3OTJlNWEwNDdjZGIzNTdhNDJiM2M1N2QwNEBn?pli=1" TargetMode="External"/><Relationship Id="rId10" Type="http://schemas.openxmlformats.org/officeDocument/2006/relationships/hyperlink" Target="https://calendar.google.com/calendar/u/0/r/eventedit/NG04MDVyOGo1bzVnMW03cWJwdHN1bTluamwgYzM5ZjIxNjY2YTJjNzBkNjQ0MDI0YmQyOWM3ZmM5ODM3OTY2MmY3OTJlNWEwNDdjZGIzNTdhNDJiM2M1N2QwNEBn" TargetMode="External"/><Relationship Id="rId32" Type="http://schemas.openxmlformats.org/officeDocument/2006/relationships/hyperlink" Target="https://calendar.google.com/calendar/u/0/r/eventedit/Mjg3YmdudWNtZjc4NHA0NnE0c29maXNmZGogYzM5ZjIxNjY2YTJjNzBkNjQ0MDI0YmQyOWM3ZmM5ODM3OTY2MmY3OTJlNWEwNDdjZGIzNTdhNDJiM2M1N2QwNEBn?pli=1" TargetMode="External"/><Relationship Id="rId13" Type="http://schemas.openxmlformats.org/officeDocument/2006/relationships/hyperlink" Target="https://calendar.google.com/calendar/u/0/r/eventedit/N2tzN2JxMzhkNGltMDhyNW05OHNuMDF0azkgYzM5ZjIxNjY2YTJjNzBkNjQ0MDI0YmQyOWM3ZmM5ODM3OTY2MmY3OTJlNWEwNDdjZGIzNTdhNDJiM2M1N2QwNEBn" TargetMode="External"/><Relationship Id="rId35" Type="http://schemas.openxmlformats.org/officeDocument/2006/relationships/hyperlink" Target="https://calendar.google.com/calendar/u/0/r/eventedit/NTJzamQ4Z2ptNnZsYmYzdm01Z3NsZWRpOWYgYzM5ZjIxNjY2YTJjNzBkNjQ0MDI0YmQyOWM3ZmM5ODM3OTY2MmY3OTJlNWEwNDdjZGIzNTdhNDJiM2M1N2QwNEBn?pli=1" TargetMode="External"/><Relationship Id="rId12" Type="http://schemas.openxmlformats.org/officeDocument/2006/relationships/hyperlink" Target="mailto:info@welcaredx.com" TargetMode="External"/><Relationship Id="rId34" Type="http://schemas.openxmlformats.org/officeDocument/2006/relationships/hyperlink" Target="https://calendar.google.com/calendar/u/0/r/eventedit/MnQyaDdoNmx1czgyZHI1aGZiMThpdDN2cWIgYzM5ZjIxNjY2YTJjNzBkNjQ0MDI0YmQyOWM3ZmM5ODM3OTY2MmY3OTJlNWEwNDdjZGIzNTdhNDJiM2M1N2QwNEBn?pli=1" TargetMode="External"/><Relationship Id="rId15" Type="http://schemas.openxmlformats.org/officeDocument/2006/relationships/hyperlink" Target="https://calendar.google.com/calendar/u/0/r/eventedit/NWE3aHN0ZW5yNDQ1aDFtcTBrY2ExMGtvZWogYzM5ZjIxNjY2YTJjNzBkNjQ0MDI0YmQyOWM3ZmM5ODM3OTY2MmY3OTJlNWEwNDdjZGIzNTdhNDJiM2M1N2QwNEBn?pli=1" TargetMode="External"/><Relationship Id="rId37" Type="http://schemas.openxmlformats.org/officeDocument/2006/relationships/hyperlink" Target="https://calendar.google.com/calendar/u/0/r/eventedit/NGppb3RsZ203Yjdsdmduc3Jkb2x0MGQ3dDggYzM5ZjIxNjY2YTJjNzBkNjQ0MDI0YmQyOWM3ZmM5ODM3OTY2MmY3OTJlNWEwNDdjZGIzNTdhNDJiM2M1N2QwNEBn?pli=1" TargetMode="External"/><Relationship Id="rId14" Type="http://schemas.openxmlformats.org/officeDocument/2006/relationships/hyperlink" Target="https://calendar.google.com/calendar/u/0/r/eventedit/NjFjNGI5Z2kwYWY2anFtdmE1Y2FqZjFmb20gYzM5ZjIxNjY2YTJjNzBkNjQ0MDI0YmQyOWM3ZmM5ODM3OTY2MmY3OTJlNWEwNDdjZGIzNTdhNDJiM2M1N2QwNEBn?pli=1" TargetMode="External"/><Relationship Id="rId36" Type="http://schemas.openxmlformats.org/officeDocument/2006/relationships/hyperlink" Target="https://calendar.google.com/calendar/u/0/r/eventedit/MmNsZXUzamxvNjFscWk5dTlmcWh0ZWFuMXMgbWVldGluZ3MuZG1lZGVza2FpQG0?pli=1" TargetMode="External"/><Relationship Id="rId17" Type="http://schemas.openxmlformats.org/officeDocument/2006/relationships/hyperlink" Target="https://calendar.google.com/calendar/u/0/r/eventedit/MTcxYmEyazk5OTJ2bG03aDAxOHZvaTRucGIgYzM5ZjIxNjY2YTJjNzBkNjQ0MDI0YmQyOWM3ZmM5ODM3OTY2MmY3OTJlNWEwNDdjZGIzNTdhNDJiM2M1N2QwNEBn" TargetMode="External"/><Relationship Id="rId39" Type="http://schemas.openxmlformats.org/officeDocument/2006/relationships/hyperlink" Target="https://calendar.google.com/calendar/u/0/r/eventedit/MG90amIzMWhtY2QxNGhuMWYwanBpNGEyaTggYzM5ZjIxNjY2YTJjNzBkNjQ0MDI0YmQyOWM3ZmM5ODM3OTY2MmY3OTJlNWEwNDdjZGIzNTdhNDJiM2M1N2QwNEBn" TargetMode="External"/><Relationship Id="rId16" Type="http://schemas.openxmlformats.org/officeDocument/2006/relationships/hyperlink" Target="https://calendar.google.com/calendar/u/0/r/eventedit/NjJpcjVrNWVoazhma2U0aG9pZW4wdGg0YTYgYzM5ZjIxNjY2YTJjNzBkNjQ0MDI0YmQyOWM3ZmM5ODM3OTY2MmY3OTJlNWEwNDdjZGIzNTdhNDJiM2M1N2QwNEBn" TargetMode="External"/><Relationship Id="rId38" Type="http://schemas.openxmlformats.org/officeDocument/2006/relationships/hyperlink" Target="https://calendar.google.com/calendar/u/0/r/eventedit/MTVnMGY5b2k0YmEzZTdzdmUzOWR0dmJwM3EgYzM5ZjIxNjY2YTJjNzBkNjQ0MDI0YmQyOWM3ZmM5ODM3OTY2MmY3OTJlNWEwNDdjZGIzNTdhNDJiM2M1N2QwNEBn?pli=1" TargetMode="External"/><Relationship Id="rId19" Type="http://schemas.openxmlformats.org/officeDocument/2006/relationships/hyperlink" Target="https://calendar.google.com/calendar/u/0/r/eventedit/NmY4MDQwMHFlZGI2YXJqN2xnYjFhMjVldWYgYzM5ZjIxNjY2YTJjNzBkNjQ0MDI0YmQyOWM3ZmM5ODM3OTY2MmY3OTJlNWEwNDdjZGIzNTdhNDJiM2M1N2QwNEBn?pli=1" TargetMode="External"/><Relationship Id="rId18" Type="http://schemas.openxmlformats.org/officeDocument/2006/relationships/hyperlink" Target="https://calendar.google.com/calendar/u/0/r/eventedit/NGFwaHJwZm9nbTdjNDA0MjltY3MwNWpzZnYgYzM5ZjIxNjY2YTJjNzBkNjQ0MDI0YmQyOWM3ZmM5ODM3OTY2MmY3OTJlNWEwNDdjZGIzNTdhNDJiM2M1N2QwNEBn?pli=1"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2C4C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25"/>
    <col customWidth="1" min="2" max="2" width="17.0"/>
    <col customWidth="1" min="3" max="3" width="28.13"/>
    <col customWidth="1" min="4" max="4" width="13.13"/>
    <col customWidth="1" min="5" max="5" width="43.5"/>
    <col customWidth="1" min="6" max="6" width="36.38"/>
    <col customWidth="1" min="7" max="7" width="20.13"/>
    <col customWidth="1" min="8" max="8" width="35.0"/>
    <col customWidth="1" min="9" max="9" width="16.5"/>
    <col customWidth="1" min="10" max="10" width="39.13"/>
    <col customWidth="1" min="11" max="11" width="25.75"/>
    <col customWidth="1" hidden="1" min="12" max="12" width="23.63"/>
    <col customWidth="1" min="13" max="13" width="19.88"/>
    <col hidden="1" min="14" max="16" width="12.63"/>
  </cols>
  <sheetData>
    <row r="1" ht="38.25" customHeight="1">
      <c r="A1" s="1" t="s">
        <v>0</v>
      </c>
      <c r="B1" s="2" t="s">
        <v>1</v>
      </c>
      <c r="C1" s="3" t="s">
        <v>2</v>
      </c>
      <c r="D1" s="3" t="s">
        <v>3</v>
      </c>
      <c r="E1" s="3" t="s">
        <v>4</v>
      </c>
      <c r="F1" s="3" t="s">
        <v>5</v>
      </c>
      <c r="G1" s="4" t="s">
        <v>6</v>
      </c>
      <c r="H1" s="3" t="s">
        <v>7</v>
      </c>
      <c r="I1" s="3" t="s">
        <v>8</v>
      </c>
      <c r="J1" s="3" t="s">
        <v>9</v>
      </c>
      <c r="K1" s="3" t="s">
        <v>10</v>
      </c>
      <c r="L1" s="5" t="s">
        <v>11</v>
      </c>
      <c r="M1" s="2" t="s">
        <v>12</v>
      </c>
      <c r="N1" s="3" t="s">
        <v>13</v>
      </c>
      <c r="O1" s="2" t="s">
        <v>14</v>
      </c>
      <c r="P1" s="3" t="s">
        <v>15</v>
      </c>
      <c r="Q1" s="7" t="s">
        <v>16</v>
      </c>
      <c r="R1" s="7"/>
      <c r="S1" s="7"/>
    </row>
    <row r="2" ht="21.0" customHeight="1">
      <c r="A2" s="11" t="s">
        <v>18</v>
      </c>
      <c r="B2" s="11" t="s">
        <v>25</v>
      </c>
      <c r="C2" s="11"/>
      <c r="D2" s="14">
        <v>46197.0</v>
      </c>
      <c r="E2" s="11" t="s">
        <v>33</v>
      </c>
      <c r="F2" s="11" t="s">
        <v>35</v>
      </c>
      <c r="G2" s="11" t="s">
        <v>36</v>
      </c>
      <c r="H2" s="11" t="s">
        <v>40</v>
      </c>
      <c r="I2" s="19" t="s">
        <v>42</v>
      </c>
      <c r="J2" s="11" t="s">
        <v>48</v>
      </c>
      <c r="K2" s="11"/>
      <c r="L2" s="11"/>
      <c r="M2" s="11"/>
      <c r="N2" s="11"/>
      <c r="O2" s="11"/>
      <c r="P2" s="11"/>
      <c r="Q2" s="11">
        <v>1.366915209E9</v>
      </c>
      <c r="R2" s="26"/>
      <c r="S2" s="26"/>
    </row>
    <row r="3" ht="21.0" customHeight="1">
      <c r="A3" s="30" t="s">
        <v>62</v>
      </c>
      <c r="B3" s="25" t="s">
        <v>53</v>
      </c>
      <c r="C3" s="11" t="s">
        <v>24</v>
      </c>
      <c r="D3" s="37">
        <v>46092.0</v>
      </c>
      <c r="E3" s="40" t="s">
        <v>65</v>
      </c>
      <c r="F3" s="40" t="s">
        <v>66</v>
      </c>
      <c r="G3" s="40" t="s">
        <v>67</v>
      </c>
      <c r="H3" s="40" t="s">
        <v>68</v>
      </c>
      <c r="I3" s="40" t="s">
        <v>69</v>
      </c>
      <c r="J3" s="43" t="s">
        <v>72</v>
      </c>
      <c r="K3" s="25" t="s">
        <v>76</v>
      </c>
      <c r="L3" s="45"/>
      <c r="M3" s="47">
        <v>46223.76303456019</v>
      </c>
      <c r="N3" s="49"/>
      <c r="O3" s="25" t="b">
        <v>0</v>
      </c>
      <c r="P3" s="51"/>
      <c r="Q3" s="30">
        <v>1.174419758E9</v>
      </c>
      <c r="R3" s="53"/>
      <c r="S3" s="53"/>
    </row>
    <row r="4" ht="20.25" customHeight="1">
      <c r="A4" s="56" t="s">
        <v>17</v>
      </c>
      <c r="B4" s="10" t="s">
        <v>23</v>
      </c>
      <c r="C4" s="58"/>
      <c r="D4" s="12">
        <v>46231.0</v>
      </c>
      <c r="E4" s="11" t="s">
        <v>98</v>
      </c>
      <c r="F4" s="11" t="s">
        <v>104</v>
      </c>
      <c r="G4" s="11" t="s">
        <v>107</v>
      </c>
      <c r="H4" s="11" t="s">
        <v>109</v>
      </c>
      <c r="I4" s="65" t="str">
        <f>HYPERLINK("https://calendar.google.com/calendar/u/0/r/eventedit/Mm8zMmNqNmJidG8zZWZyODlubXNtMzFydGUgYzM5ZjIxNjY2YTJjNzBkNjQ0MDI0YmQyOWM3ZmM5ODM3OTY2MmY3OTJlNWEwNDdjZGIzNTdhNDJiM2M1N2QwNEBn?pli=1", "FRI 8:00 PM")
</f>
        <v>FRI 8:00 PM</v>
      </c>
      <c r="J4" s="67" t="s">
        <v>129</v>
      </c>
      <c r="K4" s="11"/>
      <c r="L4" s="69"/>
      <c r="M4" s="70"/>
      <c r="N4" s="32"/>
      <c r="O4" s="11"/>
      <c r="P4" s="34"/>
      <c r="Q4" s="71">
        <v>1.629722889E9</v>
      </c>
      <c r="R4" s="11"/>
      <c r="S4" s="11"/>
    </row>
    <row r="5" ht="21.0" customHeight="1">
      <c r="A5" s="11" t="s">
        <v>155</v>
      </c>
      <c r="B5" s="11" t="s">
        <v>53</v>
      </c>
      <c r="C5" s="11"/>
      <c r="D5" s="14">
        <v>46233.0</v>
      </c>
      <c r="E5" s="11" t="s">
        <v>159</v>
      </c>
      <c r="F5" s="11" t="s">
        <v>160</v>
      </c>
      <c r="G5" s="11" t="s">
        <v>161</v>
      </c>
      <c r="H5" s="11" t="s">
        <v>162</v>
      </c>
      <c r="I5" s="65" t="str">
        <f>HYPERLINK("https://calendar.google.com/calendar/u/0/r/eventedit/NjdvNWowNGZkdGtwZmtxMzk2MnM5c3F0ZTIgYzM5ZjIxNjY2YTJjNzBkNjQ0MDI0YmQyOWM3ZmM5ODM3OTY2MmY3OTJlNWEwNDdjZGIzNTdhNDJiM2M1N2QwNEBn", "Wed 10:00 PM")
</f>
        <v>Wed 10:00 PM</v>
      </c>
      <c r="J5" s="11" t="s">
        <v>175</v>
      </c>
      <c r="K5" s="11" t="s">
        <v>177</v>
      </c>
      <c r="L5" s="11"/>
      <c r="M5" s="75">
        <v>46240.740636076385</v>
      </c>
      <c r="N5" s="11"/>
      <c r="O5" s="11"/>
      <c r="P5" s="11"/>
      <c r="Q5" s="11">
        <v>1.265365829E9</v>
      </c>
      <c r="R5" s="11"/>
      <c r="S5" s="11"/>
    </row>
    <row r="6" ht="21.0" customHeight="1">
      <c r="A6" s="11" t="s">
        <v>155</v>
      </c>
      <c r="B6" s="11" t="s">
        <v>23</v>
      </c>
      <c r="C6" s="11"/>
      <c r="D6" s="14">
        <v>46239.0</v>
      </c>
      <c r="E6" s="11" t="s">
        <v>192</v>
      </c>
      <c r="F6" s="11" t="s">
        <v>194</v>
      </c>
      <c r="G6" s="11" t="s">
        <v>196</v>
      </c>
      <c r="H6" s="77" t="s">
        <v>197</v>
      </c>
      <c r="I6" s="65" t="str">
        <f>HYPERLINK("https://calendar.google.com/calendar/u/0/r/eventedit/M3ZvM2Q1M2JiazRjc285MGZmZWU4Z2w2NjcgYzM5ZjIxNjY2YTJjNzBkNjQ0MDI0YmQyOWM3ZmM5ODM3OTY2MmY3OTJlNWEwNDdjZGIzNTdhNDJiM2M1N2QwNEBn?pli=1", "FRI 11:00 PM")
</f>
        <v>FRI 11:00 PM</v>
      </c>
      <c r="J6" s="11" t="s">
        <v>219</v>
      </c>
      <c r="K6" s="11" t="s">
        <v>220</v>
      </c>
      <c r="L6" s="11"/>
      <c r="M6" s="75">
        <v>46248.79729387732</v>
      </c>
      <c r="N6" s="11"/>
      <c r="O6" s="11"/>
      <c r="P6" s="11"/>
      <c r="Q6" s="11">
        <v>1.033037254E9</v>
      </c>
      <c r="R6" s="11"/>
      <c r="S6" s="11"/>
    </row>
    <row r="7" ht="21.0" customHeight="1">
      <c r="A7" s="11" t="s">
        <v>224</v>
      </c>
      <c r="B7" s="11" t="s">
        <v>225</v>
      </c>
      <c r="C7" s="11"/>
      <c r="D7" s="84">
        <v>46241.0</v>
      </c>
      <c r="E7" s="11" t="s">
        <v>232</v>
      </c>
      <c r="F7" s="11" t="s">
        <v>234</v>
      </c>
      <c r="G7" s="11" t="s">
        <v>236</v>
      </c>
      <c r="H7" s="11" t="s">
        <v>239</v>
      </c>
      <c r="I7" s="11" t="s">
        <v>240</v>
      </c>
      <c r="J7" s="11" t="s">
        <v>244</v>
      </c>
      <c r="K7" s="11"/>
      <c r="L7" s="11"/>
      <c r="M7" s="11"/>
      <c r="N7" s="11"/>
      <c r="O7" s="11"/>
      <c r="P7" s="11"/>
      <c r="Q7" s="11"/>
      <c r="R7" s="11"/>
      <c r="S7" s="11"/>
    </row>
    <row r="8" ht="21.0" customHeight="1">
      <c r="A8" s="11" t="s">
        <v>18</v>
      </c>
      <c r="B8" s="11" t="s">
        <v>251</v>
      </c>
      <c r="C8" s="11"/>
      <c r="D8" s="14">
        <v>46241.0</v>
      </c>
      <c r="E8" s="93" t="s">
        <v>256</v>
      </c>
      <c r="F8" s="11" t="s">
        <v>259</v>
      </c>
      <c r="G8" s="11" t="s">
        <v>260</v>
      </c>
      <c r="H8" s="11" t="s">
        <v>262</v>
      </c>
      <c r="I8" s="94" t="s">
        <v>268</v>
      </c>
      <c r="J8" s="11" t="s">
        <v>278</v>
      </c>
      <c r="K8" s="11"/>
      <c r="L8" s="11"/>
      <c r="M8" s="11"/>
      <c r="N8" s="11"/>
      <c r="O8" s="11"/>
      <c r="P8" s="11"/>
      <c r="Q8" s="11">
        <v>1.093732513E9</v>
      </c>
      <c r="R8" s="11"/>
      <c r="S8" s="11"/>
    </row>
    <row r="9" ht="21.0" customHeight="1">
      <c r="A9" s="11" t="s">
        <v>155</v>
      </c>
      <c r="B9" s="11" t="s">
        <v>53</v>
      </c>
      <c r="C9" s="11"/>
      <c r="D9" s="14">
        <v>46244.0</v>
      </c>
      <c r="E9" s="11" t="s">
        <v>289</v>
      </c>
      <c r="F9" s="11" t="s">
        <v>291</v>
      </c>
      <c r="G9" s="11" t="s">
        <v>293</v>
      </c>
      <c r="H9" s="11" t="s">
        <v>294</v>
      </c>
      <c r="I9" s="65" t="str">
        <f>HYPERLINK("https://calendar.google.com/calendar/u/0/r/eventedit/NWdmZDZpbjVjcGxidGhjcDUydmNwaDlyOHMgamFuZS5teWxlcy53aXpAbQ", "Wed 10:30 PM")
</f>
        <v>Wed 10:30 PM</v>
      </c>
      <c r="J9" s="11" t="s">
        <v>306</v>
      </c>
      <c r="K9" s="11" t="s">
        <v>308</v>
      </c>
      <c r="L9" s="11"/>
      <c r="M9" s="75">
        <v>46253.89071010417</v>
      </c>
      <c r="N9" s="11"/>
      <c r="O9" s="11"/>
      <c r="P9" s="11"/>
      <c r="Q9" s="11">
        <v>1.023439809E9</v>
      </c>
      <c r="R9" s="11"/>
      <c r="S9" s="11"/>
    </row>
    <row r="10" ht="21.0" customHeight="1">
      <c r="A10" s="11" t="s">
        <v>155</v>
      </c>
      <c r="B10" s="11" t="s">
        <v>225</v>
      </c>
      <c r="C10" s="11"/>
      <c r="D10" s="84">
        <v>46245.0</v>
      </c>
      <c r="E10" s="11" t="s">
        <v>322</v>
      </c>
      <c r="F10" s="11" t="s">
        <v>324</v>
      </c>
      <c r="G10" s="11" t="s">
        <v>327</v>
      </c>
      <c r="H10" s="11" t="s">
        <v>330</v>
      </c>
      <c r="I10" s="11" t="s">
        <v>240</v>
      </c>
      <c r="J10" s="11" t="s">
        <v>335</v>
      </c>
      <c r="K10" s="11"/>
      <c r="L10" s="11"/>
      <c r="M10" s="11"/>
      <c r="N10" s="11"/>
      <c r="O10" s="11"/>
      <c r="P10" s="11"/>
      <c r="Q10" s="11">
        <v>1.326972274E9</v>
      </c>
      <c r="R10" s="11"/>
      <c r="S10" s="11"/>
    </row>
    <row r="11" ht="21.0" customHeight="1">
      <c r="A11" s="11" t="s">
        <v>22</v>
      </c>
      <c r="B11" s="11" t="s">
        <v>23</v>
      </c>
      <c r="C11" s="11"/>
      <c r="D11" s="14">
        <v>46247.0</v>
      </c>
      <c r="E11" s="11" t="s">
        <v>351</v>
      </c>
      <c r="F11" s="11" t="s">
        <v>352</v>
      </c>
      <c r="G11" s="11" t="s">
        <v>353</v>
      </c>
      <c r="H11" s="11" t="s">
        <v>354</v>
      </c>
      <c r="I11" s="65" t="str">
        <f>HYPERLINK("https://calendar.google.com/calendar/u/0/r/eventedit/MjlvM2kza2xiaDZ2dThybGNva2hmamRkcG8gYzM5ZjIxNjY2YTJjNzBkNjQ0MDI0YmQyOWM3ZmM5ODM3OTY2MmY3OTJlNWEwNDdjZGIzNTdhNDJiM2M1N2QwNEBn?pli=1", "Mon 6:30 PM")
</f>
        <v>Mon 6:30 PM</v>
      </c>
      <c r="J11" s="11" t="s">
        <v>378</v>
      </c>
      <c r="K11" s="11"/>
      <c r="L11" s="11"/>
      <c r="M11" s="11"/>
      <c r="N11" s="11"/>
      <c r="O11" s="11"/>
      <c r="P11" s="11"/>
      <c r="Q11" s="11">
        <v>1.92280633E9</v>
      </c>
      <c r="R11" s="11"/>
      <c r="S11" s="11"/>
    </row>
    <row r="12" ht="21.0" customHeight="1">
      <c r="A12" s="11" t="s">
        <v>155</v>
      </c>
      <c r="B12" s="11" t="s">
        <v>251</v>
      </c>
      <c r="C12" s="11"/>
      <c r="D12" s="14">
        <v>46248.0</v>
      </c>
      <c r="E12" s="11" t="s">
        <v>403</v>
      </c>
      <c r="F12" s="11" t="s">
        <v>404</v>
      </c>
      <c r="G12" s="11" t="s">
        <v>407</v>
      </c>
      <c r="H12" s="11" t="s">
        <v>408</v>
      </c>
      <c r="I12" s="102" t="s">
        <v>409</v>
      </c>
      <c r="J12" s="11" t="s">
        <v>413</v>
      </c>
      <c r="K12" s="11"/>
      <c r="L12" s="11"/>
      <c r="M12" s="11"/>
      <c r="N12" s="11"/>
      <c r="O12" s="11"/>
      <c r="P12" s="11"/>
      <c r="Q12" s="11">
        <v>1.09335147E9</v>
      </c>
      <c r="R12" s="11"/>
      <c r="S12" s="11"/>
    </row>
    <row r="13" ht="21.0" customHeight="1">
      <c r="A13" s="11" t="s">
        <v>22</v>
      </c>
      <c r="B13" s="11" t="s">
        <v>23</v>
      </c>
      <c r="C13" s="11"/>
      <c r="D13" s="14">
        <v>46251.0</v>
      </c>
      <c r="E13" s="11" t="s">
        <v>430</v>
      </c>
      <c r="F13" s="11" t="s">
        <v>431</v>
      </c>
      <c r="G13" s="11" t="s">
        <v>432</v>
      </c>
      <c r="H13" s="11" t="s">
        <v>434</v>
      </c>
      <c r="I13" s="65" t="str">
        <f>HYPERLINK("https://calendar.google.com/calendar/u/0/r/eventedit/NjM1Y2tqZjY0cTd2dW9lZWc1anQ4dXN0bjcgYzM5ZjIxNjY2YTJjNzBkNjQ0MDI0YmQyOWM3ZmM5ODM3OTY2MmY3OTJlNWEwNDdjZGIzNTdhNDJiM2M1N2QwNEBn?pli=1", "Tue 8:00 PM")
</f>
        <v>Tue 8:00 PM</v>
      </c>
      <c r="J13" s="11" t="s">
        <v>448</v>
      </c>
      <c r="K13" s="11"/>
      <c r="L13" s="11"/>
      <c r="M13" s="11"/>
      <c r="N13" s="11"/>
      <c r="O13" s="11"/>
      <c r="P13" s="11"/>
      <c r="Q13" s="11">
        <v>1.18455475E9</v>
      </c>
      <c r="R13" s="11"/>
      <c r="S13" s="11"/>
    </row>
    <row r="14" ht="21.0" customHeight="1">
      <c r="A14" s="11" t="s">
        <v>155</v>
      </c>
      <c r="B14" s="11" t="s">
        <v>251</v>
      </c>
      <c r="C14" s="11"/>
      <c r="D14" s="14">
        <v>46251.0</v>
      </c>
      <c r="E14" s="11" t="s">
        <v>456</v>
      </c>
      <c r="F14" s="11" t="s">
        <v>458</v>
      </c>
      <c r="G14" s="11" t="s">
        <v>460</v>
      </c>
      <c r="H14" s="11" t="s">
        <v>462</v>
      </c>
      <c r="I14" s="102" t="s">
        <v>466</v>
      </c>
      <c r="J14" s="11" t="s">
        <v>469</v>
      </c>
      <c r="K14" s="11"/>
      <c r="L14" s="11"/>
      <c r="M14" s="11"/>
      <c r="N14" s="11"/>
      <c r="O14" s="11"/>
      <c r="P14" s="11"/>
      <c r="Q14" s="11">
        <v>1.174278238E9</v>
      </c>
      <c r="R14" s="11"/>
      <c r="S14" s="11"/>
    </row>
    <row r="15" ht="21.0" customHeight="1">
      <c r="A15" s="11" t="s">
        <v>22</v>
      </c>
      <c r="B15" s="11" t="s">
        <v>53</v>
      </c>
      <c r="C15" s="11"/>
      <c r="D15" s="14">
        <v>46251.0</v>
      </c>
      <c r="E15" s="11" t="s">
        <v>482</v>
      </c>
      <c r="F15" s="11" t="s">
        <v>485</v>
      </c>
      <c r="G15" s="11" t="s">
        <v>489</v>
      </c>
      <c r="H15" s="11" t="s">
        <v>492</v>
      </c>
      <c r="I15" s="65" t="str">
        <f>HYPERLINK("https://calendar.google.com/calendar/u/0/r/eventedit/NTFnZmo4YWhzb3JmNmt2ZThhNTNhZGttb2MgamFuZS5teWxlcy53aXpAbQ", "Tue 10:00 PM")
</f>
        <v>Tue 10:00 PM</v>
      </c>
      <c r="J15" s="11" t="s">
        <v>520</v>
      </c>
      <c r="K15" s="11"/>
      <c r="L15" s="11"/>
      <c r="M15" s="11"/>
      <c r="N15" s="11"/>
      <c r="O15" s="11"/>
      <c r="P15" s="11"/>
      <c r="Q15" s="11">
        <v>1.831055482E9</v>
      </c>
      <c r="R15" s="11"/>
      <c r="S15" s="11"/>
    </row>
    <row r="16" ht="21.0" customHeight="1">
      <c r="A16" s="11" t="s">
        <v>155</v>
      </c>
      <c r="B16" s="11" t="s">
        <v>225</v>
      </c>
      <c r="C16" s="11"/>
      <c r="D16" s="14">
        <v>46252.0</v>
      </c>
      <c r="E16" s="11" t="s">
        <v>532</v>
      </c>
      <c r="F16" s="11" t="s">
        <v>537</v>
      </c>
      <c r="G16" s="11" t="s">
        <v>542</v>
      </c>
      <c r="H16" s="11" t="s">
        <v>545</v>
      </c>
      <c r="I16" s="102" t="s">
        <v>548</v>
      </c>
      <c r="J16" s="11" t="s">
        <v>551</v>
      </c>
      <c r="K16" s="11"/>
      <c r="L16" s="11"/>
      <c r="M16" s="11"/>
      <c r="N16" s="11"/>
      <c r="O16" s="11"/>
      <c r="P16" s="11"/>
      <c r="Q16" s="11">
        <v>1.073367389E9</v>
      </c>
      <c r="R16" s="11"/>
      <c r="S16" s="11"/>
    </row>
    <row r="17" ht="21.0" customHeight="1">
      <c r="A17" s="11" t="s">
        <v>22</v>
      </c>
      <c r="B17" s="11" t="s">
        <v>23</v>
      </c>
      <c r="C17" s="11"/>
      <c r="D17" s="14">
        <v>46253.0</v>
      </c>
      <c r="E17" s="11" t="s">
        <v>565</v>
      </c>
      <c r="F17" s="11" t="s">
        <v>568</v>
      </c>
      <c r="G17" s="11" t="s">
        <v>570</v>
      </c>
      <c r="H17" s="11" t="s">
        <v>573</v>
      </c>
      <c r="I17" s="65" t="str">
        <f>HYPERLINK("https://calendar.google.com/calendar/u/0/r/eventedit/N2I0bXJxc3VkNGFrZWFyajVxZmMwMjU3ODcgYzM5ZjIxNjY2YTJjNzBkNjQ0MDI0YmQyOWM3ZmM5ODM3OTY2MmY3OTJlNWEwNDdjZGIzNTdhNDJiM2M1N2QwNEBn?pli=1", "FRI 4:00 PM")
</f>
        <v>FRI 4:00 PM</v>
      </c>
      <c r="J17" s="11" t="s">
        <v>588</v>
      </c>
      <c r="K17" s="11"/>
      <c r="L17" s="11"/>
      <c r="M17" s="11"/>
      <c r="N17" s="11"/>
      <c r="O17" s="11"/>
      <c r="P17" s="11"/>
      <c r="Q17" s="11">
        <v>1.528985488E9</v>
      </c>
      <c r="R17" s="11"/>
      <c r="S17" s="11"/>
    </row>
    <row r="18" ht="21.0" customHeight="1">
      <c r="A18" s="11" t="s">
        <v>17</v>
      </c>
      <c r="B18" s="11" t="s">
        <v>251</v>
      </c>
      <c r="C18" s="11"/>
      <c r="D18" s="14">
        <v>46253.0</v>
      </c>
      <c r="E18" s="11" t="s">
        <v>600</v>
      </c>
      <c r="F18" s="11" t="s">
        <v>603</v>
      </c>
      <c r="G18" s="11" t="s">
        <v>607</v>
      </c>
      <c r="H18" s="11" t="s">
        <v>610</v>
      </c>
      <c r="I18" s="102" t="s">
        <v>613</v>
      </c>
      <c r="J18" s="11" t="s">
        <v>617</v>
      </c>
      <c r="K18" s="11"/>
      <c r="L18" s="11"/>
      <c r="M18" s="11"/>
      <c r="N18" s="11"/>
      <c r="O18" s="11"/>
      <c r="P18" s="11"/>
      <c r="Q18" s="11">
        <v>1.68952877E9</v>
      </c>
      <c r="R18" s="11"/>
      <c r="S18" s="11"/>
    </row>
    <row r="19" ht="21.0" customHeight="1">
      <c r="A19" s="11" t="s">
        <v>22</v>
      </c>
      <c r="B19" s="11" t="s">
        <v>53</v>
      </c>
      <c r="C19" s="11"/>
      <c r="D19" s="14">
        <v>46253.0</v>
      </c>
      <c r="E19" s="11" t="s">
        <v>623</v>
      </c>
      <c r="F19" s="11" t="s">
        <v>624</v>
      </c>
      <c r="G19" s="11" t="s">
        <v>626</v>
      </c>
      <c r="H19" s="11" t="s">
        <v>628</v>
      </c>
      <c r="I19" s="65" t="str">
        <f>HYPERLINK("https://calendar.google.com/calendar/u/0/r/eventedit/NG04MDVyOGo1bzVnMW03cWJwdHN1bTluamwgYzM5ZjIxNjY2YTJjNzBkNjQ0MDI0YmQyOWM3ZmM5ODM3OTY2MmY3OTJlNWEwNDdjZGIzNTdhNDJiM2M1N2QwNEBn", "Thu 11:00 PM")
</f>
        <v>Thu 11:00 PM</v>
      </c>
      <c r="J19" s="11" t="s">
        <v>639</v>
      </c>
      <c r="K19" s="11"/>
      <c r="L19" s="11"/>
      <c r="M19" s="11"/>
      <c r="N19" s="11"/>
      <c r="O19" s="11"/>
      <c r="P19" s="11"/>
      <c r="Q19" s="11"/>
      <c r="R19" s="11"/>
      <c r="S19" s="11"/>
    </row>
    <row r="20" ht="21.0" customHeight="1">
      <c r="A20" s="11" t="s">
        <v>155</v>
      </c>
      <c r="B20" s="11" t="s">
        <v>251</v>
      </c>
      <c r="C20" s="11"/>
      <c r="D20" s="14">
        <v>46253.0</v>
      </c>
      <c r="E20" s="11" t="s">
        <v>647</v>
      </c>
      <c r="F20" s="11" t="s">
        <v>648</v>
      </c>
      <c r="G20" s="11" t="s">
        <v>649</v>
      </c>
      <c r="H20" s="102" t="s">
        <v>651</v>
      </c>
      <c r="I20" s="102" t="s">
        <v>667</v>
      </c>
      <c r="J20" s="11" t="s">
        <v>670</v>
      </c>
      <c r="K20" s="11"/>
      <c r="L20" s="11"/>
      <c r="M20" s="11"/>
      <c r="N20" s="11"/>
      <c r="O20" s="11"/>
      <c r="P20" s="11"/>
      <c r="Q20" s="11">
        <v>1.316777543E9</v>
      </c>
      <c r="R20" s="11"/>
      <c r="S20" s="11"/>
    </row>
    <row r="21" ht="21.0" customHeight="1">
      <c r="A21" s="11" t="s">
        <v>155</v>
      </c>
      <c r="B21" s="11" t="s">
        <v>251</v>
      </c>
      <c r="C21" s="11"/>
      <c r="D21" s="14">
        <v>46253.0</v>
      </c>
      <c r="E21" s="11" t="s">
        <v>676</v>
      </c>
      <c r="F21" s="11" t="s">
        <v>678</v>
      </c>
      <c r="G21" s="11" t="s">
        <v>679</v>
      </c>
      <c r="H21" s="102" t="s">
        <v>680</v>
      </c>
      <c r="I21" s="102" t="s">
        <v>686</v>
      </c>
      <c r="J21" s="11" t="s">
        <v>687</v>
      </c>
      <c r="K21" s="11"/>
      <c r="L21" s="11"/>
      <c r="M21" s="11"/>
      <c r="N21" s="11"/>
      <c r="O21" s="11"/>
      <c r="P21" s="11"/>
      <c r="Q21" s="11">
        <v>1.285338731E9</v>
      </c>
      <c r="R21" s="11"/>
      <c r="S21" s="11"/>
    </row>
    <row r="22" ht="21.0" customHeight="1">
      <c r="A22" s="11" t="s">
        <v>117</v>
      </c>
      <c r="B22" s="11" t="s">
        <v>25</v>
      </c>
      <c r="C22" s="11"/>
      <c r="D22" s="14">
        <v>46253.0</v>
      </c>
      <c r="E22" s="11" t="s">
        <v>694</v>
      </c>
      <c r="F22" s="11" t="s">
        <v>695</v>
      </c>
      <c r="G22" s="11" t="s">
        <v>696</v>
      </c>
      <c r="H22" s="11" t="s">
        <v>697</v>
      </c>
      <c r="I22" s="11" t="s">
        <v>30</v>
      </c>
      <c r="J22" s="11" t="s">
        <v>698</v>
      </c>
      <c r="K22" s="11"/>
      <c r="L22" s="11"/>
      <c r="M22" s="11"/>
      <c r="N22" s="11"/>
      <c r="O22" s="11"/>
      <c r="P22" s="11"/>
      <c r="Q22" s="11">
        <v>1.568380384E9</v>
      </c>
      <c r="R22" s="11"/>
      <c r="S22" s="11"/>
    </row>
    <row r="23" ht="21.0" customHeight="1">
      <c r="A23" s="11"/>
      <c r="B23" s="11"/>
      <c r="C23" s="11"/>
      <c r="D23" s="11"/>
      <c r="F23" s="11"/>
      <c r="G23" s="11"/>
      <c r="H23" s="11"/>
      <c r="I23" s="11"/>
      <c r="J23" s="11"/>
      <c r="K23" s="11"/>
      <c r="L23" s="11"/>
      <c r="M23" s="11"/>
      <c r="N23" s="11"/>
      <c r="O23" s="11"/>
      <c r="P23" s="11"/>
      <c r="Q23" s="11"/>
      <c r="R23" s="11"/>
      <c r="S23" s="11"/>
    </row>
    <row r="24" ht="21.0" customHeight="1">
      <c r="A24" s="11"/>
      <c r="B24" s="11"/>
      <c r="C24" s="11"/>
      <c r="D24" s="11"/>
      <c r="E24" s="11"/>
      <c r="F24" s="11"/>
      <c r="G24" s="11"/>
      <c r="H24" s="11"/>
      <c r="I24" s="11"/>
      <c r="J24" s="11"/>
      <c r="K24" s="11"/>
      <c r="L24" s="11"/>
      <c r="M24" s="11"/>
      <c r="N24" s="11"/>
      <c r="O24" s="11"/>
      <c r="P24" s="11"/>
      <c r="Q24" s="11"/>
      <c r="R24" s="11"/>
      <c r="S24" s="11"/>
    </row>
    <row r="25" ht="21.0" customHeight="1">
      <c r="A25" s="11"/>
      <c r="B25" s="11"/>
      <c r="C25" s="11"/>
      <c r="D25" s="11"/>
      <c r="E25" s="11"/>
      <c r="F25" s="11"/>
      <c r="G25" s="11"/>
      <c r="H25" s="11"/>
      <c r="I25" s="11"/>
      <c r="J25" s="11"/>
      <c r="K25" s="11"/>
      <c r="L25" s="11"/>
      <c r="M25" s="11"/>
      <c r="N25" s="11"/>
      <c r="O25" s="11"/>
      <c r="P25" s="11"/>
      <c r="Q25" s="11"/>
      <c r="R25" s="11"/>
      <c r="S25" s="11"/>
    </row>
    <row r="26" ht="21.0" customHeight="1">
      <c r="A26" s="11"/>
      <c r="B26" s="11"/>
      <c r="C26" s="11"/>
      <c r="D26" s="11"/>
      <c r="E26" s="11"/>
      <c r="F26" s="11"/>
      <c r="G26" s="11"/>
      <c r="H26" s="11"/>
      <c r="I26" s="11"/>
      <c r="J26" s="11"/>
      <c r="K26" s="11"/>
      <c r="L26" s="11"/>
      <c r="M26" s="11"/>
      <c r="N26" s="11"/>
      <c r="O26" s="11"/>
      <c r="P26" s="11"/>
      <c r="Q26" s="11"/>
      <c r="R26" s="11"/>
      <c r="S26" s="11"/>
    </row>
    <row r="27" ht="21.0" customHeight="1">
      <c r="A27" s="11"/>
      <c r="B27" s="11"/>
      <c r="C27" s="11"/>
      <c r="D27" s="11"/>
      <c r="E27" s="11"/>
      <c r="F27" s="11"/>
      <c r="G27" s="11"/>
      <c r="H27" s="11"/>
      <c r="I27" s="11"/>
      <c r="J27" s="11"/>
      <c r="K27" s="11"/>
      <c r="L27" s="11"/>
      <c r="M27" s="11"/>
      <c r="N27" s="11"/>
      <c r="O27" s="11"/>
      <c r="P27" s="11"/>
      <c r="Q27" s="11"/>
      <c r="R27" s="11"/>
      <c r="S27" s="11"/>
    </row>
  </sheetData>
  <customSheetViews>
    <customSheetView guid="{A5BC5E77-FC3C-44DA-8879-5736CB893BB4}" filter="1" showAutoFilter="1">
      <autoFilter ref="$A$1:$P$27">
        <filterColumn colId="1">
          <filters>
            <filter val="Jasmine"/>
            <filter val="Nora"/>
          </filters>
        </filterColumn>
      </autoFilter>
    </customSheetView>
    <customSheetView guid="{34D72827-1C41-4DA6-AE21-43468FDAB35C}" filter="1" showAutoFilter="1">
      <autoFilter ref="$A$1:$P$27">
        <filterColumn colId="1">
          <filters>
            <filter val="Jasmine"/>
            <filter val="Nora"/>
          </filters>
        </filterColumn>
      </autoFilter>
    </customSheetView>
    <customSheetView guid="{3A276F3E-375B-4047-8362-7BC8706380F8}" filter="1" showAutoFilter="1">
      <autoFilter ref="$A$1:$P$1">
        <filterColumn colId="1">
          <filters/>
        </filterColumn>
      </autoFilter>
    </customSheetView>
    <customSheetView guid="{7640BF70-1596-47DD-944E-658DB4B9989D}" filter="1" showAutoFilter="1">
      <autoFilter ref="$A$1:$P$1">
        <filterColumn colId="1">
          <filters/>
        </filterColumn>
      </autoFilter>
    </customSheetView>
    <customSheetView guid="{AA11B3EB-7166-429A-9C9E-A7F2D10587B6}" filter="1" showAutoFilter="1">
      <autoFilter ref="$A$1:$P$1">
        <filterColumn colId="1">
          <filters/>
        </filterColumn>
      </autoFilter>
    </customSheetView>
    <customSheetView guid="{EFB21323-95C1-45BD-9E8A-755BDF45AF62}" filter="1" showAutoFilter="1">
      <autoFilter ref="$A$1:$P$27">
        <filterColumn colId="1">
          <filters>
            <filter val="Jasmine"/>
            <filter val="Nora"/>
          </filters>
        </filterColumn>
        <sortState ref="A1:P27">
          <sortCondition ref="D1:D27"/>
        </sortState>
      </autoFilter>
    </customSheetView>
  </customSheetViews>
  <conditionalFormatting sqref="A4:H4 I4:I6 J4:Q4 I11 I17 I19">
    <cfRule type="expression" dxfId="4" priority="1" stopIfTrue="1">
      <formula>OR($C4="Follow Up", $C4="Contract Sent")</formula>
    </cfRule>
  </conditionalFormatting>
  <conditionalFormatting sqref="A4:H4 I4:I6 J4:Q4 I11 I17 I19">
    <cfRule type="expression" dxfId="5" priority="2" stopIfTrue="1">
      <formula>OR($C4="NOT READY", $C4="No - Show / Callback", $C4="Pending Medicare", $C4="Inactive License")</formula>
    </cfRule>
  </conditionalFormatting>
  <conditionalFormatting sqref="A4:H4 I4:I6 J4:Q4 I11 I17 I19">
    <cfRule type="expression" dxfId="6" priority="3" stopIfTrue="1">
      <formula>OR($C4="DNC", $C4="NI", $C4="No Medicare")</formula>
    </cfRule>
  </conditionalFormatting>
  <conditionalFormatting sqref="A4:H4 I4:I6 J4:Q4 I11 I17 I19">
    <cfRule type="expression" dxfId="7" priority="4" stopIfTrue="1">
      <formula>$C4="Onboarded"</formula>
    </cfRule>
  </conditionalFormatting>
  <conditionalFormatting sqref="A4:H4 I4:I6 J4:Q4 I11 I17 I19">
    <cfRule type="expression" dxfId="8" priority="5" stopIfTrue="1">
      <formula>OR($C4="Invoice Sent", $C4="Trial Sent")</formula>
    </cfRule>
  </conditionalFormatting>
  <conditionalFormatting sqref="A4:H4 I4:I6 J4:Q4 I11 I17 I19">
    <cfRule type="expression" dxfId="9" priority="6" stopIfTrue="1">
      <formula>$C4="Hold"</formula>
    </cfRule>
  </conditionalFormatting>
  <conditionalFormatting sqref="A3:S3">
    <cfRule type="expression" dxfId="4" priority="7" stopIfTrue="1">
      <formula>OR($C3="Follow Up", $C3="Contract Sent")</formula>
    </cfRule>
  </conditionalFormatting>
  <conditionalFormatting sqref="A3:S3">
    <cfRule type="expression" dxfId="5" priority="8" stopIfTrue="1">
      <formula>OR($C3="NOT READY", $C3="No - Show / Callback", $C3="Pending Medicare", $C3="Inactive License")</formula>
    </cfRule>
  </conditionalFormatting>
  <conditionalFormatting sqref="A3:S3">
    <cfRule type="expression" dxfId="6" priority="9" stopIfTrue="1">
      <formula>OR($C3="DNC", $C3="NI", $C3="No Medicare")</formula>
    </cfRule>
  </conditionalFormatting>
  <conditionalFormatting sqref="A3:S3">
    <cfRule type="expression" dxfId="7" priority="10" stopIfTrue="1">
      <formula>$C3="Onboarded"</formula>
    </cfRule>
  </conditionalFormatting>
  <conditionalFormatting sqref="A3:S3">
    <cfRule type="expression" dxfId="8" priority="11" stopIfTrue="1">
      <formula>OR($C3="Invoice Sent", $C3="Trial Sent")</formula>
    </cfRule>
  </conditionalFormatting>
  <conditionalFormatting sqref="A3:S3">
    <cfRule type="expression" dxfId="9" priority="12" stopIfTrue="1">
      <formula>$C3="Hold"</formula>
    </cfRule>
  </conditionalFormatting>
  <conditionalFormatting sqref="A1:S27">
    <cfRule type="expression" dxfId="4" priority="13">
      <formula>OR($C1="Follow Up", $C1="Contract Sent")</formula>
    </cfRule>
  </conditionalFormatting>
  <conditionalFormatting sqref="A1:S27">
    <cfRule type="expression" dxfId="5" priority="14">
      <formula>OR($C1="NOT READY", $C1="No - Show / Callback", $C1="Pending Medicare", $C1="Inactive License")</formula>
    </cfRule>
  </conditionalFormatting>
  <conditionalFormatting sqref="A1:S27">
    <cfRule type="expression" dxfId="6" priority="15">
      <formula>OR($C1="DNC", $C1="NI", $C1="No Medicare")</formula>
    </cfRule>
  </conditionalFormatting>
  <conditionalFormatting sqref="A1:S27">
    <cfRule type="expression" dxfId="7" priority="16">
      <formula>$C1="Onboarded"</formula>
    </cfRule>
  </conditionalFormatting>
  <conditionalFormatting sqref="A1:S27">
    <cfRule type="expression" dxfId="8" priority="17">
      <formula>OR($C1="Invoice Sent", $C1="Trial Sent")</formula>
    </cfRule>
  </conditionalFormatting>
  <conditionalFormatting sqref="A1:S27">
    <cfRule type="expression" dxfId="9" priority="18">
      <formula>$C1="Hold"</formula>
    </cfRule>
  </conditionalFormatting>
  <dataValidations>
    <dataValidation type="list" allowBlank="1" showErrorMessage="1" sqref="B2 B5:B27">
      <formula1>"Ben,George,Jane,Jimmy,Selene,Jasmine,Nora"</formula1>
    </dataValidation>
    <dataValidation type="list" allowBlank="1" showErrorMessage="1" sqref="A2 A5:A27">
      <formula1>"Auto Insurance,Campaigns,CGM,CGM+Lymph W,Home Improvement,Hospitality,IMMUNE,Logistics,Lymphadema,ORT,ORT + Lymphedema,ORT+CGM,ORT+CGM+LYMPH W,RE,SUB,DME &amp; LAB,PPO,DMEDESK,Lab,MLA"</formula1>
    </dataValidation>
    <dataValidation type="list" allowBlank="1" showErrorMessage="1" sqref="C2 C5:C27">
      <formula1>Settings!$A$1:$A27</formula1>
    </dataValidation>
    <dataValidation type="list" allowBlank="1" showErrorMessage="1" sqref="C3:C4">
      <formula1>Settings!$A$1:$A27</formula1>
    </dataValidation>
    <dataValidation type="list" allowBlank="1" showErrorMessage="1" sqref="A4">
      <formula1>"Auto Insurance,Campaigns,CGM,CGM+Lymph W,Home Improvement,Hospitality,IMMUNE,Logistics,Lymphadema,ORT,ORT + Lymphedema,ORT+CGM,ORT+CGM+LYMPH W,RE,SUB,DME &amp; LAB,PPO,DMEDESK"</formula1>
    </dataValidation>
    <dataValidation type="list" allowBlank="1" showErrorMessage="1" sqref="B3:B4">
      <formula1>"Ben,George,Jane,Jimmy,Selene,Jasmine"</formula1>
    </dataValidation>
    <dataValidation type="list" allowBlank="1" showErrorMessage="1" sqref="A3">
      <formula1>"Auto Insurance,Campaigns,CGM,CGM+Lymph W,Home Improvement,Hospitality,IMMUNE,Logistics,Lymphadema,ORT,ORT + Lymphedema,ORT+CGM,ORT+CGM+LYMPH W,RE,SUB,DME &amp; LAB"</formula1>
    </dataValidation>
  </dataValidations>
  <hyperlinks>
    <hyperlink r:id="rId1" ref="H6"/>
    <hyperlink r:id="rId2" ref="H20"/>
    <hyperlink r:id="rId3" ref="H21"/>
  </hyperlinks>
  <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38"/>
    <col customWidth="1" min="2" max="2" width="15.13"/>
    <col customWidth="1" min="3" max="3" width="26.5"/>
    <col customWidth="1" min="4" max="4" width="12.63"/>
    <col customWidth="1" min="5" max="5" width="47.88"/>
    <col customWidth="1" min="6" max="6" width="37.75"/>
    <col customWidth="1" min="7" max="7" width="17.5"/>
    <col customWidth="1" min="8" max="8" width="26.5"/>
    <col customWidth="1" min="9" max="9" width="17.63"/>
    <col customWidth="1" min="10" max="10" width="52.75"/>
    <col customWidth="1" min="11" max="11" width="27.63"/>
    <col customWidth="1" hidden="1" min="12" max="12" width="23.63"/>
    <col customWidth="1" min="13" max="13" width="21.25"/>
    <col hidden="1" min="14" max="16" width="12.63"/>
  </cols>
  <sheetData>
    <row r="1" ht="38.25" customHeight="1">
      <c r="A1" s="2" t="s">
        <v>0</v>
      </c>
      <c r="B1" s="2" t="s">
        <v>1</v>
      </c>
      <c r="C1" s="3" t="s">
        <v>2</v>
      </c>
      <c r="D1" s="3" t="s">
        <v>3</v>
      </c>
      <c r="E1" s="3" t="s">
        <v>4</v>
      </c>
      <c r="F1" s="3" t="s">
        <v>5</v>
      </c>
      <c r="G1" s="4" t="s">
        <v>6</v>
      </c>
      <c r="H1" s="3" t="s">
        <v>7</v>
      </c>
      <c r="I1" s="3" t="s">
        <v>8</v>
      </c>
      <c r="J1" s="3" t="s">
        <v>9</v>
      </c>
      <c r="K1" s="3" t="s">
        <v>10</v>
      </c>
      <c r="L1" s="5" t="s">
        <v>11</v>
      </c>
      <c r="M1" s="2" t="s">
        <v>12</v>
      </c>
      <c r="N1" s="3" t="s">
        <v>13</v>
      </c>
      <c r="O1" s="2" t="s">
        <v>14</v>
      </c>
      <c r="P1" s="3" t="s">
        <v>15</v>
      </c>
      <c r="Q1" s="3" t="s">
        <v>16</v>
      </c>
      <c r="R1" s="7"/>
      <c r="S1" s="7"/>
    </row>
    <row r="2" ht="20.25" customHeight="1">
      <c r="A2" s="8" t="s">
        <v>20</v>
      </c>
      <c r="B2" s="8" t="s">
        <v>23</v>
      </c>
      <c r="C2" s="8" t="s">
        <v>24</v>
      </c>
      <c r="D2" s="14">
        <v>45707.0</v>
      </c>
      <c r="E2" s="11" t="s">
        <v>31</v>
      </c>
      <c r="F2" s="11" t="s">
        <v>37</v>
      </c>
      <c r="G2" s="11" t="s">
        <v>39</v>
      </c>
      <c r="H2" s="18" t="s">
        <v>41</v>
      </c>
      <c r="I2" s="21" t="s">
        <v>46</v>
      </c>
      <c r="J2" s="11" t="s">
        <v>50</v>
      </c>
      <c r="K2" s="25" t="s">
        <v>51</v>
      </c>
      <c r="L2" s="27"/>
      <c r="M2" s="29">
        <v>46223.80155971065</v>
      </c>
      <c r="N2" s="32" t="s">
        <v>64</v>
      </c>
      <c r="O2" s="11" t="b">
        <v>0</v>
      </c>
      <c r="P2" s="34"/>
      <c r="Q2" s="39">
        <v>1.649038878E9</v>
      </c>
      <c r="R2" s="41"/>
      <c r="S2" s="41"/>
    </row>
    <row r="3" ht="20.25" customHeight="1">
      <c r="A3" s="13" t="s">
        <v>17</v>
      </c>
      <c r="B3" s="8" t="s">
        <v>23</v>
      </c>
      <c r="C3" s="8" t="s">
        <v>24</v>
      </c>
      <c r="D3" s="14">
        <v>45713.0</v>
      </c>
      <c r="E3" s="11" t="s">
        <v>79</v>
      </c>
      <c r="F3" s="11" t="s">
        <v>80</v>
      </c>
      <c r="G3" s="11" t="s">
        <v>81</v>
      </c>
      <c r="H3" s="18" t="s">
        <v>82</v>
      </c>
      <c r="I3" s="21" t="s">
        <v>83</v>
      </c>
      <c r="J3" s="11" t="s">
        <v>84</v>
      </c>
      <c r="K3" s="25" t="s">
        <v>85</v>
      </c>
      <c r="L3" s="27"/>
      <c r="M3" s="29">
        <v>46223.801703310186</v>
      </c>
      <c r="N3" s="32" t="s">
        <v>64</v>
      </c>
      <c r="O3" s="11" t="b">
        <v>0</v>
      </c>
      <c r="P3" s="34"/>
      <c r="Q3" s="39">
        <v>1.053144022E9</v>
      </c>
      <c r="R3" s="41"/>
      <c r="S3" s="41"/>
    </row>
    <row r="4" ht="20.25" customHeight="1">
      <c r="A4" s="13" t="s">
        <v>17</v>
      </c>
      <c r="B4" s="46" t="s">
        <v>53</v>
      </c>
      <c r="C4" s="8" t="s">
        <v>24</v>
      </c>
      <c r="D4" s="14">
        <v>45714.0</v>
      </c>
      <c r="E4" s="11" t="s">
        <v>87</v>
      </c>
      <c r="F4" s="11" t="s">
        <v>88</v>
      </c>
      <c r="G4" s="11" t="s">
        <v>89</v>
      </c>
      <c r="H4" s="55"/>
      <c r="I4" s="21" t="s">
        <v>90</v>
      </c>
      <c r="J4" s="11" t="s">
        <v>91</v>
      </c>
      <c r="K4" s="25" t="s">
        <v>92</v>
      </c>
      <c r="L4" s="27"/>
      <c r="M4" s="29">
        <v>46085.88684719907</v>
      </c>
      <c r="N4" s="50"/>
      <c r="O4" s="11" t="b">
        <v>0</v>
      </c>
      <c r="P4" s="34"/>
      <c r="Q4" s="39">
        <v>1.568221281E9</v>
      </c>
      <c r="R4" s="41"/>
      <c r="S4" s="41"/>
    </row>
    <row r="5" ht="20.25" customHeight="1">
      <c r="A5" s="13" t="s">
        <v>17</v>
      </c>
      <c r="B5" s="46" t="s">
        <v>53</v>
      </c>
      <c r="C5" s="8" t="s">
        <v>24</v>
      </c>
      <c r="D5" s="14">
        <v>45737.0</v>
      </c>
      <c r="E5" s="11" t="s">
        <v>100</v>
      </c>
      <c r="F5" s="11" t="s">
        <v>102</v>
      </c>
      <c r="G5" s="11" t="s">
        <v>103</v>
      </c>
      <c r="H5" s="18" t="s">
        <v>105</v>
      </c>
      <c r="I5" s="21" t="s">
        <v>106</v>
      </c>
      <c r="J5" s="11" t="s">
        <v>108</v>
      </c>
      <c r="K5" s="25" t="s">
        <v>110</v>
      </c>
      <c r="L5" s="27"/>
      <c r="M5" s="29">
        <v>46085.85275634259</v>
      </c>
      <c r="N5" s="50"/>
      <c r="O5" s="11" t="b">
        <v>0</v>
      </c>
      <c r="P5" s="34"/>
      <c r="Q5" s="39">
        <v>1.639847205E9</v>
      </c>
      <c r="R5" s="41"/>
      <c r="S5" s="41"/>
    </row>
    <row r="6" ht="20.25" customHeight="1">
      <c r="A6" s="13" t="s">
        <v>22</v>
      </c>
      <c r="B6" s="8" t="s">
        <v>23</v>
      </c>
      <c r="C6" s="8" t="s">
        <v>24</v>
      </c>
      <c r="D6" s="14">
        <v>45754.0</v>
      </c>
      <c r="E6" s="11" t="s">
        <v>111</v>
      </c>
      <c r="F6" s="11" t="s">
        <v>112</v>
      </c>
      <c r="G6" s="11" t="s">
        <v>113</v>
      </c>
      <c r="H6" s="18" t="s">
        <v>114</v>
      </c>
      <c r="I6" s="21" t="s">
        <v>115</v>
      </c>
      <c r="J6" s="11" t="s">
        <v>116</v>
      </c>
      <c r="K6" s="25" t="s">
        <v>118</v>
      </c>
      <c r="L6" s="27"/>
      <c r="M6" s="29">
        <v>46223.80227373843</v>
      </c>
      <c r="N6" s="50"/>
      <c r="O6" s="11" t="b">
        <v>0</v>
      </c>
      <c r="P6" s="34"/>
      <c r="Q6" s="25">
        <v>1.518788249E9</v>
      </c>
      <c r="R6" s="41"/>
      <c r="S6" s="41"/>
    </row>
    <row r="7" ht="20.25" customHeight="1">
      <c r="A7" s="13" t="s">
        <v>22</v>
      </c>
      <c r="B7" s="46" t="s">
        <v>19</v>
      </c>
      <c r="C7" s="8" t="s">
        <v>24</v>
      </c>
      <c r="D7" s="14">
        <v>45761.0</v>
      </c>
      <c r="E7" s="11" t="s">
        <v>126</v>
      </c>
      <c r="F7" s="11" t="s">
        <v>127</v>
      </c>
      <c r="G7" s="11" t="s">
        <v>128</v>
      </c>
      <c r="H7" s="18" t="s">
        <v>130</v>
      </c>
      <c r="I7" s="21" t="s">
        <v>131</v>
      </c>
      <c r="J7" s="11" t="s">
        <v>132</v>
      </c>
      <c r="K7" s="25" t="s">
        <v>133</v>
      </c>
      <c r="L7" s="27"/>
      <c r="M7" s="68">
        <v>46248.746020833336</v>
      </c>
      <c r="N7" s="50"/>
      <c r="O7" s="11" t="b">
        <v>0</v>
      </c>
      <c r="P7" s="34"/>
      <c r="Q7" s="29">
        <v>1.033979E9</v>
      </c>
      <c r="R7" s="41"/>
      <c r="S7" s="41"/>
    </row>
    <row r="8" ht="20.25" customHeight="1">
      <c r="A8" s="13" t="s">
        <v>22</v>
      </c>
      <c r="B8" s="8" t="s">
        <v>23</v>
      </c>
      <c r="C8" s="8" t="s">
        <v>24</v>
      </c>
      <c r="D8" s="14">
        <v>45785.0</v>
      </c>
      <c r="E8" s="11" t="s">
        <v>143</v>
      </c>
      <c r="F8" s="11" t="s">
        <v>144</v>
      </c>
      <c r="G8" s="11" t="s">
        <v>145</v>
      </c>
      <c r="H8" s="18" t="s">
        <v>146</v>
      </c>
      <c r="I8" s="21" t="s">
        <v>148</v>
      </c>
      <c r="J8" s="11" t="s">
        <v>149</v>
      </c>
      <c r="K8" s="72" t="s">
        <v>150</v>
      </c>
      <c r="L8" s="27"/>
      <c r="M8" s="29">
        <v>46091.768021157404</v>
      </c>
      <c r="N8" s="50"/>
      <c r="O8" s="11" t="b">
        <v>0</v>
      </c>
      <c r="P8" s="34"/>
      <c r="Q8" s="25">
        <v>1.790930857E9</v>
      </c>
      <c r="R8" s="41"/>
      <c r="S8" s="41"/>
    </row>
    <row r="9" ht="20.25" customHeight="1">
      <c r="A9" s="13" t="s">
        <v>22</v>
      </c>
      <c r="B9" s="8" t="s">
        <v>23</v>
      </c>
      <c r="C9" s="8" t="s">
        <v>24</v>
      </c>
      <c r="D9" s="14">
        <v>45847.0</v>
      </c>
      <c r="E9" s="11" t="s">
        <v>163</v>
      </c>
      <c r="F9" s="11" t="s">
        <v>164</v>
      </c>
      <c r="G9" s="11" t="s">
        <v>165</v>
      </c>
      <c r="H9" s="18" t="s">
        <v>166</v>
      </c>
      <c r="I9" s="21" t="s">
        <v>167</v>
      </c>
      <c r="J9" s="11" t="s">
        <v>168</v>
      </c>
      <c r="K9" s="27" t="s">
        <v>169</v>
      </c>
      <c r="L9" s="27"/>
      <c r="M9" s="74"/>
      <c r="N9" s="50"/>
      <c r="O9" s="11" t="b">
        <v>0</v>
      </c>
      <c r="P9" s="34"/>
      <c r="Q9" s="39">
        <v>1.79052012E9</v>
      </c>
      <c r="R9" s="41"/>
      <c r="S9" s="41"/>
    </row>
    <row r="10" ht="20.25" customHeight="1">
      <c r="A10" s="13" t="s">
        <v>0</v>
      </c>
      <c r="B10" s="8" t="s">
        <v>23</v>
      </c>
      <c r="C10" s="8" t="s">
        <v>24</v>
      </c>
      <c r="D10" s="14">
        <v>45847.0</v>
      </c>
      <c r="E10" s="11" t="s">
        <v>180</v>
      </c>
      <c r="F10" s="11" t="s">
        <v>181</v>
      </c>
      <c r="G10" s="11" t="s">
        <v>182</v>
      </c>
      <c r="H10" s="18" t="s">
        <v>183</v>
      </c>
      <c r="I10" s="21" t="s">
        <v>184</v>
      </c>
      <c r="J10" s="11" t="s">
        <v>185</v>
      </c>
      <c r="K10" s="27" t="s">
        <v>188</v>
      </c>
      <c r="L10" s="27"/>
      <c r="M10" s="76"/>
      <c r="N10" s="50"/>
      <c r="O10" s="11" t="b">
        <v>0</v>
      </c>
      <c r="P10" s="34"/>
      <c r="Q10" s="39"/>
      <c r="R10" s="41"/>
      <c r="S10" s="41"/>
    </row>
    <row r="11" ht="20.25" customHeight="1">
      <c r="A11" s="13" t="s">
        <v>22</v>
      </c>
      <c r="B11" s="8" t="s">
        <v>23</v>
      </c>
      <c r="C11" s="8" t="s">
        <v>24</v>
      </c>
      <c r="D11" s="14">
        <v>45875.0</v>
      </c>
      <c r="E11" s="11" t="s">
        <v>199</v>
      </c>
      <c r="F11" s="11" t="s">
        <v>200</v>
      </c>
      <c r="G11" s="11" t="s">
        <v>201</v>
      </c>
      <c r="H11" s="18" t="s">
        <v>203</v>
      </c>
      <c r="I11" s="21" t="s">
        <v>205</v>
      </c>
      <c r="J11" s="11" t="s">
        <v>207</v>
      </c>
      <c r="K11" s="25" t="s">
        <v>209</v>
      </c>
      <c r="L11" s="27"/>
      <c r="M11" s="29">
        <v>46183.84783859954</v>
      </c>
      <c r="N11" s="50"/>
      <c r="O11" s="11" t="b">
        <v>0</v>
      </c>
      <c r="P11" s="34"/>
      <c r="Q11" s="39">
        <v>1.558826628E9</v>
      </c>
      <c r="R11" s="41"/>
      <c r="S11" s="41"/>
    </row>
    <row r="12" ht="20.25" customHeight="1">
      <c r="A12" s="13" t="s">
        <v>22</v>
      </c>
      <c r="B12" s="8" t="s">
        <v>23</v>
      </c>
      <c r="C12" s="8" t="s">
        <v>24</v>
      </c>
      <c r="D12" s="14">
        <v>45875.0</v>
      </c>
      <c r="E12" s="11" t="s">
        <v>199</v>
      </c>
      <c r="F12" s="11" t="s">
        <v>212</v>
      </c>
      <c r="G12" s="11" t="s">
        <v>201</v>
      </c>
      <c r="H12" s="18" t="s">
        <v>203</v>
      </c>
      <c r="I12" s="21" t="s">
        <v>205</v>
      </c>
      <c r="J12" s="11" t="s">
        <v>207</v>
      </c>
      <c r="K12" s="25" t="s">
        <v>216</v>
      </c>
      <c r="L12" s="27"/>
      <c r="M12" s="29">
        <v>46085.89587685185</v>
      </c>
      <c r="N12" s="50"/>
      <c r="O12" s="11" t="b">
        <v>0</v>
      </c>
      <c r="P12" s="34"/>
      <c r="Q12" s="81">
        <v>1.558826628E9</v>
      </c>
      <c r="R12" s="41"/>
      <c r="S12" s="41"/>
    </row>
    <row r="13" ht="20.25" customHeight="1">
      <c r="A13" s="13" t="s">
        <v>20</v>
      </c>
      <c r="B13" s="46" t="s">
        <v>53</v>
      </c>
      <c r="C13" s="8" t="s">
        <v>24</v>
      </c>
      <c r="D13" s="14">
        <v>45890.0</v>
      </c>
      <c r="E13" s="11" t="s">
        <v>233</v>
      </c>
      <c r="F13" s="11" t="s">
        <v>235</v>
      </c>
      <c r="G13" s="11" t="s">
        <v>238</v>
      </c>
      <c r="H13" s="55"/>
      <c r="I13" s="21" t="s">
        <v>242</v>
      </c>
      <c r="J13" s="11" t="s">
        <v>243</v>
      </c>
      <c r="K13" s="27"/>
      <c r="L13" s="27"/>
      <c r="M13" s="76"/>
      <c r="N13" s="50"/>
      <c r="O13" s="11" t="b">
        <v>0</v>
      </c>
      <c r="P13" s="34"/>
      <c r="Q13" s="39"/>
      <c r="R13" s="41"/>
      <c r="S13" s="41"/>
    </row>
    <row r="14" ht="20.25" customHeight="1">
      <c r="A14" s="13" t="s">
        <v>20</v>
      </c>
      <c r="B14" s="8" t="s">
        <v>23</v>
      </c>
      <c r="C14" s="8" t="s">
        <v>24</v>
      </c>
      <c r="D14" s="14">
        <v>45890.0</v>
      </c>
      <c r="E14" s="11" t="s">
        <v>252</v>
      </c>
      <c r="F14" s="11" t="s">
        <v>253</v>
      </c>
      <c r="G14" s="11"/>
      <c r="H14" s="55"/>
      <c r="I14" s="21" t="s">
        <v>254</v>
      </c>
      <c r="J14" s="11" t="s">
        <v>257</v>
      </c>
      <c r="K14" s="27" t="s">
        <v>258</v>
      </c>
      <c r="L14" s="27"/>
      <c r="M14" s="76"/>
      <c r="N14" s="50"/>
      <c r="O14" s="11" t="b">
        <v>0</v>
      </c>
      <c r="P14" s="34"/>
      <c r="Q14" s="39"/>
      <c r="R14" s="41"/>
      <c r="S14" s="41"/>
    </row>
    <row r="15" ht="20.25" customHeight="1">
      <c r="A15" s="13" t="s">
        <v>22</v>
      </c>
      <c r="B15" s="8" t="s">
        <v>23</v>
      </c>
      <c r="C15" s="8" t="s">
        <v>24</v>
      </c>
      <c r="D15" s="14">
        <v>45894.0</v>
      </c>
      <c r="E15" s="11" t="s">
        <v>274</v>
      </c>
      <c r="F15" s="11" t="s">
        <v>276</v>
      </c>
      <c r="G15" s="11" t="s">
        <v>279</v>
      </c>
      <c r="H15" s="18" t="s">
        <v>281</v>
      </c>
      <c r="I15" s="21" t="s">
        <v>282</v>
      </c>
      <c r="J15" s="11" t="s">
        <v>283</v>
      </c>
      <c r="K15" s="25" t="s">
        <v>284</v>
      </c>
      <c r="L15" s="27"/>
      <c r="M15" s="29">
        <v>46223.80316484954</v>
      </c>
      <c r="N15" s="50"/>
      <c r="O15" s="11" t="b">
        <v>0</v>
      </c>
      <c r="P15" s="34"/>
      <c r="Q15" s="96">
        <v>1.639503121E9</v>
      </c>
      <c r="R15" s="41"/>
      <c r="S15" s="41"/>
    </row>
    <row r="16" ht="20.25" customHeight="1">
      <c r="A16" s="13" t="s">
        <v>22</v>
      </c>
      <c r="B16" s="46" t="s">
        <v>53</v>
      </c>
      <c r="C16" s="8" t="s">
        <v>24</v>
      </c>
      <c r="D16" s="14">
        <v>45904.0</v>
      </c>
      <c r="E16" s="11" t="s">
        <v>303</v>
      </c>
      <c r="F16" s="11" t="s">
        <v>305</v>
      </c>
      <c r="G16" s="11" t="s">
        <v>307</v>
      </c>
      <c r="H16" s="18" t="s">
        <v>309</v>
      </c>
      <c r="I16" s="21" t="s">
        <v>310</v>
      </c>
      <c r="J16" s="11" t="s">
        <v>313</v>
      </c>
      <c r="K16" s="25" t="s">
        <v>315</v>
      </c>
      <c r="L16" s="27"/>
      <c r="M16" s="29">
        <v>46112.89841039352</v>
      </c>
      <c r="N16" s="50"/>
      <c r="O16" s="11" t="b">
        <v>0</v>
      </c>
      <c r="P16" s="34"/>
      <c r="Q16" s="39">
        <v>1.952279325E9</v>
      </c>
      <c r="R16" s="41"/>
      <c r="S16" s="41"/>
    </row>
    <row r="17" ht="20.25" customHeight="1">
      <c r="A17" s="13" t="s">
        <v>22</v>
      </c>
      <c r="B17" s="46" t="s">
        <v>19</v>
      </c>
      <c r="C17" s="8" t="s">
        <v>24</v>
      </c>
      <c r="D17" s="14">
        <v>45919.0</v>
      </c>
      <c r="E17" s="11" t="s">
        <v>320</v>
      </c>
      <c r="F17" s="11" t="s">
        <v>321</v>
      </c>
      <c r="G17" s="11" t="s">
        <v>323</v>
      </c>
      <c r="H17" s="18" t="s">
        <v>325</v>
      </c>
      <c r="I17" s="21" t="s">
        <v>329</v>
      </c>
      <c r="J17" s="11" t="s">
        <v>332</v>
      </c>
      <c r="K17" s="72" t="s">
        <v>337</v>
      </c>
      <c r="L17" s="27"/>
      <c r="M17" s="29">
        <v>46112.963158495375</v>
      </c>
      <c r="N17" s="50"/>
      <c r="O17" s="11" t="b">
        <v>0</v>
      </c>
      <c r="P17" s="34"/>
      <c r="Q17" s="39">
        <v>1.568089548E9</v>
      </c>
      <c r="R17" s="41"/>
      <c r="S17" s="41"/>
    </row>
    <row r="18" ht="20.25" customHeight="1">
      <c r="A18" s="13" t="s">
        <v>345</v>
      </c>
      <c r="B18" s="46" t="s">
        <v>53</v>
      </c>
      <c r="C18" s="8" t="s">
        <v>24</v>
      </c>
      <c r="D18" s="14">
        <v>45925.0</v>
      </c>
      <c r="E18" s="11" t="s">
        <v>346</v>
      </c>
      <c r="F18" s="11" t="s">
        <v>347</v>
      </c>
      <c r="G18" s="11" t="s">
        <v>348</v>
      </c>
      <c r="H18" s="55"/>
      <c r="I18" s="21"/>
      <c r="J18" s="11" t="s">
        <v>349</v>
      </c>
      <c r="K18" s="27" t="s">
        <v>350</v>
      </c>
      <c r="L18" s="27"/>
      <c r="M18" s="76"/>
      <c r="N18" s="50"/>
      <c r="O18" s="11" t="b">
        <v>0</v>
      </c>
      <c r="P18" s="34"/>
      <c r="Q18" s="39"/>
      <c r="R18" s="41"/>
      <c r="S18" s="41"/>
    </row>
    <row r="19" ht="20.25" customHeight="1">
      <c r="A19" s="13" t="s">
        <v>17</v>
      </c>
      <c r="B19" s="46" t="s">
        <v>19</v>
      </c>
      <c r="C19" s="8" t="s">
        <v>24</v>
      </c>
      <c r="D19" s="14">
        <v>45708.0</v>
      </c>
      <c r="E19" s="11" t="s">
        <v>362</v>
      </c>
      <c r="F19" s="11" t="s">
        <v>363</v>
      </c>
      <c r="G19" s="11" t="s">
        <v>365</v>
      </c>
      <c r="H19" s="18" t="s">
        <v>367</v>
      </c>
      <c r="I19" s="21" t="s">
        <v>369</v>
      </c>
      <c r="J19" s="11" t="s">
        <v>371</v>
      </c>
      <c r="K19" s="25" t="s">
        <v>373</v>
      </c>
      <c r="L19" s="25"/>
      <c r="M19" s="29">
        <v>46183.847956365746</v>
      </c>
      <c r="N19" s="50"/>
      <c r="O19" s="11" t="b">
        <v>0</v>
      </c>
      <c r="P19" s="34"/>
      <c r="Q19" s="39">
        <v>1.265051916E9</v>
      </c>
      <c r="R19" s="41"/>
      <c r="S19" s="41"/>
    </row>
    <row r="20" ht="20.25" customHeight="1">
      <c r="A20" s="13" t="s">
        <v>135</v>
      </c>
      <c r="B20" s="8" t="s">
        <v>23</v>
      </c>
      <c r="C20" s="8" t="s">
        <v>24</v>
      </c>
      <c r="D20" s="14">
        <v>45992.0</v>
      </c>
      <c r="E20" s="11" t="s">
        <v>382</v>
      </c>
      <c r="F20" s="11" t="s">
        <v>384</v>
      </c>
      <c r="G20" s="11" t="s">
        <v>386</v>
      </c>
      <c r="H20" s="18" t="s">
        <v>387</v>
      </c>
      <c r="I20" s="21" t="s">
        <v>388</v>
      </c>
      <c r="J20" s="11" t="s">
        <v>389</v>
      </c>
      <c r="K20" s="25" t="s">
        <v>390</v>
      </c>
      <c r="L20" s="25"/>
      <c r="M20" s="29">
        <v>46223.8035365625</v>
      </c>
      <c r="N20" s="50"/>
      <c r="O20" s="11" t="b">
        <v>0</v>
      </c>
      <c r="P20" s="32" t="s">
        <v>391</v>
      </c>
      <c r="Q20" s="100">
        <v>1.902542756E9</v>
      </c>
      <c r="R20" s="101"/>
      <c r="S20" s="101"/>
    </row>
    <row r="21" ht="20.25" customHeight="1">
      <c r="A21" s="35" t="s">
        <v>62</v>
      </c>
      <c r="B21" s="46" t="s">
        <v>53</v>
      </c>
      <c r="C21" s="8" t="s">
        <v>24</v>
      </c>
      <c r="D21" s="42">
        <v>45939.0</v>
      </c>
      <c r="E21" s="8" t="s">
        <v>422</v>
      </c>
      <c r="F21" s="8" t="s">
        <v>424</v>
      </c>
      <c r="G21" s="8" t="s">
        <v>426</v>
      </c>
      <c r="H21" s="103" t="s">
        <v>429</v>
      </c>
      <c r="I21" s="21" t="s">
        <v>310</v>
      </c>
      <c r="J21" s="8" t="s">
        <v>435</v>
      </c>
      <c r="K21" s="33" t="s">
        <v>438</v>
      </c>
      <c r="L21" s="104"/>
      <c r="M21" s="105"/>
      <c r="N21" s="50"/>
      <c r="O21" s="8" t="b">
        <v>0</v>
      </c>
      <c r="P21" s="106"/>
      <c r="Q21" s="107">
        <v>1.49748688E9</v>
      </c>
      <c r="R21" s="108"/>
      <c r="S21" s="108"/>
    </row>
    <row r="22" ht="20.25" customHeight="1">
      <c r="A22" s="8" t="s">
        <v>135</v>
      </c>
      <c r="B22" s="46" t="s">
        <v>53</v>
      </c>
      <c r="C22" s="8" t="s">
        <v>24</v>
      </c>
      <c r="D22" s="42">
        <v>45980.0</v>
      </c>
      <c r="E22" s="8" t="s">
        <v>476</v>
      </c>
      <c r="F22" s="8" t="s">
        <v>477</v>
      </c>
      <c r="G22" s="8" t="s">
        <v>478</v>
      </c>
      <c r="H22" s="103" t="s">
        <v>479</v>
      </c>
      <c r="I22" s="21" t="s">
        <v>69</v>
      </c>
      <c r="J22" s="8" t="s">
        <v>481</v>
      </c>
      <c r="K22" s="33" t="s">
        <v>486</v>
      </c>
      <c r="L22" s="104"/>
      <c r="M22" s="109">
        <v>46223.74985957176</v>
      </c>
      <c r="N22" s="50"/>
      <c r="O22" s="8" t="b">
        <v>0</v>
      </c>
      <c r="P22" s="106"/>
      <c r="Q22" s="107">
        <v>1.477024347E9</v>
      </c>
      <c r="R22" s="108"/>
      <c r="S22" s="108"/>
    </row>
    <row r="23" ht="20.25" customHeight="1">
      <c r="A23" s="35" t="s">
        <v>62</v>
      </c>
      <c r="B23" s="8" t="s">
        <v>23</v>
      </c>
      <c r="C23" s="8" t="s">
        <v>24</v>
      </c>
      <c r="D23" s="42">
        <v>45981.0</v>
      </c>
      <c r="E23" s="8" t="s">
        <v>507</v>
      </c>
      <c r="F23" s="8" t="s">
        <v>509</v>
      </c>
      <c r="G23" s="8" t="s">
        <v>511</v>
      </c>
      <c r="H23" s="103" t="s">
        <v>514</v>
      </c>
      <c r="I23" s="21" t="s">
        <v>497</v>
      </c>
      <c r="J23" s="8" t="s">
        <v>516</v>
      </c>
      <c r="K23" s="33" t="s">
        <v>518</v>
      </c>
      <c r="L23" s="66"/>
      <c r="M23" s="105"/>
      <c r="N23" s="32"/>
      <c r="O23" s="8" t="b">
        <v>0</v>
      </c>
      <c r="P23" s="106"/>
      <c r="Q23" s="107">
        <v>1.275364853E9</v>
      </c>
      <c r="R23" s="108"/>
      <c r="S23" s="108"/>
    </row>
    <row r="24" ht="20.25" customHeight="1">
      <c r="A24" s="8" t="s">
        <v>135</v>
      </c>
      <c r="B24" s="46" t="s">
        <v>53</v>
      </c>
      <c r="C24" s="8" t="s">
        <v>24</v>
      </c>
      <c r="D24" s="42">
        <v>45985.0</v>
      </c>
      <c r="E24" s="8" t="s">
        <v>529</v>
      </c>
      <c r="F24" s="8" t="s">
        <v>533</v>
      </c>
      <c r="G24" s="8" t="s">
        <v>536</v>
      </c>
      <c r="H24" s="103" t="s">
        <v>540</v>
      </c>
      <c r="I24" s="21" t="s">
        <v>543</v>
      </c>
      <c r="J24" s="8" t="s">
        <v>546</v>
      </c>
      <c r="K24" s="33" t="s">
        <v>550</v>
      </c>
      <c r="L24" s="66"/>
      <c r="M24" s="109">
        <v>46094.86240090278</v>
      </c>
      <c r="N24" s="32"/>
      <c r="O24" s="8" t="b">
        <v>0</v>
      </c>
      <c r="P24" s="106"/>
      <c r="Q24" s="107">
        <v>1.386886554E9</v>
      </c>
      <c r="R24" s="108"/>
      <c r="S24" s="108"/>
    </row>
    <row r="25" ht="20.25" customHeight="1">
      <c r="A25" s="35" t="s">
        <v>62</v>
      </c>
      <c r="B25" s="8" t="s">
        <v>23</v>
      </c>
      <c r="C25" s="8" t="s">
        <v>24</v>
      </c>
      <c r="D25" s="42">
        <v>45987.0</v>
      </c>
      <c r="E25" s="8" t="s">
        <v>557</v>
      </c>
      <c r="F25" s="8" t="s">
        <v>560</v>
      </c>
      <c r="G25" s="8" t="s">
        <v>562</v>
      </c>
      <c r="H25" s="103" t="s">
        <v>566</v>
      </c>
      <c r="I25" s="21" t="s">
        <v>191</v>
      </c>
      <c r="J25" s="8" t="s">
        <v>571</v>
      </c>
      <c r="K25" s="33" t="s">
        <v>574</v>
      </c>
      <c r="L25" s="66"/>
      <c r="M25" s="109">
        <v>46223.80626534722</v>
      </c>
      <c r="N25" s="32"/>
      <c r="O25" s="8" t="b">
        <v>0</v>
      </c>
      <c r="P25" s="106"/>
      <c r="Q25" s="107">
        <v>1.437917556E9</v>
      </c>
      <c r="R25" s="108"/>
      <c r="S25" s="108"/>
    </row>
    <row r="26" ht="20.25" customHeight="1">
      <c r="A26" s="110" t="s">
        <v>17</v>
      </c>
      <c r="B26" s="46" t="s">
        <v>587</v>
      </c>
      <c r="C26" s="46" t="s">
        <v>24</v>
      </c>
      <c r="D26" s="111"/>
      <c r="E26" s="113" t="s">
        <v>622</v>
      </c>
      <c r="F26" s="113" t="s">
        <v>629</v>
      </c>
      <c r="G26" s="115"/>
      <c r="H26" s="117"/>
      <c r="I26" s="119"/>
      <c r="J26" s="121"/>
      <c r="K26" s="124"/>
      <c r="L26" s="125"/>
      <c r="M26" s="125"/>
      <c r="N26" s="115"/>
      <c r="O26" s="113" t="b">
        <v>0</v>
      </c>
      <c r="P26" s="128"/>
      <c r="Q26" s="129">
        <v>1.144950106E9</v>
      </c>
      <c r="R26" s="130"/>
      <c r="S26" s="130"/>
    </row>
    <row r="27" ht="20.25" customHeight="1">
      <c r="A27" s="131" t="s">
        <v>17</v>
      </c>
      <c r="B27" s="46" t="s">
        <v>587</v>
      </c>
      <c r="C27" s="46" t="s">
        <v>24</v>
      </c>
      <c r="D27" s="132"/>
      <c r="E27" s="27" t="s">
        <v>622</v>
      </c>
      <c r="F27" s="27" t="s">
        <v>674</v>
      </c>
      <c r="G27" s="133"/>
      <c r="H27" s="134"/>
      <c r="I27" s="135"/>
      <c r="J27" s="136"/>
      <c r="K27" s="137"/>
      <c r="L27" s="138"/>
      <c r="M27" s="138"/>
      <c r="N27" s="133"/>
      <c r="O27" s="27" t="b">
        <v>0</v>
      </c>
      <c r="P27" s="139"/>
      <c r="Q27" s="140">
        <v>1.144950106E9</v>
      </c>
      <c r="R27" s="141"/>
      <c r="S27" s="141"/>
    </row>
    <row r="28" ht="20.25" customHeight="1">
      <c r="A28" s="8" t="s">
        <v>22</v>
      </c>
      <c r="B28" s="8" t="s">
        <v>23</v>
      </c>
      <c r="C28" s="8" t="s">
        <v>24</v>
      </c>
      <c r="D28" s="42">
        <v>46002.0</v>
      </c>
      <c r="E28" s="8" t="s">
        <v>708</v>
      </c>
      <c r="F28" s="8" t="s">
        <v>709</v>
      </c>
      <c r="G28" s="8" t="s">
        <v>711</v>
      </c>
      <c r="H28" s="103" t="s">
        <v>713</v>
      </c>
      <c r="I28" s="21" t="s">
        <v>388</v>
      </c>
      <c r="J28" s="8" t="s">
        <v>714</v>
      </c>
      <c r="K28" s="33"/>
      <c r="L28" s="142"/>
      <c r="M28" s="105"/>
      <c r="N28" s="32"/>
      <c r="O28" s="8" t="b">
        <v>0</v>
      </c>
      <c r="P28" s="106"/>
      <c r="Q28" s="107">
        <v>1.053165191E9</v>
      </c>
      <c r="R28" s="108"/>
      <c r="S28" s="108"/>
    </row>
    <row r="29" ht="20.25" customHeight="1">
      <c r="A29" s="35" t="s">
        <v>62</v>
      </c>
      <c r="B29" s="46" t="s">
        <v>53</v>
      </c>
      <c r="C29" s="8" t="s">
        <v>24</v>
      </c>
      <c r="D29" s="42">
        <v>46030.0</v>
      </c>
      <c r="E29" s="8" t="s">
        <v>722</v>
      </c>
      <c r="F29" s="8" t="s">
        <v>724</v>
      </c>
      <c r="G29" s="8" t="s">
        <v>726</v>
      </c>
      <c r="H29" s="103" t="s">
        <v>728</v>
      </c>
      <c r="I29" s="21" t="s">
        <v>453</v>
      </c>
      <c r="J29" s="8" t="s">
        <v>730</v>
      </c>
      <c r="K29" s="33"/>
      <c r="L29" s="142"/>
      <c r="M29" s="105"/>
      <c r="N29" s="32"/>
      <c r="O29" s="8" t="b">
        <v>0</v>
      </c>
      <c r="P29" s="106"/>
      <c r="Q29" s="107">
        <v>1.568358547E9</v>
      </c>
      <c r="R29" s="108"/>
      <c r="S29" s="108"/>
    </row>
    <row r="30" ht="20.25" customHeight="1">
      <c r="A30" s="10" t="s">
        <v>62</v>
      </c>
      <c r="B30" s="10" t="s">
        <v>225</v>
      </c>
      <c r="C30" s="10" t="s">
        <v>24</v>
      </c>
      <c r="D30" s="12">
        <v>46045.0</v>
      </c>
      <c r="E30" s="10" t="s">
        <v>738</v>
      </c>
      <c r="F30" s="10" t="s">
        <v>739</v>
      </c>
      <c r="G30" s="10" t="s">
        <v>740</v>
      </c>
      <c r="H30" s="58" t="s">
        <v>741</v>
      </c>
      <c r="I30" s="15" t="s">
        <v>745</v>
      </c>
      <c r="J30" s="10" t="s">
        <v>750</v>
      </c>
      <c r="K30" s="143" t="s">
        <v>757</v>
      </c>
      <c r="L30" s="20"/>
      <c r="M30" s="144">
        <v>46114.83608862269</v>
      </c>
      <c r="N30" s="145"/>
      <c r="O30" s="10" t="b">
        <v>0</v>
      </c>
      <c r="P30" s="24"/>
      <c r="Q30" s="146">
        <v>1.013678333E9</v>
      </c>
      <c r="R30" s="147"/>
      <c r="S30" s="147"/>
    </row>
    <row r="31" ht="20.25" customHeight="1">
      <c r="A31" s="148" t="s">
        <v>22</v>
      </c>
      <c r="B31" s="149" t="s">
        <v>19</v>
      </c>
      <c r="C31" s="149" t="s">
        <v>24</v>
      </c>
      <c r="D31" s="150">
        <v>46057.0</v>
      </c>
      <c r="E31" s="149" t="s">
        <v>796</v>
      </c>
      <c r="F31" s="149" t="s">
        <v>798</v>
      </c>
      <c r="G31" s="149" t="s">
        <v>800</v>
      </c>
      <c r="H31" s="151" t="s">
        <v>804</v>
      </c>
      <c r="I31" s="152"/>
      <c r="J31" s="149" t="s">
        <v>812</v>
      </c>
      <c r="K31" s="153" t="s">
        <v>814</v>
      </c>
      <c r="L31" s="154"/>
      <c r="M31" s="144">
        <v>46223.9484672338</v>
      </c>
      <c r="N31" s="149"/>
      <c r="O31" s="155" t="b">
        <v>0</v>
      </c>
      <c r="P31" s="156"/>
      <c r="Q31" s="146">
        <v>1.538033469E9</v>
      </c>
      <c r="R31" s="157"/>
      <c r="S31" s="157"/>
    </row>
    <row r="32" ht="20.25" customHeight="1">
      <c r="A32" s="158" t="s">
        <v>62</v>
      </c>
      <c r="B32" s="159" t="s">
        <v>225</v>
      </c>
      <c r="C32" s="159" t="s">
        <v>24</v>
      </c>
      <c r="D32" s="160">
        <v>46044.0</v>
      </c>
      <c r="E32" s="159" t="s">
        <v>835</v>
      </c>
      <c r="F32" s="159" t="s">
        <v>836</v>
      </c>
      <c r="G32" s="159" t="s">
        <v>837</v>
      </c>
      <c r="H32" s="161" t="s">
        <v>838</v>
      </c>
      <c r="I32" s="162" t="str">
        <f>HYPERLINK("https://calendar.google.com/calendar/u/0/r/eventedit/N2tzN2JxMzhkNGltMDhyNW05OHNuMDF0azkgYzM5ZjIxNjY2YTJjNzBkNjQ0MDI0YmQyOWM3ZmM5ODM3OTY2MmY3OTJlNWEwNDdjZGIzNTdhNDJiM2M1N2QwNEBn", "THU 6:00 PM")
</f>
        <v>THU 6:00 PM</v>
      </c>
      <c r="J32" s="159" t="s">
        <v>859</v>
      </c>
      <c r="K32" s="72" t="s">
        <v>861</v>
      </c>
      <c r="L32" s="72"/>
      <c r="M32" s="164">
        <v>46155.96361200231</v>
      </c>
      <c r="N32" s="166"/>
      <c r="O32" s="159" t="b">
        <v>0</v>
      </c>
      <c r="P32" s="167"/>
      <c r="Q32" s="146">
        <v>1.548978034E9</v>
      </c>
      <c r="R32" s="168"/>
      <c r="S32" s="168"/>
    </row>
    <row r="33" ht="20.25" customHeight="1">
      <c r="A33" s="146" t="s">
        <v>22</v>
      </c>
      <c r="B33" s="146" t="s">
        <v>19</v>
      </c>
      <c r="C33" s="149" t="s">
        <v>24</v>
      </c>
      <c r="D33" s="12">
        <v>46056.0</v>
      </c>
      <c r="E33" s="146" t="s">
        <v>875</v>
      </c>
      <c r="F33" s="146" t="s">
        <v>877</v>
      </c>
      <c r="G33" s="146" t="s">
        <v>878</v>
      </c>
      <c r="H33" s="170" t="s">
        <v>879</v>
      </c>
      <c r="I33" s="172" t="s">
        <v>883</v>
      </c>
      <c r="J33" s="149" t="s">
        <v>886</v>
      </c>
      <c r="K33" s="72" t="s">
        <v>887</v>
      </c>
      <c r="L33" s="175"/>
      <c r="M33" s="144">
        <v>46183.89270023148</v>
      </c>
      <c r="N33" s="177"/>
      <c r="O33" s="179" t="b">
        <v>0</v>
      </c>
      <c r="P33" s="181"/>
      <c r="Q33" s="146">
        <v>1.174483572E9</v>
      </c>
      <c r="R33" s="183"/>
      <c r="S33" s="183"/>
    </row>
    <row r="34" ht="20.25" customHeight="1">
      <c r="A34" s="146" t="s">
        <v>62</v>
      </c>
      <c r="B34" s="146" t="s">
        <v>19</v>
      </c>
      <c r="C34" s="149" t="s">
        <v>24</v>
      </c>
      <c r="D34" s="12">
        <v>46080.0</v>
      </c>
      <c r="E34" s="146" t="s">
        <v>896</v>
      </c>
      <c r="F34" s="146" t="s">
        <v>897</v>
      </c>
      <c r="G34" s="146" t="s">
        <v>898</v>
      </c>
      <c r="H34" s="170" t="s">
        <v>899</v>
      </c>
      <c r="I34" s="172" t="s">
        <v>612</v>
      </c>
      <c r="J34" s="149" t="s">
        <v>900</v>
      </c>
      <c r="K34" s="72" t="s">
        <v>901</v>
      </c>
      <c r="L34" s="175"/>
      <c r="M34" s="144">
        <v>46080.994040879625</v>
      </c>
      <c r="N34" s="177"/>
      <c r="O34" s="179" t="b">
        <v>0</v>
      </c>
      <c r="P34" s="181"/>
      <c r="Q34" s="146">
        <v>1.265173389E9</v>
      </c>
      <c r="R34" s="183"/>
      <c r="S34" s="183"/>
    </row>
    <row r="35" ht="20.25" customHeight="1">
      <c r="A35" s="146" t="s">
        <v>62</v>
      </c>
      <c r="B35" s="146" t="s">
        <v>19</v>
      </c>
      <c r="C35" s="149" t="s">
        <v>24</v>
      </c>
      <c r="D35" s="12">
        <v>46084.0</v>
      </c>
      <c r="E35" s="146" t="s">
        <v>904</v>
      </c>
      <c r="F35" s="146" t="s">
        <v>905</v>
      </c>
      <c r="G35" s="146" t="s">
        <v>907</v>
      </c>
      <c r="H35" s="170" t="s">
        <v>908</v>
      </c>
      <c r="I35" s="172"/>
      <c r="J35" s="149" t="s">
        <v>909</v>
      </c>
      <c r="K35" s="72" t="s">
        <v>910</v>
      </c>
      <c r="L35" s="175"/>
      <c r="M35" s="187">
        <v>46223.0</v>
      </c>
      <c r="N35" s="177"/>
      <c r="O35" s="179" t="b">
        <v>0</v>
      </c>
      <c r="P35" s="181"/>
      <c r="Q35" s="146">
        <v>1.770232423E9</v>
      </c>
      <c r="R35" s="183"/>
      <c r="S35" s="183"/>
    </row>
    <row r="36" ht="20.25" customHeight="1">
      <c r="A36" s="146" t="s">
        <v>62</v>
      </c>
      <c r="B36" s="146" t="s">
        <v>225</v>
      </c>
      <c r="C36" s="149" t="s">
        <v>24</v>
      </c>
      <c r="D36" s="12">
        <v>46083.0</v>
      </c>
      <c r="E36" s="146" t="s">
        <v>922</v>
      </c>
      <c r="F36" s="146" t="s">
        <v>923</v>
      </c>
      <c r="G36" s="146" t="s">
        <v>924</v>
      </c>
      <c r="H36" s="170" t="s">
        <v>925</v>
      </c>
      <c r="I36" s="172" t="s">
        <v>926</v>
      </c>
      <c r="J36" s="149" t="s">
        <v>927</v>
      </c>
      <c r="K36" s="72" t="s">
        <v>928</v>
      </c>
      <c r="L36" s="175"/>
      <c r="M36" s="144">
        <v>46084.01589277778</v>
      </c>
      <c r="N36" s="177"/>
      <c r="O36" s="179" t="b">
        <v>0</v>
      </c>
      <c r="P36" s="181"/>
      <c r="Q36" s="146">
        <v>1.144173832E9</v>
      </c>
      <c r="R36" s="183"/>
      <c r="S36" s="183"/>
    </row>
    <row r="37" ht="20.25" customHeight="1">
      <c r="A37" s="146" t="s">
        <v>62</v>
      </c>
      <c r="B37" s="146" t="s">
        <v>23</v>
      </c>
      <c r="C37" s="149" t="s">
        <v>24</v>
      </c>
      <c r="D37" s="12">
        <v>46064.0</v>
      </c>
      <c r="E37" s="146" t="s">
        <v>942</v>
      </c>
      <c r="F37" s="146" t="s">
        <v>943</v>
      </c>
      <c r="G37" s="146" t="s">
        <v>945</v>
      </c>
      <c r="H37" s="170" t="s">
        <v>946</v>
      </c>
      <c r="I37" s="172" t="s">
        <v>947</v>
      </c>
      <c r="J37" s="149" t="s">
        <v>948</v>
      </c>
      <c r="K37" s="72" t="s">
        <v>949</v>
      </c>
      <c r="L37" s="175"/>
      <c r="M37" s="144">
        <v>46223.823080358794</v>
      </c>
      <c r="N37" s="177"/>
      <c r="O37" s="179" t="b">
        <v>0</v>
      </c>
      <c r="P37" s="181"/>
      <c r="Q37" s="146">
        <v>1.710300579E9</v>
      </c>
      <c r="R37" s="183"/>
      <c r="S37" s="183"/>
    </row>
    <row r="38" ht="20.25" customHeight="1">
      <c r="A38" s="146" t="s">
        <v>62</v>
      </c>
      <c r="B38" s="146" t="s">
        <v>19</v>
      </c>
      <c r="C38" s="149" t="s">
        <v>24</v>
      </c>
      <c r="D38" s="12">
        <v>46066.0</v>
      </c>
      <c r="E38" s="146" t="s">
        <v>957</v>
      </c>
      <c r="F38" s="146" t="s">
        <v>958</v>
      </c>
      <c r="G38" s="146" t="s">
        <v>959</v>
      </c>
      <c r="H38" s="170" t="s">
        <v>960</v>
      </c>
      <c r="I38" s="172" t="s">
        <v>513</v>
      </c>
      <c r="J38" s="149" t="s">
        <v>962</v>
      </c>
      <c r="K38" s="72" t="s">
        <v>964</v>
      </c>
      <c r="L38" s="175"/>
      <c r="M38" s="144">
        <v>46070.87062462963</v>
      </c>
      <c r="N38" s="177"/>
      <c r="O38" s="179" t="b">
        <v>0</v>
      </c>
      <c r="P38" s="181"/>
      <c r="Q38" s="146">
        <v>1.881491447E9</v>
      </c>
      <c r="R38" s="183"/>
      <c r="S38" s="183"/>
    </row>
    <row r="39" ht="20.25" customHeight="1">
      <c r="A39" s="146" t="s">
        <v>62</v>
      </c>
      <c r="B39" s="146" t="s">
        <v>23</v>
      </c>
      <c r="C39" s="149" t="s">
        <v>24</v>
      </c>
      <c r="D39" s="12">
        <v>46063.0</v>
      </c>
      <c r="E39" s="146" t="s">
        <v>974</v>
      </c>
      <c r="F39" s="146" t="s">
        <v>976</v>
      </c>
      <c r="G39" s="146" t="s">
        <v>977</v>
      </c>
      <c r="H39" s="170" t="s">
        <v>978</v>
      </c>
      <c r="I39" s="172" t="s">
        <v>980</v>
      </c>
      <c r="J39" s="149" t="s">
        <v>981</v>
      </c>
      <c r="K39" s="72" t="s">
        <v>982</v>
      </c>
      <c r="L39" s="175"/>
      <c r="M39" s="144">
        <v>46223.830448900466</v>
      </c>
      <c r="N39" s="177"/>
      <c r="O39" s="179" t="b">
        <v>0</v>
      </c>
      <c r="P39" s="181"/>
      <c r="Q39" s="100">
        <v>1.427812916E9</v>
      </c>
      <c r="R39" s="183"/>
      <c r="S39" s="183"/>
    </row>
    <row r="40" ht="20.25" customHeight="1">
      <c r="A40" s="146" t="s">
        <v>62</v>
      </c>
      <c r="B40" s="146" t="s">
        <v>23</v>
      </c>
      <c r="C40" s="149" t="s">
        <v>24</v>
      </c>
      <c r="D40" s="12">
        <v>46057.0</v>
      </c>
      <c r="E40" s="146" t="s">
        <v>989</v>
      </c>
      <c r="F40" s="146" t="s">
        <v>991</v>
      </c>
      <c r="G40" s="146" t="s">
        <v>992</v>
      </c>
      <c r="H40" s="170" t="s">
        <v>995</v>
      </c>
      <c r="I40" s="172" t="s">
        <v>996</v>
      </c>
      <c r="J40" s="149" t="s">
        <v>998</v>
      </c>
      <c r="K40" s="72" t="s">
        <v>1001</v>
      </c>
      <c r="L40" s="175"/>
      <c r="M40" s="144">
        <v>46085.97300407407</v>
      </c>
      <c r="N40" s="177"/>
      <c r="O40" s="179" t="b">
        <v>0</v>
      </c>
      <c r="P40" s="181"/>
      <c r="Q40" s="146">
        <v>1.922852169E9</v>
      </c>
      <c r="R40" s="183"/>
      <c r="S40" s="183"/>
    </row>
    <row r="41" ht="20.25" customHeight="1">
      <c r="A41" s="146" t="s">
        <v>62</v>
      </c>
      <c r="B41" s="146" t="s">
        <v>23</v>
      </c>
      <c r="C41" s="149" t="s">
        <v>24</v>
      </c>
      <c r="D41" s="12">
        <v>46073.0</v>
      </c>
      <c r="E41" s="146" t="s">
        <v>1012</v>
      </c>
      <c r="F41" s="146" t="s">
        <v>1014</v>
      </c>
      <c r="G41" s="146" t="s">
        <v>1016</v>
      </c>
      <c r="H41" s="170" t="s">
        <v>1018</v>
      </c>
      <c r="I41" s="172" t="s">
        <v>1020</v>
      </c>
      <c r="J41" s="149" t="s">
        <v>1021</v>
      </c>
      <c r="K41" s="72" t="s">
        <v>1022</v>
      </c>
      <c r="L41" s="175"/>
      <c r="M41" s="144">
        <v>46083.8814074074</v>
      </c>
      <c r="N41" s="177"/>
      <c r="O41" s="179" t="b">
        <v>0</v>
      </c>
      <c r="P41" s="181"/>
      <c r="Q41" s="146">
        <v>1.497476683E9</v>
      </c>
      <c r="R41" s="183"/>
      <c r="S41" s="183"/>
    </row>
    <row r="42" ht="20.25" customHeight="1">
      <c r="A42" s="146" t="s">
        <v>62</v>
      </c>
      <c r="B42" s="146" t="s">
        <v>53</v>
      </c>
      <c r="C42" s="149" t="s">
        <v>24</v>
      </c>
      <c r="D42" s="12">
        <v>46065.0</v>
      </c>
      <c r="E42" s="146" t="s">
        <v>1032</v>
      </c>
      <c r="F42" s="146" t="s">
        <v>1033</v>
      </c>
      <c r="G42" s="146" t="s">
        <v>1034</v>
      </c>
      <c r="H42" s="170" t="s">
        <v>1035</v>
      </c>
      <c r="I42" s="172" t="s">
        <v>947</v>
      </c>
      <c r="J42" s="149" t="s">
        <v>1036</v>
      </c>
      <c r="K42" s="72" t="s">
        <v>1037</v>
      </c>
      <c r="L42" s="175"/>
      <c r="M42" s="144">
        <v>46094.81953980324</v>
      </c>
      <c r="N42" s="177"/>
      <c r="O42" s="179" t="b">
        <v>0</v>
      </c>
      <c r="P42" s="181"/>
      <c r="Q42" s="146">
        <v>1.32669467E9</v>
      </c>
      <c r="R42" s="183"/>
      <c r="S42" s="183"/>
    </row>
    <row r="43" ht="20.25" customHeight="1">
      <c r="A43" s="146" t="s">
        <v>22</v>
      </c>
      <c r="B43" s="146" t="s">
        <v>225</v>
      </c>
      <c r="C43" s="149" t="s">
        <v>24</v>
      </c>
      <c r="D43" s="12">
        <v>46062.0</v>
      </c>
      <c r="E43" s="146" t="s">
        <v>1045</v>
      </c>
      <c r="F43" s="146" t="s">
        <v>1046</v>
      </c>
      <c r="G43" s="146" t="s">
        <v>1047</v>
      </c>
      <c r="H43" s="170" t="s">
        <v>1048</v>
      </c>
      <c r="I43" s="172" t="s">
        <v>240</v>
      </c>
      <c r="J43" s="149" t="s">
        <v>1051</v>
      </c>
      <c r="K43" s="72" t="s">
        <v>1052</v>
      </c>
      <c r="L43" s="175"/>
      <c r="M43" s="144">
        <v>46183.84181601852</v>
      </c>
      <c r="N43" s="177"/>
      <c r="O43" s="179" t="b">
        <v>0</v>
      </c>
      <c r="P43" s="181"/>
      <c r="Q43" s="146">
        <v>1.689543522E9</v>
      </c>
      <c r="R43" s="183"/>
      <c r="S43" s="183"/>
    </row>
    <row r="44" ht="20.25" customHeight="1">
      <c r="A44" s="194" t="s">
        <v>17</v>
      </c>
      <c r="B44" s="17" t="s">
        <v>53</v>
      </c>
      <c r="C44" s="10" t="s">
        <v>24</v>
      </c>
      <c r="D44" s="12">
        <v>46083.0</v>
      </c>
      <c r="E44" s="196" t="s">
        <v>1062</v>
      </c>
      <c r="F44" s="196" t="s">
        <v>1066</v>
      </c>
      <c r="G44" s="196" t="s">
        <v>1068</v>
      </c>
      <c r="H44" s="198" t="s">
        <v>1069</v>
      </c>
      <c r="I44" s="201" t="s">
        <v>1079</v>
      </c>
      <c r="J44" s="67" t="s">
        <v>1080</v>
      </c>
      <c r="K44" s="72" t="s">
        <v>1083</v>
      </c>
      <c r="L44" s="202"/>
      <c r="M44" s="203">
        <v>46183.86475712963</v>
      </c>
      <c r="N44" s="204"/>
      <c r="O44" s="196" t="b">
        <v>0</v>
      </c>
      <c r="P44" s="206"/>
      <c r="Q44" s="146">
        <v>1.326195926E9</v>
      </c>
      <c r="R44" s="207"/>
      <c r="S44" s="207"/>
    </row>
    <row r="45" ht="20.25" customHeight="1">
      <c r="A45" s="208" t="s">
        <v>62</v>
      </c>
      <c r="B45" s="153" t="s">
        <v>23</v>
      </c>
      <c r="C45" s="149" t="s">
        <v>24</v>
      </c>
      <c r="D45" s="209">
        <v>46080.0</v>
      </c>
      <c r="E45" s="210" t="s">
        <v>1124</v>
      </c>
      <c r="F45" s="210" t="s">
        <v>1125</v>
      </c>
      <c r="G45" s="210" t="s">
        <v>1126</v>
      </c>
      <c r="H45" s="212" t="s">
        <v>1128</v>
      </c>
      <c r="I45" s="210" t="s">
        <v>445</v>
      </c>
      <c r="J45" s="11" t="s">
        <v>1133</v>
      </c>
      <c r="K45" s="72" t="s">
        <v>1136</v>
      </c>
      <c r="L45" s="214"/>
      <c r="M45" s="216">
        <v>46209.85936396991</v>
      </c>
      <c r="N45" s="218"/>
      <c r="O45" s="153" t="b">
        <v>0</v>
      </c>
      <c r="P45" s="221"/>
      <c r="Q45" s="208">
        <v>1.336871607E9</v>
      </c>
      <c r="R45" s="224"/>
      <c r="S45" s="224"/>
    </row>
    <row r="46" ht="20.25" customHeight="1">
      <c r="A46" s="208" t="s">
        <v>17</v>
      </c>
      <c r="B46" s="153" t="s">
        <v>23</v>
      </c>
      <c r="C46" s="149" t="s">
        <v>24</v>
      </c>
      <c r="D46" s="230">
        <v>46084.0</v>
      </c>
      <c r="E46" s="210" t="s">
        <v>1177</v>
      </c>
      <c r="F46" s="210" t="s">
        <v>1178</v>
      </c>
      <c r="G46" s="210" t="s">
        <v>1179</v>
      </c>
      <c r="H46" s="212" t="s">
        <v>1180</v>
      </c>
      <c r="I46" s="234" t="s">
        <v>1181</v>
      </c>
      <c r="J46" s="235" t="s">
        <v>1185</v>
      </c>
      <c r="K46" s="72" t="s">
        <v>1193</v>
      </c>
      <c r="L46" s="236"/>
      <c r="M46" s="237">
        <v>46176.704605266204</v>
      </c>
      <c r="N46" s="218"/>
      <c r="O46" s="238" t="b">
        <v>0</v>
      </c>
      <c r="P46" s="221"/>
      <c r="Q46" s="208">
        <v>1.528693611E9</v>
      </c>
      <c r="R46" s="224"/>
      <c r="S46" s="224"/>
    </row>
    <row r="47" ht="20.25" customHeight="1">
      <c r="A47" s="208" t="s">
        <v>62</v>
      </c>
      <c r="B47" s="153" t="s">
        <v>53</v>
      </c>
      <c r="C47" s="149" t="s">
        <v>24</v>
      </c>
      <c r="D47" s="209">
        <v>46063.0</v>
      </c>
      <c r="E47" s="210" t="s">
        <v>1220</v>
      </c>
      <c r="F47" s="210" t="s">
        <v>1223</v>
      </c>
      <c r="G47" s="210" t="s">
        <v>1224</v>
      </c>
      <c r="H47" s="18" t="s">
        <v>1225</v>
      </c>
      <c r="I47" s="210" t="s">
        <v>843</v>
      </c>
      <c r="J47" s="11" t="s">
        <v>1226</v>
      </c>
      <c r="K47" s="25" t="s">
        <v>1228</v>
      </c>
      <c r="L47" s="214"/>
      <c r="M47" s="216">
        <v>46094.8266769676</v>
      </c>
      <c r="N47" s="218"/>
      <c r="O47" s="153" t="b">
        <v>0</v>
      </c>
      <c r="P47" s="221"/>
      <c r="Q47" s="208">
        <v>1.740940956E9</v>
      </c>
      <c r="R47" s="224"/>
      <c r="S47" s="224"/>
    </row>
    <row r="48" ht="20.25" customHeight="1">
      <c r="A48" s="208" t="s">
        <v>62</v>
      </c>
      <c r="B48" s="153" t="s">
        <v>53</v>
      </c>
      <c r="C48" s="149" t="s">
        <v>24</v>
      </c>
      <c r="D48" s="209">
        <v>46080.0</v>
      </c>
      <c r="E48" s="210" t="s">
        <v>1247</v>
      </c>
      <c r="F48" s="210" t="s">
        <v>1248</v>
      </c>
      <c r="G48" s="210" t="s">
        <v>1249</v>
      </c>
      <c r="H48" s="212" t="s">
        <v>1250</v>
      </c>
      <c r="I48" s="210" t="s">
        <v>359</v>
      </c>
      <c r="J48" s="11" t="s">
        <v>1253</v>
      </c>
      <c r="K48" s="25" t="s">
        <v>1256</v>
      </c>
      <c r="L48" s="214"/>
      <c r="M48" s="216">
        <v>46098.9524294213</v>
      </c>
      <c r="N48" s="218"/>
      <c r="O48" s="153" t="b">
        <v>0</v>
      </c>
      <c r="P48" s="221"/>
      <c r="Q48" s="208">
        <v>1.932847431E9</v>
      </c>
      <c r="R48" s="224"/>
      <c r="S48" s="224"/>
    </row>
    <row r="49" ht="20.25" customHeight="1">
      <c r="A49" s="208" t="s">
        <v>62</v>
      </c>
      <c r="B49" s="153" t="s">
        <v>53</v>
      </c>
      <c r="C49" s="149" t="s">
        <v>24</v>
      </c>
      <c r="D49" s="209">
        <v>46077.0</v>
      </c>
      <c r="E49" s="210" t="s">
        <v>1267</v>
      </c>
      <c r="F49" s="210" t="s">
        <v>1268</v>
      </c>
      <c r="G49" s="210" t="s">
        <v>1269</v>
      </c>
      <c r="H49" s="212" t="s">
        <v>1270</v>
      </c>
      <c r="I49" s="210" t="s">
        <v>612</v>
      </c>
      <c r="J49" s="235" t="s">
        <v>1272</v>
      </c>
      <c r="K49" s="72" t="s">
        <v>1274</v>
      </c>
      <c r="L49" s="214"/>
      <c r="M49" s="216">
        <v>46087.974540625</v>
      </c>
      <c r="N49" s="218"/>
      <c r="O49" s="153" t="b">
        <v>0</v>
      </c>
      <c r="P49" s="221"/>
      <c r="Q49" s="208">
        <v>1.720403116E9</v>
      </c>
      <c r="R49" s="224"/>
      <c r="S49" s="224"/>
    </row>
    <row r="50" ht="20.25" customHeight="1">
      <c r="A50" s="208" t="s">
        <v>62</v>
      </c>
      <c r="B50" s="153" t="s">
        <v>53</v>
      </c>
      <c r="C50" s="149" t="s">
        <v>24</v>
      </c>
      <c r="D50" s="209">
        <v>46085.0</v>
      </c>
      <c r="E50" s="210" t="s">
        <v>1281</v>
      </c>
      <c r="F50" s="210" t="s">
        <v>1283</v>
      </c>
      <c r="G50" s="210" t="s">
        <v>1285</v>
      </c>
      <c r="H50" s="212" t="s">
        <v>1286</v>
      </c>
      <c r="I50" s="210" t="s">
        <v>140</v>
      </c>
      <c r="J50" s="235" t="s">
        <v>1290</v>
      </c>
      <c r="K50" s="72" t="s">
        <v>1293</v>
      </c>
      <c r="L50" s="214"/>
      <c r="M50" s="216">
        <v>46090.87682803241</v>
      </c>
      <c r="N50" s="218"/>
      <c r="O50" s="153" t="b">
        <v>0</v>
      </c>
      <c r="P50" s="221"/>
      <c r="Q50" s="146">
        <v>1.881306371E9</v>
      </c>
      <c r="R50" s="224"/>
      <c r="S50" s="224"/>
    </row>
    <row r="51" ht="20.25" customHeight="1">
      <c r="A51" s="208" t="s">
        <v>17</v>
      </c>
      <c r="B51" s="153" t="s">
        <v>23</v>
      </c>
      <c r="C51" s="149" t="s">
        <v>24</v>
      </c>
      <c r="D51" s="209">
        <v>46086.0</v>
      </c>
      <c r="E51" s="210" t="s">
        <v>1298</v>
      </c>
      <c r="F51" s="210" t="s">
        <v>1301</v>
      </c>
      <c r="G51" s="210" t="s">
        <v>1303</v>
      </c>
      <c r="H51" s="212" t="s">
        <v>1305</v>
      </c>
      <c r="I51" s="210" t="s">
        <v>973</v>
      </c>
      <c r="J51" s="235" t="s">
        <v>1308</v>
      </c>
      <c r="K51" s="72" t="s">
        <v>1312</v>
      </c>
      <c r="L51" s="214"/>
      <c r="M51" s="216">
        <v>46252.76082412037</v>
      </c>
      <c r="N51" s="218"/>
      <c r="O51" s="153" t="b">
        <v>0</v>
      </c>
      <c r="P51" s="221"/>
      <c r="Q51" s="208">
        <v>1.710776687E9</v>
      </c>
      <c r="R51" s="224"/>
      <c r="S51" s="224"/>
    </row>
    <row r="52" ht="20.25" customHeight="1">
      <c r="A52" s="208" t="s">
        <v>62</v>
      </c>
      <c r="B52" s="153" t="s">
        <v>53</v>
      </c>
      <c r="C52" s="149" t="s">
        <v>24</v>
      </c>
      <c r="D52" s="209">
        <v>46092.0</v>
      </c>
      <c r="E52" s="210" t="s">
        <v>65</v>
      </c>
      <c r="F52" s="210" t="s">
        <v>66</v>
      </c>
      <c r="G52" s="210" t="s">
        <v>67</v>
      </c>
      <c r="H52" s="212" t="s">
        <v>68</v>
      </c>
      <c r="I52" s="210" t="s">
        <v>581</v>
      </c>
      <c r="J52" s="235" t="s">
        <v>72</v>
      </c>
      <c r="K52" s="72" t="s">
        <v>76</v>
      </c>
      <c r="L52" s="214"/>
      <c r="M52" s="216">
        <v>46223.76303456019</v>
      </c>
      <c r="N52" s="218"/>
      <c r="O52" s="153" t="b">
        <v>0</v>
      </c>
      <c r="P52" s="221"/>
      <c r="Q52" s="208">
        <v>1.174419758E9</v>
      </c>
      <c r="R52" s="224"/>
      <c r="S52" s="224"/>
    </row>
    <row r="53" ht="20.25" customHeight="1">
      <c r="A53" s="208" t="s">
        <v>62</v>
      </c>
      <c r="B53" s="153" t="s">
        <v>19</v>
      </c>
      <c r="C53" s="149" t="s">
        <v>24</v>
      </c>
      <c r="D53" s="209">
        <v>46111.0</v>
      </c>
      <c r="E53" s="212" t="s">
        <v>1338</v>
      </c>
      <c r="F53" s="210" t="s">
        <v>1340</v>
      </c>
      <c r="G53" s="210" t="s">
        <v>1342</v>
      </c>
      <c r="H53" s="212" t="s">
        <v>1344</v>
      </c>
      <c r="I53" s="210" t="s">
        <v>1346</v>
      </c>
      <c r="J53" s="235" t="s">
        <v>1348</v>
      </c>
      <c r="K53" s="72" t="s">
        <v>1350</v>
      </c>
      <c r="L53" s="214"/>
      <c r="M53" s="230">
        <v>46225.0</v>
      </c>
      <c r="N53" s="218"/>
      <c r="O53" s="153" t="b">
        <v>0</v>
      </c>
      <c r="P53" s="221"/>
      <c r="Q53" s="146">
        <v>1.114812708E9</v>
      </c>
      <c r="R53" s="224"/>
      <c r="S53" s="224"/>
    </row>
    <row r="54" ht="20.25" customHeight="1">
      <c r="A54" s="208" t="s">
        <v>62</v>
      </c>
      <c r="B54" s="153" t="s">
        <v>53</v>
      </c>
      <c r="C54" s="149" t="s">
        <v>24</v>
      </c>
      <c r="D54" s="209">
        <v>46100.0</v>
      </c>
      <c r="E54" s="210" t="s">
        <v>1359</v>
      </c>
      <c r="F54" s="210" t="s">
        <v>1360</v>
      </c>
      <c r="G54" s="210" t="s">
        <v>1361</v>
      </c>
      <c r="H54" s="212" t="s">
        <v>1362</v>
      </c>
      <c r="I54" s="210" t="s">
        <v>872</v>
      </c>
      <c r="J54" s="235" t="s">
        <v>1364</v>
      </c>
      <c r="K54" s="72" t="s">
        <v>1367</v>
      </c>
      <c r="L54" s="214"/>
      <c r="M54" s="216">
        <v>46160.93162363426</v>
      </c>
      <c r="N54" s="218"/>
      <c r="O54" s="153" t="b">
        <v>0</v>
      </c>
      <c r="P54" s="221"/>
      <c r="Q54" s="208">
        <v>1.164143236E9</v>
      </c>
      <c r="R54" s="224"/>
      <c r="S54" s="224"/>
    </row>
    <row r="55" ht="20.25" customHeight="1">
      <c r="A55" s="208" t="s">
        <v>62</v>
      </c>
      <c r="B55" s="153" t="s">
        <v>225</v>
      </c>
      <c r="C55" s="149" t="s">
        <v>24</v>
      </c>
      <c r="D55" s="209">
        <v>46106.0</v>
      </c>
      <c r="E55" s="210" t="s">
        <v>1372</v>
      </c>
      <c r="F55" s="210" t="s">
        <v>1373</v>
      </c>
      <c r="G55" s="210" t="s">
        <v>1374</v>
      </c>
      <c r="H55" s="212" t="s">
        <v>1376</v>
      </c>
      <c r="I55" s="210" t="s">
        <v>1378</v>
      </c>
      <c r="J55" s="235" t="s">
        <v>1381</v>
      </c>
      <c r="K55" s="72" t="s">
        <v>1383</v>
      </c>
      <c r="L55" s="214"/>
      <c r="M55" s="216">
        <v>46107.776569548616</v>
      </c>
      <c r="N55" s="218"/>
      <c r="O55" s="153" t="b">
        <v>0</v>
      </c>
      <c r="P55" s="221"/>
      <c r="Q55" s="146">
        <v>1.811840622E9</v>
      </c>
      <c r="R55" s="224"/>
      <c r="S55" s="224"/>
    </row>
    <row r="56" ht="20.25" customHeight="1">
      <c r="A56" s="208" t="s">
        <v>62</v>
      </c>
      <c r="B56" s="153" t="s">
        <v>225</v>
      </c>
      <c r="C56" s="149" t="s">
        <v>24</v>
      </c>
      <c r="D56" s="209">
        <v>46099.0</v>
      </c>
      <c r="E56" s="210" t="s">
        <v>1389</v>
      </c>
      <c r="F56" s="210" t="s">
        <v>1391</v>
      </c>
      <c r="G56" s="210" t="s">
        <v>1393</v>
      </c>
      <c r="H56" s="212" t="s">
        <v>1394</v>
      </c>
      <c r="I56" s="210" t="s">
        <v>613</v>
      </c>
      <c r="J56" s="235" t="s">
        <v>1397</v>
      </c>
      <c r="K56" s="72" t="s">
        <v>1399</v>
      </c>
      <c r="L56" s="214"/>
      <c r="M56" s="216">
        <v>46105.75285123843</v>
      </c>
      <c r="N56" s="218"/>
      <c r="O56" s="153" t="b">
        <v>0</v>
      </c>
      <c r="P56" s="221"/>
      <c r="Q56" s="146">
        <v>1.720792435E9</v>
      </c>
      <c r="R56" s="224"/>
      <c r="S56" s="224"/>
    </row>
    <row r="57" ht="20.25" customHeight="1">
      <c r="A57" s="208" t="s">
        <v>62</v>
      </c>
      <c r="B57" s="153" t="s">
        <v>53</v>
      </c>
      <c r="C57" s="149" t="s">
        <v>24</v>
      </c>
      <c r="D57" s="209">
        <v>46119.0</v>
      </c>
      <c r="E57" s="210" t="s">
        <v>1401</v>
      </c>
      <c r="F57" s="210" t="s">
        <v>1402</v>
      </c>
      <c r="G57" s="210" t="s">
        <v>1403</v>
      </c>
      <c r="H57" s="212" t="s">
        <v>1404</v>
      </c>
      <c r="I57" s="210" t="s">
        <v>1405</v>
      </c>
      <c r="J57" s="235" t="s">
        <v>1407</v>
      </c>
      <c r="K57" s="72" t="s">
        <v>1409</v>
      </c>
      <c r="L57" s="214"/>
      <c r="M57" s="216">
        <v>46120.92612363426</v>
      </c>
      <c r="N57" s="218"/>
      <c r="O57" s="153" t="b">
        <v>0</v>
      </c>
      <c r="P57" s="221"/>
      <c r="Q57" s="208">
        <v>1.154077998E9</v>
      </c>
      <c r="R57" s="224"/>
      <c r="S57" s="224"/>
    </row>
    <row r="58" ht="20.25" customHeight="1">
      <c r="A58" s="208" t="s">
        <v>62</v>
      </c>
      <c r="B58" s="153" t="s">
        <v>19</v>
      </c>
      <c r="C58" s="149" t="s">
        <v>24</v>
      </c>
      <c r="D58" s="209">
        <v>46120.0</v>
      </c>
      <c r="E58" s="210" t="s">
        <v>1416</v>
      </c>
      <c r="F58" s="210" t="s">
        <v>1417</v>
      </c>
      <c r="G58" s="210" t="s">
        <v>1419</v>
      </c>
      <c r="H58" s="212" t="s">
        <v>1420</v>
      </c>
      <c r="I58" s="210" t="s">
        <v>1422</v>
      </c>
      <c r="J58" s="235" t="s">
        <v>1424</v>
      </c>
      <c r="K58" s="72" t="s">
        <v>1425</v>
      </c>
      <c r="L58" s="214"/>
      <c r="M58" s="216">
        <v>46139.72662050926</v>
      </c>
      <c r="N58" s="218"/>
      <c r="O58" s="153" t="b">
        <v>0</v>
      </c>
      <c r="P58" s="221"/>
      <c r="Q58" s="146">
        <v>1.134079973E9</v>
      </c>
      <c r="R58" s="224"/>
      <c r="S58" s="224"/>
    </row>
    <row r="59" ht="20.25" customHeight="1">
      <c r="A59" s="208" t="s">
        <v>410</v>
      </c>
      <c r="B59" s="153" t="s">
        <v>19</v>
      </c>
      <c r="C59" s="149" t="s">
        <v>24</v>
      </c>
      <c r="D59" s="209">
        <v>46132.0</v>
      </c>
      <c r="E59" s="210" t="s">
        <v>1427</v>
      </c>
      <c r="F59" s="210" t="s">
        <v>1428</v>
      </c>
      <c r="G59" s="210" t="s">
        <v>1429</v>
      </c>
      <c r="H59" s="212" t="s">
        <v>1430</v>
      </c>
      <c r="I59" s="210" t="s">
        <v>1431</v>
      </c>
      <c r="J59" s="235" t="s">
        <v>1432</v>
      </c>
      <c r="K59" s="72" t="s">
        <v>1433</v>
      </c>
      <c r="L59" s="209"/>
      <c r="M59" s="216">
        <v>46248.74862966435</v>
      </c>
      <c r="N59" s="208"/>
      <c r="O59" s="153" t="b">
        <v>0</v>
      </c>
      <c r="P59" s="221"/>
      <c r="Q59" s="146">
        <v>1.588394605E9</v>
      </c>
      <c r="R59" s="224"/>
      <c r="S59" s="224"/>
    </row>
    <row r="60" ht="20.25" customHeight="1">
      <c r="A60" s="208" t="s">
        <v>62</v>
      </c>
      <c r="B60" s="153" t="s">
        <v>225</v>
      </c>
      <c r="C60" s="149" t="s">
        <v>24</v>
      </c>
      <c r="D60" s="209">
        <v>46128.0</v>
      </c>
      <c r="E60" s="210" t="s">
        <v>1435</v>
      </c>
      <c r="F60" s="210" t="s">
        <v>1436</v>
      </c>
      <c r="G60" s="210" t="s">
        <v>1437</v>
      </c>
      <c r="H60" s="212" t="s">
        <v>1438</v>
      </c>
      <c r="I60" s="210" t="s">
        <v>1439</v>
      </c>
      <c r="J60" s="235"/>
      <c r="K60" s="72" t="s">
        <v>1440</v>
      </c>
      <c r="L60" s="209"/>
      <c r="M60" s="216">
        <v>46149.90908672454</v>
      </c>
      <c r="N60" s="208"/>
      <c r="O60" s="153" t="b">
        <v>0</v>
      </c>
      <c r="P60" s="221"/>
      <c r="Q60" s="146">
        <v>1.90254631E9</v>
      </c>
      <c r="R60" s="224"/>
      <c r="S60" s="224"/>
    </row>
    <row r="61" ht="20.25" customHeight="1">
      <c r="A61" s="208" t="s">
        <v>62</v>
      </c>
      <c r="B61" s="153" t="s">
        <v>225</v>
      </c>
      <c r="C61" s="149" t="s">
        <v>24</v>
      </c>
      <c r="D61" s="209">
        <v>46135.0</v>
      </c>
      <c r="E61" s="210" t="s">
        <v>1442</v>
      </c>
      <c r="F61" s="210" t="s">
        <v>1443</v>
      </c>
      <c r="G61" s="210" t="s">
        <v>1445</v>
      </c>
      <c r="H61" s="212" t="s">
        <v>1447</v>
      </c>
      <c r="I61" s="210" t="s">
        <v>581</v>
      </c>
      <c r="J61" s="235" t="s">
        <v>1470</v>
      </c>
      <c r="K61" s="72" t="s">
        <v>1481</v>
      </c>
      <c r="L61" s="209"/>
      <c r="M61" s="216">
        <v>46136.947060763894</v>
      </c>
      <c r="N61" s="208"/>
      <c r="O61" s="153" t="b">
        <v>0</v>
      </c>
      <c r="P61" s="221"/>
      <c r="Q61" s="264">
        <v>1.07347859E9</v>
      </c>
      <c r="R61" s="224"/>
      <c r="S61" s="224"/>
    </row>
    <row r="62" ht="20.25" customHeight="1">
      <c r="A62" s="208" t="s">
        <v>62</v>
      </c>
      <c r="B62" s="153" t="s">
        <v>19</v>
      </c>
      <c r="C62" s="149" t="s">
        <v>24</v>
      </c>
      <c r="D62" s="209">
        <v>46133.0</v>
      </c>
      <c r="E62" s="210" t="s">
        <v>1503</v>
      </c>
      <c r="F62" s="210" t="s">
        <v>1505</v>
      </c>
      <c r="G62" s="210" t="s">
        <v>1506</v>
      </c>
      <c r="H62" s="212" t="s">
        <v>1507</v>
      </c>
      <c r="I62" s="210" t="s">
        <v>1508</v>
      </c>
      <c r="J62" s="235" t="s">
        <v>1509</v>
      </c>
      <c r="K62" s="72" t="s">
        <v>1510</v>
      </c>
      <c r="L62" s="210" t="s">
        <v>1513</v>
      </c>
      <c r="M62" s="216">
        <v>46248.74874792824</v>
      </c>
      <c r="N62" s="208"/>
      <c r="O62" s="153" t="b">
        <v>1</v>
      </c>
      <c r="P62" s="221"/>
      <c r="Q62" s="264">
        <v>1.669132809E9</v>
      </c>
      <c r="R62" s="224"/>
      <c r="S62" s="224"/>
    </row>
    <row r="63" ht="20.25" customHeight="1">
      <c r="A63" s="208" t="s">
        <v>906</v>
      </c>
      <c r="B63" s="153" t="s">
        <v>225</v>
      </c>
      <c r="C63" s="149" t="s">
        <v>24</v>
      </c>
      <c r="D63" s="209">
        <v>46148.0</v>
      </c>
      <c r="E63" s="210" t="s">
        <v>1523</v>
      </c>
      <c r="F63" s="210" t="s">
        <v>1525</v>
      </c>
      <c r="G63" s="210" t="s">
        <v>1529</v>
      </c>
      <c r="H63" s="212" t="s">
        <v>1532</v>
      </c>
      <c r="I63" s="210" t="s">
        <v>883</v>
      </c>
      <c r="J63" s="235" t="s">
        <v>1536</v>
      </c>
      <c r="K63" s="72" t="s">
        <v>1537</v>
      </c>
      <c r="L63" s="210"/>
      <c r="M63" s="216">
        <v>46192.74531333333</v>
      </c>
      <c r="N63" s="208"/>
      <c r="O63" s="153" t="b">
        <v>0</v>
      </c>
      <c r="P63" s="221"/>
      <c r="Q63" s="264">
        <v>1.265249098E9</v>
      </c>
      <c r="R63" s="221"/>
      <c r="S63" s="221"/>
    </row>
    <row r="64" ht="20.25" customHeight="1">
      <c r="A64" s="208" t="s">
        <v>62</v>
      </c>
      <c r="B64" s="153" t="s">
        <v>225</v>
      </c>
      <c r="C64" s="149" t="s">
        <v>24</v>
      </c>
      <c r="D64" s="209">
        <v>46146.0</v>
      </c>
      <c r="E64" s="210" t="s">
        <v>1538</v>
      </c>
      <c r="F64" s="210" t="s">
        <v>1539</v>
      </c>
      <c r="G64" s="210" t="s">
        <v>1540</v>
      </c>
      <c r="H64" s="212" t="s">
        <v>1541</v>
      </c>
      <c r="I64" s="210" t="s">
        <v>513</v>
      </c>
      <c r="J64" s="235" t="s">
        <v>1542</v>
      </c>
      <c r="K64" s="72" t="s">
        <v>1543</v>
      </c>
      <c r="L64" s="210"/>
      <c r="M64" s="216">
        <v>46147.92017703704</v>
      </c>
      <c r="N64" s="208"/>
      <c r="O64" s="153" t="b">
        <v>0</v>
      </c>
      <c r="P64" s="221"/>
      <c r="Q64" s="264">
        <v>1.750060505E9</v>
      </c>
      <c r="R64" s="221"/>
      <c r="S64" s="221"/>
    </row>
    <row r="65" ht="20.25" customHeight="1">
      <c r="A65" s="208" t="s">
        <v>62</v>
      </c>
      <c r="B65" s="153" t="s">
        <v>53</v>
      </c>
      <c r="C65" s="149" t="s">
        <v>24</v>
      </c>
      <c r="D65" s="209">
        <v>46134.0</v>
      </c>
      <c r="E65" s="210" t="s">
        <v>1544</v>
      </c>
      <c r="F65" s="210" t="s">
        <v>1545</v>
      </c>
      <c r="G65" s="210" t="s">
        <v>1546</v>
      </c>
      <c r="H65" s="212" t="s">
        <v>1547</v>
      </c>
      <c r="I65" s="210" t="s">
        <v>667</v>
      </c>
      <c r="J65" s="235" t="s">
        <v>1548</v>
      </c>
      <c r="K65" s="72" t="s">
        <v>1549</v>
      </c>
      <c r="L65" s="210"/>
      <c r="M65" s="216">
        <v>46232.73893747685</v>
      </c>
      <c r="N65" s="208"/>
      <c r="O65" s="153" t="b">
        <v>0</v>
      </c>
      <c r="P65" s="221"/>
      <c r="Q65" s="208">
        <v>1.902250186E9</v>
      </c>
      <c r="R65" s="221"/>
      <c r="S65" s="221"/>
    </row>
    <row r="66" ht="20.25" customHeight="1">
      <c r="A66" s="208" t="s">
        <v>62</v>
      </c>
      <c r="B66" s="153" t="s">
        <v>53</v>
      </c>
      <c r="C66" s="149" t="s">
        <v>24</v>
      </c>
      <c r="D66" s="209">
        <v>46139.0</v>
      </c>
      <c r="E66" s="210" t="s">
        <v>1553</v>
      </c>
      <c r="F66" s="210" t="s">
        <v>1556</v>
      </c>
      <c r="G66" s="210">
        <v>8.582043649E9</v>
      </c>
      <c r="H66" s="212" t="s">
        <v>1558</v>
      </c>
      <c r="I66" s="210" t="s">
        <v>425</v>
      </c>
      <c r="J66" s="235" t="s">
        <v>1562</v>
      </c>
      <c r="K66" s="72" t="s">
        <v>1564</v>
      </c>
      <c r="L66" s="210"/>
      <c r="M66" s="216">
        <v>46142.00899446759</v>
      </c>
      <c r="N66" s="208"/>
      <c r="O66" s="153" t="b">
        <v>0</v>
      </c>
      <c r="P66" s="221"/>
      <c r="Q66" s="208">
        <v>1.881462752E9</v>
      </c>
      <c r="R66" s="221"/>
      <c r="S66" s="221"/>
    </row>
    <row r="67" ht="20.25" customHeight="1">
      <c r="A67" s="208" t="s">
        <v>62</v>
      </c>
      <c r="B67" s="153" t="s">
        <v>53</v>
      </c>
      <c r="C67" s="149" t="s">
        <v>24</v>
      </c>
      <c r="D67" s="230">
        <v>46136.0</v>
      </c>
      <c r="E67" s="210" t="s">
        <v>1569</v>
      </c>
      <c r="F67" s="210" t="s">
        <v>1572</v>
      </c>
      <c r="G67" s="210" t="s">
        <v>1574</v>
      </c>
      <c r="H67" s="212" t="s">
        <v>1575</v>
      </c>
      <c r="I67" s="210" t="s">
        <v>90</v>
      </c>
      <c r="J67" s="235" t="s">
        <v>1578</v>
      </c>
      <c r="K67" s="72" t="s">
        <v>1579</v>
      </c>
      <c r="L67" s="210"/>
      <c r="M67" s="216">
        <v>46160.93218974537</v>
      </c>
      <c r="N67" s="208"/>
      <c r="O67" s="153" t="b">
        <v>0</v>
      </c>
      <c r="P67" s="221"/>
      <c r="Q67" s="208">
        <v>1.104693746E9</v>
      </c>
      <c r="R67" s="221"/>
      <c r="S67" s="221"/>
    </row>
    <row r="68" ht="20.25" customHeight="1">
      <c r="A68" s="208" t="s">
        <v>62</v>
      </c>
      <c r="B68" s="153" t="s">
        <v>19</v>
      </c>
      <c r="C68" s="149" t="s">
        <v>24</v>
      </c>
      <c r="D68" s="209">
        <v>46143.0</v>
      </c>
      <c r="E68" s="210" t="s">
        <v>1587</v>
      </c>
      <c r="F68" s="210" t="s">
        <v>1588</v>
      </c>
      <c r="G68" s="210" t="s">
        <v>1590</v>
      </c>
      <c r="H68" s="212" t="s">
        <v>1591</v>
      </c>
      <c r="I68" s="210" t="s">
        <v>1592</v>
      </c>
      <c r="J68" s="235" t="s">
        <v>1595</v>
      </c>
      <c r="K68" s="72" t="s">
        <v>1598</v>
      </c>
      <c r="L68" s="210"/>
      <c r="M68" s="216">
        <v>46146.76514841436</v>
      </c>
      <c r="N68" s="208"/>
      <c r="O68" s="153" t="b">
        <v>0</v>
      </c>
      <c r="P68" s="221"/>
      <c r="Q68" s="265">
        <v>1.447023353E9</v>
      </c>
      <c r="R68" s="221"/>
      <c r="S68" s="221"/>
    </row>
    <row r="69" ht="20.25" customHeight="1">
      <c r="A69" s="56" t="s">
        <v>22</v>
      </c>
      <c r="B69" s="10" t="s">
        <v>23</v>
      </c>
      <c r="C69" s="10" t="s">
        <v>24</v>
      </c>
      <c r="D69" s="191">
        <v>46136.0</v>
      </c>
      <c r="E69" s="67" t="s">
        <v>1627</v>
      </c>
      <c r="F69" s="67" t="s">
        <v>1629</v>
      </c>
      <c r="G69" s="67" t="s">
        <v>1631</v>
      </c>
      <c r="H69" s="67" t="s">
        <v>1632</v>
      </c>
      <c r="I69" s="65" t="str">
        <f>HYPERLINK("https://calendar.google.com/calendar/u/0/r/eventedit/NjFjNGI5Z2kwYWY2anFtdmE1Y2FqZjFmb20gYzM5ZjIxNjY2YTJjNzBkNjQ0MDI0YmQyOWM3ZmM5ODM3OTY2MmY3OTJlNWEwNDdjZGIzNTdhNDJiM2M1N2QwNEBn?pli=1", "Mon 5:30 PM")
</f>
        <v>Mon 5:30 PM</v>
      </c>
      <c r="J69" s="67" t="s">
        <v>1660</v>
      </c>
      <c r="K69" s="67" t="s">
        <v>1661</v>
      </c>
      <c r="L69" s="268"/>
      <c r="M69" s="269">
        <v>46197.673668738425</v>
      </c>
      <c r="N69" s="195"/>
      <c r="O69" s="270" t="b">
        <v>0</v>
      </c>
      <c r="P69" s="271"/>
      <c r="Q69" s="273">
        <v>1.871440354E9</v>
      </c>
      <c r="R69" s="271"/>
      <c r="S69" s="271"/>
    </row>
    <row r="70" ht="20.25" customHeight="1">
      <c r="A70" s="56" t="s">
        <v>410</v>
      </c>
      <c r="B70" s="10" t="s">
        <v>23</v>
      </c>
      <c r="C70" s="10" t="s">
        <v>24</v>
      </c>
      <c r="D70" s="191">
        <v>46142.0</v>
      </c>
      <c r="E70" s="67" t="s">
        <v>1696</v>
      </c>
      <c r="F70" s="67" t="s">
        <v>1698</v>
      </c>
      <c r="G70" s="67" t="s">
        <v>1699</v>
      </c>
      <c r="H70" s="67" t="s">
        <v>1700</v>
      </c>
      <c r="I70" s="65" t="str">
        <f>HYPERLINK("https://calendar.google.com/calendar/u/0/r/eventedit/NWE3aHN0ZW5yNDQ1aDFtcTBrY2ExMGtvZWogYzM5ZjIxNjY2YTJjNzBkNjQ0MDI0YmQyOWM3ZmM5ODM3OTY2MmY3OTJlNWEwNDdjZGIzNTdhNDJiM2M1N2QwNEBn?pli=1", "Tue 11:00 PM")
</f>
        <v>Tue 11:00 PM</v>
      </c>
      <c r="J70" s="67" t="s">
        <v>1711</v>
      </c>
      <c r="K70" s="67" t="s">
        <v>1712</v>
      </c>
      <c r="L70" s="268"/>
      <c r="M70" s="269">
        <v>46150.96136601851</v>
      </c>
      <c r="N70" s="195"/>
      <c r="O70" s="270" t="b">
        <v>0</v>
      </c>
      <c r="P70" s="271"/>
      <c r="Q70" s="273">
        <v>1.063143303E9</v>
      </c>
      <c r="R70" s="271"/>
      <c r="S70" s="271"/>
    </row>
    <row r="71" ht="20.25" customHeight="1">
      <c r="A71" s="278" t="s">
        <v>22</v>
      </c>
      <c r="B71" s="149" t="s">
        <v>23</v>
      </c>
      <c r="C71" s="149" t="s">
        <v>1722</v>
      </c>
      <c r="D71" s="281">
        <v>46136.0</v>
      </c>
      <c r="E71" s="149" t="s">
        <v>1729</v>
      </c>
      <c r="F71" s="149" t="s">
        <v>1731</v>
      </c>
      <c r="G71" s="149" t="s">
        <v>1732</v>
      </c>
      <c r="H71" s="149" t="s">
        <v>1734</v>
      </c>
      <c r="I71" s="152" t="s">
        <v>1630</v>
      </c>
      <c r="J71" s="149" t="s">
        <v>1736</v>
      </c>
      <c r="K71" s="149" t="s">
        <v>1737</v>
      </c>
      <c r="L71" s="282"/>
      <c r="M71" s="283">
        <v>46175.82464417824</v>
      </c>
      <c r="N71" s="286"/>
      <c r="O71" s="149" t="b">
        <v>0</v>
      </c>
      <c r="P71" s="288"/>
      <c r="Q71" s="265">
        <v>1.164399648E9</v>
      </c>
      <c r="R71" s="288"/>
      <c r="S71" s="288"/>
    </row>
    <row r="72" ht="20.25" customHeight="1">
      <c r="A72" s="278" t="s">
        <v>62</v>
      </c>
      <c r="B72" s="149" t="s">
        <v>225</v>
      </c>
      <c r="C72" s="149" t="s">
        <v>24</v>
      </c>
      <c r="D72" s="150">
        <v>46154.0</v>
      </c>
      <c r="E72" s="149" t="s">
        <v>1757</v>
      </c>
      <c r="F72" s="149" t="s">
        <v>1759</v>
      </c>
      <c r="G72" s="149" t="s">
        <v>1761</v>
      </c>
      <c r="H72" s="149" t="s">
        <v>1762</v>
      </c>
      <c r="I72" s="152" t="s">
        <v>1155</v>
      </c>
      <c r="J72" s="149" t="s">
        <v>1764</v>
      </c>
      <c r="K72" s="149" t="s">
        <v>1766</v>
      </c>
      <c r="L72" s="282"/>
      <c r="M72" s="283">
        <v>46161.862108182875</v>
      </c>
      <c r="N72" s="286"/>
      <c r="O72" s="149"/>
      <c r="P72" s="288"/>
      <c r="Q72" s="265">
        <v>1.32665167E9</v>
      </c>
      <c r="R72" s="288"/>
      <c r="S72" s="288"/>
    </row>
    <row r="73" ht="20.25" customHeight="1">
      <c r="A73" s="278" t="s">
        <v>22</v>
      </c>
      <c r="B73" s="149" t="s">
        <v>23</v>
      </c>
      <c r="C73" s="149" t="s">
        <v>24</v>
      </c>
      <c r="D73" s="150">
        <v>46160.0</v>
      </c>
      <c r="E73" s="149" t="s">
        <v>1773</v>
      </c>
      <c r="F73" s="149" t="s">
        <v>1774</v>
      </c>
      <c r="G73" s="149" t="s">
        <v>1775</v>
      </c>
      <c r="H73" s="149" t="s">
        <v>1777</v>
      </c>
      <c r="I73" s="152" t="s">
        <v>1760</v>
      </c>
      <c r="J73" s="149" t="s">
        <v>1781</v>
      </c>
      <c r="K73" s="149" t="s">
        <v>1783</v>
      </c>
      <c r="L73" s="282"/>
      <c r="M73" s="283">
        <v>46232.68389862269</v>
      </c>
      <c r="N73" s="286"/>
      <c r="O73" s="149"/>
      <c r="P73" s="288"/>
      <c r="Q73" s="265">
        <v>1.396686432E9</v>
      </c>
      <c r="R73" s="288"/>
      <c r="S73" s="288"/>
    </row>
    <row r="74" ht="20.25" customHeight="1">
      <c r="A74" s="278" t="s">
        <v>62</v>
      </c>
      <c r="B74" s="149" t="s">
        <v>225</v>
      </c>
      <c r="C74" s="149" t="s">
        <v>24</v>
      </c>
      <c r="D74" s="150">
        <v>46163.0</v>
      </c>
      <c r="E74" s="149" t="s">
        <v>1784</v>
      </c>
      <c r="F74" s="149" t="s">
        <v>1785</v>
      </c>
      <c r="G74" s="149" t="s">
        <v>1787</v>
      </c>
      <c r="H74" s="149" t="s">
        <v>1789</v>
      </c>
      <c r="I74" s="152" t="s">
        <v>1791</v>
      </c>
      <c r="J74" s="149" t="s">
        <v>1792</v>
      </c>
      <c r="K74" s="149" t="s">
        <v>1793</v>
      </c>
      <c r="L74" s="282"/>
      <c r="M74" s="283">
        <v>46184.931249988425</v>
      </c>
      <c r="N74" s="286"/>
      <c r="O74" s="149"/>
      <c r="P74" s="288"/>
      <c r="Q74" s="265">
        <v>1.598260986E9</v>
      </c>
      <c r="R74" s="288"/>
      <c r="S74" s="288"/>
    </row>
    <row r="75" ht="20.25" customHeight="1">
      <c r="A75" s="278" t="s">
        <v>18</v>
      </c>
      <c r="B75" s="149" t="s">
        <v>225</v>
      </c>
      <c r="C75" s="149" t="s">
        <v>24</v>
      </c>
      <c r="D75" s="150">
        <v>46168.0</v>
      </c>
      <c r="E75" s="149" t="s">
        <v>1796</v>
      </c>
      <c r="F75" s="149" t="s">
        <v>1806</v>
      </c>
      <c r="G75" s="149" t="s">
        <v>1808</v>
      </c>
      <c r="H75" s="149" t="s">
        <v>1809</v>
      </c>
      <c r="I75" s="152" t="s">
        <v>1811</v>
      </c>
      <c r="J75" s="149" t="s">
        <v>1813</v>
      </c>
      <c r="K75" s="149" t="s">
        <v>1814</v>
      </c>
      <c r="L75" s="282"/>
      <c r="M75" s="283">
        <v>46176.88484263889</v>
      </c>
      <c r="N75" s="286"/>
      <c r="O75" s="149"/>
      <c r="P75" s="288"/>
      <c r="Q75" s="265">
        <v>1.487506564E9</v>
      </c>
      <c r="R75" s="288"/>
      <c r="S75" s="288"/>
    </row>
    <row r="76" ht="20.25" customHeight="1">
      <c r="A76" s="278" t="s">
        <v>906</v>
      </c>
      <c r="B76" s="149" t="s">
        <v>53</v>
      </c>
      <c r="C76" s="149" t="s">
        <v>24</v>
      </c>
      <c r="D76" s="150">
        <v>46181.0</v>
      </c>
      <c r="E76" s="149" t="s">
        <v>1828</v>
      </c>
      <c r="F76" s="149" t="s">
        <v>1829</v>
      </c>
      <c r="G76" s="149">
        <v>8.328726881E9</v>
      </c>
      <c r="H76" s="149" t="s">
        <v>1830</v>
      </c>
      <c r="I76" s="152" t="s">
        <v>1831</v>
      </c>
      <c r="J76" s="149" t="s">
        <v>1832</v>
      </c>
      <c r="K76" s="149"/>
      <c r="L76" s="282"/>
      <c r="M76" s="283"/>
      <c r="N76" s="286"/>
      <c r="O76" s="149"/>
      <c r="P76" s="288"/>
      <c r="Q76" s="265">
        <v>1.356288609E9</v>
      </c>
      <c r="R76" s="288"/>
      <c r="S76" s="288"/>
    </row>
    <row r="77" ht="20.25" customHeight="1">
      <c r="A77" s="278" t="s">
        <v>18</v>
      </c>
      <c r="B77" s="149" t="s">
        <v>23</v>
      </c>
      <c r="C77" s="149" t="s">
        <v>24</v>
      </c>
      <c r="D77" s="150">
        <v>46185.0</v>
      </c>
      <c r="E77" s="149" t="s">
        <v>1841</v>
      </c>
      <c r="F77" s="149" t="s">
        <v>1842</v>
      </c>
      <c r="G77" s="149" t="s">
        <v>1845</v>
      </c>
      <c r="H77" s="149" t="s">
        <v>1850</v>
      </c>
      <c r="I77" s="152" t="s">
        <v>445</v>
      </c>
      <c r="J77" s="149" t="s">
        <v>1856</v>
      </c>
      <c r="K77" s="149" t="s">
        <v>1858</v>
      </c>
      <c r="L77" s="282"/>
      <c r="M77" s="283">
        <v>46223.87249733796</v>
      </c>
      <c r="N77" s="286"/>
      <c r="O77" s="149"/>
      <c r="P77" s="288"/>
      <c r="Q77" s="265">
        <v>1.861280836E9</v>
      </c>
      <c r="R77" s="288"/>
      <c r="S77" s="288"/>
    </row>
    <row r="78" ht="20.25" customHeight="1">
      <c r="A78" s="278" t="s">
        <v>906</v>
      </c>
      <c r="B78" s="149" t="s">
        <v>53</v>
      </c>
      <c r="C78" s="149" t="s">
        <v>24</v>
      </c>
      <c r="D78" s="150">
        <v>46183.0</v>
      </c>
      <c r="E78" s="149" t="s">
        <v>1864</v>
      </c>
      <c r="F78" s="149" t="s">
        <v>1866</v>
      </c>
      <c r="G78" s="149">
        <v>8.172391243E9</v>
      </c>
      <c r="H78" s="149" t="s">
        <v>1867</v>
      </c>
      <c r="I78" s="152" t="s">
        <v>581</v>
      </c>
      <c r="J78" s="149" t="s">
        <v>1868</v>
      </c>
      <c r="K78" s="149"/>
      <c r="L78" s="282"/>
      <c r="M78" s="283"/>
      <c r="N78" s="286"/>
      <c r="O78" s="149"/>
      <c r="P78" s="288"/>
      <c r="Q78" s="265">
        <v>1.558466243E9</v>
      </c>
      <c r="R78" s="288"/>
      <c r="S78" s="288"/>
    </row>
    <row r="79" ht="20.25" customHeight="1">
      <c r="A79" s="278" t="s">
        <v>22</v>
      </c>
      <c r="B79" s="149" t="s">
        <v>19</v>
      </c>
      <c r="C79" s="149" t="s">
        <v>24</v>
      </c>
      <c r="D79" s="150">
        <v>46154.0</v>
      </c>
      <c r="E79" s="149" t="s">
        <v>1877</v>
      </c>
      <c r="F79" s="149" t="s">
        <v>1878</v>
      </c>
      <c r="G79" s="149" t="s">
        <v>1879</v>
      </c>
      <c r="H79" s="149" t="s">
        <v>1880</v>
      </c>
      <c r="I79" s="152" t="s">
        <v>290</v>
      </c>
      <c r="J79" s="149" t="s">
        <v>1881</v>
      </c>
      <c r="K79" s="149" t="s">
        <v>1883</v>
      </c>
      <c r="L79" s="282"/>
      <c r="M79" s="283">
        <v>46154.87563618056</v>
      </c>
      <c r="N79" s="286"/>
      <c r="O79" s="149"/>
      <c r="P79" s="288"/>
      <c r="Q79" s="265">
        <v>1.689524837E9</v>
      </c>
      <c r="R79" s="288"/>
      <c r="S79" s="288"/>
    </row>
    <row r="80" ht="20.25" customHeight="1">
      <c r="A80" s="278" t="s">
        <v>906</v>
      </c>
      <c r="B80" s="149" t="s">
        <v>19</v>
      </c>
      <c r="C80" s="149" t="s">
        <v>24</v>
      </c>
      <c r="D80" s="150">
        <v>46149.0</v>
      </c>
      <c r="E80" s="149" t="s">
        <v>1890</v>
      </c>
      <c r="F80" s="149" t="s">
        <v>1891</v>
      </c>
      <c r="G80" s="149" t="s">
        <v>1892</v>
      </c>
      <c r="H80" s="149" t="s">
        <v>1893</v>
      </c>
      <c r="I80" s="152" t="s">
        <v>90</v>
      </c>
      <c r="J80" s="149" t="s">
        <v>1897</v>
      </c>
      <c r="K80" s="149"/>
      <c r="L80" s="282"/>
      <c r="M80" s="283"/>
      <c r="N80" s="286"/>
      <c r="O80" s="149"/>
      <c r="P80" s="288"/>
      <c r="Q80" s="265">
        <v>1.659250082E9</v>
      </c>
      <c r="R80" s="288"/>
      <c r="S80" s="288"/>
    </row>
    <row r="81" ht="20.25" customHeight="1">
      <c r="A81" s="278" t="s">
        <v>17</v>
      </c>
      <c r="B81" s="149" t="s">
        <v>19</v>
      </c>
      <c r="C81" s="149" t="s">
        <v>24</v>
      </c>
      <c r="D81" s="150">
        <v>46149.0</v>
      </c>
      <c r="E81" s="149" t="s">
        <v>1902</v>
      </c>
      <c r="F81" s="149" t="s">
        <v>1905</v>
      </c>
      <c r="G81" s="149" t="s">
        <v>1907</v>
      </c>
      <c r="H81" s="149" t="s">
        <v>1909</v>
      </c>
      <c r="I81" s="152" t="s">
        <v>1910</v>
      </c>
      <c r="J81" s="149" t="s">
        <v>1913</v>
      </c>
      <c r="K81" s="149" t="s">
        <v>1914</v>
      </c>
      <c r="L81" s="282"/>
      <c r="M81" s="283">
        <v>46248.74955788194</v>
      </c>
      <c r="N81" s="286"/>
      <c r="O81" s="149" t="b">
        <v>0</v>
      </c>
      <c r="P81" s="288"/>
      <c r="Q81" s="265">
        <v>1.396320032E9</v>
      </c>
      <c r="R81" s="288"/>
      <c r="S81" s="288"/>
    </row>
    <row r="82" ht="20.25" customHeight="1">
      <c r="A82" s="278" t="s">
        <v>18</v>
      </c>
      <c r="B82" s="149" t="s">
        <v>23</v>
      </c>
      <c r="C82" s="149" t="s">
        <v>24</v>
      </c>
      <c r="D82" s="150">
        <v>46174.0</v>
      </c>
      <c r="E82" s="149" t="s">
        <v>1925</v>
      </c>
      <c r="F82" s="149" t="s">
        <v>1926</v>
      </c>
      <c r="G82" s="149" t="s">
        <v>1927</v>
      </c>
      <c r="H82" s="149" t="s">
        <v>1928</v>
      </c>
      <c r="I82" s="152" t="s">
        <v>290</v>
      </c>
      <c r="J82" s="149" t="s">
        <v>1929</v>
      </c>
      <c r="K82" s="149" t="s">
        <v>1930</v>
      </c>
      <c r="L82" s="282"/>
      <c r="M82" s="283">
        <v>46232.68948241898</v>
      </c>
      <c r="N82" s="286"/>
      <c r="O82" s="149"/>
      <c r="P82" s="288"/>
      <c r="Q82" s="265">
        <v>1.912841677E9</v>
      </c>
      <c r="R82" s="288"/>
      <c r="S82" s="288"/>
    </row>
    <row r="83" ht="20.25" customHeight="1">
      <c r="A83" s="278" t="s">
        <v>906</v>
      </c>
      <c r="B83" s="149" t="s">
        <v>53</v>
      </c>
      <c r="C83" s="149" t="s">
        <v>24</v>
      </c>
      <c r="D83" s="150">
        <v>46156.0</v>
      </c>
      <c r="E83" s="149" t="s">
        <v>1937</v>
      </c>
      <c r="F83" s="149" t="s">
        <v>1939</v>
      </c>
      <c r="G83" s="149" t="s">
        <v>1941</v>
      </c>
      <c r="H83" s="149" t="s">
        <v>1943</v>
      </c>
      <c r="I83" s="152" t="s">
        <v>140</v>
      </c>
      <c r="J83" s="149" t="s">
        <v>1945</v>
      </c>
      <c r="K83" s="149"/>
      <c r="L83" s="282"/>
      <c r="M83" s="283"/>
      <c r="N83" s="286"/>
      <c r="O83" s="149"/>
      <c r="P83" s="288"/>
      <c r="Q83" s="265">
        <v>1.528713112E9</v>
      </c>
      <c r="R83" s="288"/>
      <c r="S83" s="288"/>
    </row>
    <row r="84" ht="20.25" customHeight="1">
      <c r="A84" s="278" t="s">
        <v>906</v>
      </c>
      <c r="B84" s="149" t="s">
        <v>53</v>
      </c>
      <c r="C84" s="149" t="s">
        <v>24</v>
      </c>
      <c r="D84" s="150">
        <v>46155.0</v>
      </c>
      <c r="E84" s="149" t="s">
        <v>1955</v>
      </c>
      <c r="F84" s="149" t="s">
        <v>1957</v>
      </c>
      <c r="G84" s="149" t="s">
        <v>1959</v>
      </c>
      <c r="H84" s="149" t="s">
        <v>1961</v>
      </c>
      <c r="I84" s="152" t="s">
        <v>613</v>
      </c>
      <c r="J84" s="149" t="s">
        <v>1964</v>
      </c>
      <c r="K84" s="149"/>
      <c r="L84" s="282"/>
      <c r="M84" s="283"/>
      <c r="N84" s="286"/>
      <c r="O84" s="149"/>
      <c r="P84" s="288"/>
      <c r="Q84" s="265">
        <v>1.770281214E9</v>
      </c>
      <c r="R84" s="288"/>
      <c r="S84" s="288"/>
    </row>
    <row r="85" ht="20.25" customHeight="1">
      <c r="A85" s="278" t="s">
        <v>906</v>
      </c>
      <c r="B85" s="149" t="s">
        <v>19</v>
      </c>
      <c r="C85" s="149" t="s">
        <v>24</v>
      </c>
      <c r="D85" s="150">
        <v>46157.0</v>
      </c>
      <c r="E85" s="149" t="s">
        <v>1974</v>
      </c>
      <c r="F85" s="149" t="s">
        <v>1975</v>
      </c>
      <c r="G85" s="149" t="s">
        <v>1976</v>
      </c>
      <c r="H85" s="149" t="s">
        <v>1978</v>
      </c>
      <c r="I85" s="152" t="s">
        <v>90</v>
      </c>
      <c r="J85" s="149" t="s">
        <v>1982</v>
      </c>
      <c r="K85" s="149"/>
      <c r="L85" s="282"/>
      <c r="M85" s="283"/>
      <c r="N85" s="286"/>
      <c r="O85" s="149"/>
      <c r="P85" s="288"/>
      <c r="Q85" s="265">
        <v>1.801692546E9</v>
      </c>
      <c r="R85" s="288"/>
      <c r="S85" s="288"/>
    </row>
    <row r="86" ht="20.25" customHeight="1">
      <c r="A86" s="278" t="s">
        <v>62</v>
      </c>
      <c r="B86" s="149" t="s">
        <v>53</v>
      </c>
      <c r="C86" s="149" t="s">
        <v>24</v>
      </c>
      <c r="D86" s="150">
        <v>46148.0</v>
      </c>
      <c r="E86" s="149" t="s">
        <v>1990</v>
      </c>
      <c r="F86" s="149" t="s">
        <v>1991</v>
      </c>
      <c r="G86" s="149" t="s">
        <v>1992</v>
      </c>
      <c r="H86" s="149" t="s">
        <v>1994</v>
      </c>
      <c r="I86" s="152" t="s">
        <v>590</v>
      </c>
      <c r="J86" s="149" t="s">
        <v>1999</v>
      </c>
      <c r="K86" s="149" t="s">
        <v>2002</v>
      </c>
      <c r="L86" s="282"/>
      <c r="M86" s="283">
        <v>46182.90155278935</v>
      </c>
      <c r="N86" s="286"/>
      <c r="O86" s="149" t="b">
        <v>0</v>
      </c>
      <c r="P86" s="288"/>
      <c r="Q86" s="265">
        <v>1.962375709E9</v>
      </c>
      <c r="R86" s="288"/>
      <c r="S86" s="288"/>
    </row>
    <row r="87" ht="20.25" customHeight="1">
      <c r="A87" s="278" t="s">
        <v>17</v>
      </c>
      <c r="B87" s="149" t="s">
        <v>25</v>
      </c>
      <c r="C87" s="149" t="s">
        <v>24</v>
      </c>
      <c r="D87" s="150">
        <v>46195.0</v>
      </c>
      <c r="E87" s="149" t="s">
        <v>2012</v>
      </c>
      <c r="F87" s="149" t="s">
        <v>2015</v>
      </c>
      <c r="G87" s="149" t="s">
        <v>2017</v>
      </c>
      <c r="H87" s="149" t="s">
        <v>2018</v>
      </c>
      <c r="I87" s="152" t="s">
        <v>1259</v>
      </c>
      <c r="J87" s="149" t="s">
        <v>2021</v>
      </c>
      <c r="K87" s="149" t="s">
        <v>2023</v>
      </c>
      <c r="L87" s="282"/>
      <c r="M87" s="283">
        <v>46196.85096997685</v>
      </c>
      <c r="N87" s="286"/>
      <c r="O87" s="149"/>
      <c r="P87" s="288"/>
      <c r="Q87" s="265">
        <v>1.013848647E9</v>
      </c>
      <c r="R87" s="288"/>
      <c r="S87" s="288"/>
    </row>
    <row r="88" ht="20.25" customHeight="1">
      <c r="A88" s="278" t="s">
        <v>117</v>
      </c>
      <c r="B88" s="149" t="s">
        <v>53</v>
      </c>
      <c r="C88" s="149" t="s">
        <v>24</v>
      </c>
      <c r="D88" s="150">
        <v>46168.0</v>
      </c>
      <c r="E88" s="149" t="s">
        <v>334</v>
      </c>
      <c r="F88" s="149" t="s">
        <v>336</v>
      </c>
      <c r="G88" s="149" t="s">
        <v>338</v>
      </c>
      <c r="H88" s="149" t="s">
        <v>2035</v>
      </c>
      <c r="I88" s="152" t="s">
        <v>1824</v>
      </c>
      <c r="J88" s="149" t="s">
        <v>342</v>
      </c>
      <c r="K88" s="149" t="s">
        <v>2040</v>
      </c>
      <c r="L88" s="282"/>
      <c r="M88" s="283">
        <v>46168.88412018519</v>
      </c>
      <c r="N88" s="286"/>
      <c r="O88" s="149"/>
      <c r="P88" s="288"/>
      <c r="Q88" s="265">
        <v>1.073363875E9</v>
      </c>
      <c r="R88" s="288"/>
      <c r="S88" s="288"/>
    </row>
    <row r="89" ht="20.25" customHeight="1">
      <c r="A89" s="278" t="s">
        <v>22</v>
      </c>
      <c r="B89" s="149" t="s">
        <v>23</v>
      </c>
      <c r="C89" s="149" t="s">
        <v>24</v>
      </c>
      <c r="D89" s="150">
        <v>46164.0</v>
      </c>
      <c r="E89" s="149" t="s">
        <v>2050</v>
      </c>
      <c r="F89" s="149" t="s">
        <v>2053</v>
      </c>
      <c r="G89" s="149" t="s">
        <v>2055</v>
      </c>
      <c r="H89" s="149" t="s">
        <v>2056</v>
      </c>
      <c r="I89" s="152" t="s">
        <v>1760</v>
      </c>
      <c r="J89" s="149" t="s">
        <v>2057</v>
      </c>
      <c r="K89" s="149" t="s">
        <v>2058</v>
      </c>
      <c r="L89" s="282"/>
      <c r="M89" s="283">
        <v>46223.87397868055</v>
      </c>
      <c r="N89" s="286"/>
      <c r="O89" s="149"/>
      <c r="P89" s="288"/>
      <c r="Q89" s="265">
        <v>1.215307772E9</v>
      </c>
      <c r="R89" s="288"/>
      <c r="S89" s="288"/>
    </row>
    <row r="90" ht="20.25" customHeight="1">
      <c r="A90" s="278" t="s">
        <v>22</v>
      </c>
      <c r="B90" s="149" t="s">
        <v>23</v>
      </c>
      <c r="C90" s="149" t="s">
        <v>24</v>
      </c>
      <c r="D90" s="150">
        <v>46160.0</v>
      </c>
      <c r="E90" s="149" t="s">
        <v>2069</v>
      </c>
      <c r="F90" s="149" t="s">
        <v>2070</v>
      </c>
      <c r="G90" s="149" t="s">
        <v>2071</v>
      </c>
      <c r="H90" s="149" t="s">
        <v>2072</v>
      </c>
      <c r="I90" s="152" t="s">
        <v>115</v>
      </c>
      <c r="J90" s="149" t="s">
        <v>2074</v>
      </c>
      <c r="K90" s="149" t="s">
        <v>2077</v>
      </c>
      <c r="L90" s="282"/>
      <c r="M90" s="283">
        <v>46223.87469002315</v>
      </c>
      <c r="N90" s="286"/>
      <c r="O90" s="149"/>
      <c r="P90" s="288"/>
      <c r="Q90" s="265">
        <v>1.60973543E9</v>
      </c>
      <c r="R90" s="288"/>
      <c r="S90" s="288"/>
    </row>
    <row r="91" ht="20.25" customHeight="1">
      <c r="A91" s="278" t="s">
        <v>135</v>
      </c>
      <c r="B91" s="149" t="s">
        <v>23</v>
      </c>
      <c r="C91" s="149" t="s">
        <v>24</v>
      </c>
      <c r="D91" s="150">
        <v>46156.0</v>
      </c>
      <c r="E91" s="149" t="s">
        <v>2095</v>
      </c>
      <c r="F91" s="149" t="s">
        <v>2098</v>
      </c>
      <c r="G91" s="149" t="s">
        <v>2100</v>
      </c>
      <c r="H91" s="149" t="s">
        <v>2102</v>
      </c>
      <c r="I91" s="152" t="s">
        <v>2104</v>
      </c>
      <c r="J91" s="149" t="s">
        <v>2105</v>
      </c>
      <c r="K91" s="149" t="s">
        <v>2106</v>
      </c>
      <c r="L91" s="282"/>
      <c r="M91" s="283">
        <v>46232.71983840277</v>
      </c>
      <c r="N91" s="286"/>
      <c r="O91" s="149" t="b">
        <v>0</v>
      </c>
      <c r="P91" s="288"/>
      <c r="Q91" s="265">
        <v>1.962296715E9</v>
      </c>
      <c r="R91" s="288"/>
      <c r="S91" s="288"/>
    </row>
    <row r="92" ht="20.25" customHeight="1">
      <c r="A92" s="278" t="s">
        <v>117</v>
      </c>
      <c r="B92" s="149" t="s">
        <v>19</v>
      </c>
      <c r="C92" s="149" t="s">
        <v>24</v>
      </c>
      <c r="D92" s="150">
        <v>46174.0</v>
      </c>
      <c r="E92" s="149" t="s">
        <v>2117</v>
      </c>
      <c r="F92" s="149" t="s">
        <v>2118</v>
      </c>
      <c r="G92" s="149" t="s">
        <v>2119</v>
      </c>
      <c r="H92" s="149" t="s">
        <v>2120</v>
      </c>
      <c r="I92" s="152" t="s">
        <v>2121</v>
      </c>
      <c r="J92" s="149" t="s">
        <v>2122</v>
      </c>
      <c r="K92" s="149"/>
      <c r="L92" s="282"/>
      <c r="M92" s="283"/>
      <c r="N92" s="286"/>
      <c r="O92" s="149"/>
      <c r="P92" s="288"/>
      <c r="Q92" s="265">
        <v>1.033091152E9</v>
      </c>
      <c r="R92" s="288"/>
      <c r="S92" s="288"/>
    </row>
    <row r="93" ht="20.25" customHeight="1">
      <c r="A93" s="278" t="s">
        <v>18</v>
      </c>
      <c r="B93" s="149" t="s">
        <v>25</v>
      </c>
      <c r="C93" s="149" t="s">
        <v>24</v>
      </c>
      <c r="D93" s="150">
        <v>46195.0</v>
      </c>
      <c r="E93" s="149" t="s">
        <v>2136</v>
      </c>
      <c r="F93" s="149" t="s">
        <v>2137</v>
      </c>
      <c r="G93" s="149" t="s">
        <v>2139</v>
      </c>
      <c r="H93" s="149" t="s">
        <v>2140</v>
      </c>
      <c r="I93" s="152" t="s">
        <v>1020</v>
      </c>
      <c r="J93" s="149" t="s">
        <v>2144</v>
      </c>
      <c r="K93" s="149" t="s">
        <v>2146</v>
      </c>
      <c r="L93" s="282"/>
      <c r="M93" s="283">
        <v>46196.90757989584</v>
      </c>
      <c r="N93" s="286"/>
      <c r="O93" s="149"/>
      <c r="P93" s="288"/>
      <c r="Q93" s="265">
        <v>1.98249052E9</v>
      </c>
      <c r="R93" s="288"/>
      <c r="S93" s="288"/>
    </row>
    <row r="94" ht="20.25" customHeight="1">
      <c r="A94" s="278" t="s">
        <v>906</v>
      </c>
      <c r="B94" s="149" t="s">
        <v>225</v>
      </c>
      <c r="C94" s="149" t="s">
        <v>24</v>
      </c>
      <c r="D94" s="150">
        <v>46189.0</v>
      </c>
      <c r="E94" s="149" t="s">
        <v>2151</v>
      </c>
      <c r="F94" s="149" t="s">
        <v>2154</v>
      </c>
      <c r="G94" s="149" t="s">
        <v>2156</v>
      </c>
      <c r="H94" s="149" t="s">
        <v>2158</v>
      </c>
      <c r="I94" s="152" t="s">
        <v>2160</v>
      </c>
      <c r="J94" s="149" t="s">
        <v>2161</v>
      </c>
      <c r="K94" s="149"/>
      <c r="L94" s="282"/>
      <c r="M94" s="283"/>
      <c r="N94" s="286"/>
      <c r="O94" s="149"/>
      <c r="P94" s="288"/>
      <c r="Q94" s="265">
        <v>1.962453134E9</v>
      </c>
      <c r="R94" s="288"/>
      <c r="S94" s="288"/>
    </row>
    <row r="95" ht="20.25" customHeight="1">
      <c r="A95" s="278" t="s">
        <v>18</v>
      </c>
      <c r="B95" s="149" t="s">
        <v>225</v>
      </c>
      <c r="C95" s="149" t="s">
        <v>24</v>
      </c>
      <c r="D95" s="150">
        <v>46196.0</v>
      </c>
      <c r="E95" s="149" t="s">
        <v>2168</v>
      </c>
      <c r="F95" s="149" t="s">
        <v>2169</v>
      </c>
      <c r="G95" s="149" t="s">
        <v>2170</v>
      </c>
      <c r="H95" s="149" t="s">
        <v>2172</v>
      </c>
      <c r="I95" s="152" t="s">
        <v>1089</v>
      </c>
      <c r="J95" s="149" t="s">
        <v>2174</v>
      </c>
      <c r="K95" s="149"/>
      <c r="L95" s="282"/>
      <c r="M95" s="283"/>
      <c r="N95" s="286"/>
      <c r="O95" s="149"/>
      <c r="P95" s="288"/>
      <c r="Q95" s="265">
        <v>1.82195942E9</v>
      </c>
      <c r="R95" s="288"/>
      <c r="S95" s="288"/>
    </row>
    <row r="96" ht="20.25" customHeight="1">
      <c r="A96" s="278" t="s">
        <v>18</v>
      </c>
      <c r="B96" s="149" t="s">
        <v>225</v>
      </c>
      <c r="C96" s="149" t="s">
        <v>24</v>
      </c>
      <c r="D96" s="150">
        <v>46199.0</v>
      </c>
      <c r="E96" s="149" t="s">
        <v>2183</v>
      </c>
      <c r="F96" s="149" t="s">
        <v>2185</v>
      </c>
      <c r="G96" s="149" t="s">
        <v>2188</v>
      </c>
      <c r="H96" s="149" t="s">
        <v>2190</v>
      </c>
      <c r="I96" s="152" t="s">
        <v>2192</v>
      </c>
      <c r="J96" s="149" t="s">
        <v>2194</v>
      </c>
      <c r="K96" s="149" t="s">
        <v>2197</v>
      </c>
      <c r="L96" s="282"/>
      <c r="M96" s="283">
        <v>46202.793903206024</v>
      </c>
      <c r="N96" s="286"/>
      <c r="O96" s="149"/>
      <c r="P96" s="288"/>
      <c r="Q96" s="265">
        <v>1.22590196E9</v>
      </c>
      <c r="R96" s="288"/>
      <c r="S96" s="288"/>
    </row>
    <row r="97" ht="20.25" customHeight="1">
      <c r="A97" s="278" t="s">
        <v>17</v>
      </c>
      <c r="B97" s="149" t="s">
        <v>225</v>
      </c>
      <c r="C97" s="149" t="s">
        <v>24</v>
      </c>
      <c r="D97" s="150">
        <v>46037.0</v>
      </c>
      <c r="E97" s="149" t="s">
        <v>2199</v>
      </c>
      <c r="F97" s="149" t="s">
        <v>2200</v>
      </c>
      <c r="G97" s="149" t="s">
        <v>2202</v>
      </c>
      <c r="H97" s="149" t="s">
        <v>2203</v>
      </c>
      <c r="I97" s="152" t="s">
        <v>2204</v>
      </c>
      <c r="J97" s="149" t="s">
        <v>2205</v>
      </c>
      <c r="K97" s="149" t="s">
        <v>2206</v>
      </c>
      <c r="L97" s="282"/>
      <c r="M97" s="283">
        <v>46084.919616643514</v>
      </c>
      <c r="N97" s="286"/>
      <c r="O97" s="149" t="b">
        <v>0</v>
      </c>
      <c r="P97" s="288"/>
      <c r="Q97" s="265">
        <v>1.790494649E9</v>
      </c>
      <c r="R97" s="288"/>
      <c r="S97" s="288"/>
    </row>
    <row r="98" ht="20.25" customHeight="1">
      <c r="A98" s="278" t="s">
        <v>17</v>
      </c>
      <c r="B98" s="149" t="s">
        <v>53</v>
      </c>
      <c r="C98" s="149" t="s">
        <v>24</v>
      </c>
      <c r="D98" s="150">
        <v>46213.0</v>
      </c>
      <c r="E98" s="149" t="s">
        <v>2214</v>
      </c>
      <c r="F98" s="149" t="s">
        <v>2216</v>
      </c>
      <c r="G98" s="149" t="s">
        <v>2218</v>
      </c>
      <c r="H98" s="149" t="s">
        <v>2220</v>
      </c>
      <c r="I98" s="152" t="s">
        <v>106</v>
      </c>
      <c r="J98" s="149" t="s">
        <v>2221</v>
      </c>
      <c r="K98" s="149" t="s">
        <v>2222</v>
      </c>
      <c r="L98" s="282"/>
      <c r="M98" s="283">
        <v>46251.744833171295</v>
      </c>
      <c r="N98" s="286"/>
      <c r="O98" s="149"/>
      <c r="P98" s="288"/>
      <c r="Q98" s="265">
        <v>1.629742614E9</v>
      </c>
      <c r="R98" s="288"/>
      <c r="S98" s="288"/>
    </row>
    <row r="99" ht="20.25" customHeight="1">
      <c r="A99" s="278" t="s">
        <v>135</v>
      </c>
      <c r="B99" s="149" t="s">
        <v>25</v>
      </c>
      <c r="C99" s="149" t="s">
        <v>24</v>
      </c>
      <c r="D99" s="150">
        <v>46203.0</v>
      </c>
      <c r="E99" s="149" t="s">
        <v>2230</v>
      </c>
      <c r="F99" s="149" t="s">
        <v>2232</v>
      </c>
      <c r="G99" s="149" t="s">
        <v>2233</v>
      </c>
      <c r="H99" s="149" t="s">
        <v>2235</v>
      </c>
      <c r="I99" s="152" t="s">
        <v>2237</v>
      </c>
      <c r="J99" s="149" t="s">
        <v>2238</v>
      </c>
      <c r="K99" s="149" t="s">
        <v>2240</v>
      </c>
      <c r="L99" s="282"/>
      <c r="M99" s="283">
        <v>46210.95578164352</v>
      </c>
      <c r="N99" s="286"/>
      <c r="O99" s="149"/>
      <c r="P99" s="288"/>
      <c r="Q99" s="265">
        <v>1.487855532E9</v>
      </c>
      <c r="R99" s="288"/>
      <c r="S99" s="288"/>
    </row>
    <row r="100" ht="20.25" customHeight="1">
      <c r="A100" s="278" t="s">
        <v>410</v>
      </c>
      <c r="B100" s="149" t="s">
        <v>23</v>
      </c>
      <c r="C100" s="149" t="s">
        <v>24</v>
      </c>
      <c r="D100" s="150">
        <v>46203.0</v>
      </c>
      <c r="E100" s="149" t="s">
        <v>2250</v>
      </c>
      <c r="F100" s="149" t="s">
        <v>2252</v>
      </c>
      <c r="G100" s="149" t="s">
        <v>2254</v>
      </c>
      <c r="H100" s="149" t="s">
        <v>2256</v>
      </c>
      <c r="I100" s="152" t="s">
        <v>1174</v>
      </c>
      <c r="J100" s="149" t="s">
        <v>2257</v>
      </c>
      <c r="K100" s="149" t="s">
        <v>2258</v>
      </c>
      <c r="L100" s="282"/>
      <c r="M100" s="283">
        <v>46227.82234666667</v>
      </c>
      <c r="N100" s="286"/>
      <c r="O100" s="149"/>
      <c r="P100" s="288"/>
      <c r="Q100" s="265">
        <v>1.386356368E9</v>
      </c>
      <c r="R100" s="288"/>
      <c r="S100" s="288"/>
    </row>
    <row r="101" ht="20.25" customHeight="1">
      <c r="A101" s="278" t="s">
        <v>17</v>
      </c>
      <c r="B101" s="149" t="s">
        <v>23</v>
      </c>
      <c r="C101" s="149" t="s">
        <v>24</v>
      </c>
      <c r="D101" s="150">
        <v>46198.0</v>
      </c>
      <c r="E101" s="149" t="s">
        <v>433</v>
      </c>
      <c r="F101" s="149" t="s">
        <v>2268</v>
      </c>
      <c r="G101" s="149" t="s">
        <v>437</v>
      </c>
      <c r="H101" s="149" t="s">
        <v>2269</v>
      </c>
      <c r="I101" s="152" t="s">
        <v>140</v>
      </c>
      <c r="J101" s="149" t="s">
        <v>2270</v>
      </c>
      <c r="K101" s="149" t="s">
        <v>2271</v>
      </c>
      <c r="L101" s="282"/>
      <c r="M101" s="283">
        <v>46232.72600009259</v>
      </c>
      <c r="N101" s="286"/>
      <c r="O101" s="149"/>
      <c r="P101" s="288"/>
      <c r="Q101" s="265">
        <v>1.245961226E9</v>
      </c>
      <c r="R101" s="288"/>
      <c r="S101" s="288"/>
    </row>
    <row r="102" ht="20.25" customHeight="1">
      <c r="A102" s="278" t="s">
        <v>17</v>
      </c>
      <c r="B102" s="149" t="s">
        <v>23</v>
      </c>
      <c r="C102" s="149" t="s">
        <v>24</v>
      </c>
      <c r="D102" s="150">
        <v>46210.0</v>
      </c>
      <c r="E102" s="149" t="s">
        <v>2284</v>
      </c>
      <c r="F102" s="149" t="s">
        <v>2285</v>
      </c>
      <c r="G102" s="149" t="s">
        <v>2286</v>
      </c>
      <c r="H102" s="149" t="s">
        <v>2288</v>
      </c>
      <c r="I102" s="152" t="s">
        <v>317</v>
      </c>
      <c r="J102" s="149" t="s">
        <v>2292</v>
      </c>
      <c r="K102" s="149" t="s">
        <v>2293</v>
      </c>
      <c r="L102" s="282"/>
      <c r="M102" s="283">
        <v>46232.82878127314</v>
      </c>
      <c r="N102" s="286"/>
      <c r="O102" s="149"/>
      <c r="P102" s="288"/>
      <c r="Q102" s="265">
        <v>1.750238564E9</v>
      </c>
      <c r="R102" s="288"/>
      <c r="S102" s="288"/>
    </row>
    <row r="103" ht="20.25" customHeight="1">
      <c r="A103" s="278" t="s">
        <v>22</v>
      </c>
      <c r="B103" s="149" t="s">
        <v>23</v>
      </c>
      <c r="C103" s="149" t="s">
        <v>24</v>
      </c>
      <c r="D103" s="150">
        <v>46209.0</v>
      </c>
      <c r="E103" s="149" t="s">
        <v>2303</v>
      </c>
      <c r="F103" s="149" t="s">
        <v>2305</v>
      </c>
      <c r="G103" s="149" t="s">
        <v>2306</v>
      </c>
      <c r="H103" s="149" t="s">
        <v>2307</v>
      </c>
      <c r="I103" s="152" t="s">
        <v>115</v>
      </c>
      <c r="J103" s="149" t="s">
        <v>2308</v>
      </c>
      <c r="K103" s="149" t="s">
        <v>2309</v>
      </c>
      <c r="L103" s="282"/>
      <c r="M103" s="283">
        <v>46218.891536435185</v>
      </c>
      <c r="N103" s="286"/>
      <c r="O103" s="149"/>
      <c r="P103" s="288"/>
      <c r="Q103" s="265">
        <v>1.740003052E9</v>
      </c>
      <c r="R103" s="288"/>
      <c r="S103" s="288"/>
    </row>
    <row r="104" ht="20.25" customHeight="1">
      <c r="A104" s="278" t="s">
        <v>62</v>
      </c>
      <c r="B104" s="149" t="s">
        <v>53</v>
      </c>
      <c r="C104" s="149" t="s">
        <v>24</v>
      </c>
      <c r="D104" s="150">
        <v>46209.0</v>
      </c>
      <c r="E104" s="149" t="s">
        <v>2318</v>
      </c>
      <c r="F104" s="149" t="s">
        <v>2319</v>
      </c>
      <c r="G104" s="149" t="s">
        <v>2321</v>
      </c>
      <c r="H104" s="149" t="s">
        <v>2322</v>
      </c>
      <c r="I104" s="152" t="s">
        <v>2324</v>
      </c>
      <c r="J104" s="149" t="s">
        <v>2327</v>
      </c>
      <c r="K104" s="149" t="s">
        <v>2328</v>
      </c>
      <c r="L104" s="282"/>
      <c r="M104" s="283">
        <v>46233.73617491898</v>
      </c>
      <c r="N104" s="286"/>
      <c r="O104" s="149"/>
      <c r="P104" s="288"/>
      <c r="Q104" s="265">
        <v>1.114781408E9</v>
      </c>
      <c r="R104" s="288"/>
      <c r="S104" s="288"/>
    </row>
    <row r="105" ht="20.25" customHeight="1">
      <c r="A105" s="278" t="s">
        <v>62</v>
      </c>
      <c r="B105" s="149" t="s">
        <v>225</v>
      </c>
      <c r="C105" s="149" t="s">
        <v>24</v>
      </c>
      <c r="D105" s="150">
        <v>46202.0</v>
      </c>
      <c r="E105" s="149" t="s">
        <v>2339</v>
      </c>
      <c r="F105" s="149" t="s">
        <v>2341</v>
      </c>
      <c r="G105" s="149" t="s">
        <v>2343</v>
      </c>
      <c r="H105" s="149" t="s">
        <v>2345</v>
      </c>
      <c r="I105" s="152" t="s">
        <v>2317</v>
      </c>
      <c r="J105" s="149" t="s">
        <v>2346</v>
      </c>
      <c r="K105" s="149"/>
      <c r="L105" s="282"/>
      <c r="M105" s="283"/>
      <c r="N105" s="286"/>
      <c r="O105" s="149"/>
      <c r="P105" s="288"/>
      <c r="Q105" s="265">
        <v>1.629919642E9</v>
      </c>
      <c r="R105" s="325"/>
      <c r="S105" s="325"/>
    </row>
    <row r="106" ht="20.25" customHeight="1">
      <c r="A106" s="278" t="s">
        <v>62</v>
      </c>
      <c r="B106" s="149" t="s">
        <v>53</v>
      </c>
      <c r="C106" s="149" t="s">
        <v>24</v>
      </c>
      <c r="D106" s="150">
        <v>45993.0</v>
      </c>
      <c r="E106" s="149" t="s">
        <v>2359</v>
      </c>
      <c r="F106" s="149" t="s">
        <v>2360</v>
      </c>
      <c r="G106" s="149" t="s">
        <v>2361</v>
      </c>
      <c r="H106" s="149" t="s">
        <v>2362</v>
      </c>
      <c r="I106" s="152" t="s">
        <v>558</v>
      </c>
      <c r="J106" s="149" t="s">
        <v>2367</v>
      </c>
      <c r="K106" s="149" t="s">
        <v>2370</v>
      </c>
      <c r="L106" s="282"/>
      <c r="M106" s="283">
        <v>46066.89408398148</v>
      </c>
      <c r="N106" s="286"/>
      <c r="O106" s="149" t="b">
        <v>0</v>
      </c>
      <c r="P106" s="288"/>
      <c r="Q106" s="265">
        <v>1.831989458E9</v>
      </c>
      <c r="R106" s="325"/>
      <c r="S106" s="325"/>
    </row>
    <row r="107" ht="20.25" customHeight="1">
      <c r="A107" s="278" t="s">
        <v>62</v>
      </c>
      <c r="B107" s="149" t="s">
        <v>53</v>
      </c>
      <c r="C107" s="149" t="s">
        <v>24</v>
      </c>
      <c r="D107" s="150">
        <v>45943.0</v>
      </c>
      <c r="E107" s="149" t="s">
        <v>2381</v>
      </c>
      <c r="F107" s="149" t="s">
        <v>2382</v>
      </c>
      <c r="G107" s="149" t="s">
        <v>2384</v>
      </c>
      <c r="H107" s="149" t="s">
        <v>2386</v>
      </c>
      <c r="I107" s="152" t="s">
        <v>1963</v>
      </c>
      <c r="J107" s="149" t="s">
        <v>2387</v>
      </c>
      <c r="K107" s="149" t="s">
        <v>2388</v>
      </c>
      <c r="L107" s="282"/>
      <c r="M107" s="283">
        <v>46223.95105358797</v>
      </c>
      <c r="N107" s="286"/>
      <c r="O107" s="149" t="b">
        <v>0</v>
      </c>
      <c r="P107" s="288"/>
      <c r="Q107" s="265">
        <v>1.467294769E9</v>
      </c>
      <c r="R107" s="325"/>
      <c r="S107" s="325"/>
    </row>
    <row r="108" ht="20.25" customHeight="1">
      <c r="A108" s="278" t="s">
        <v>155</v>
      </c>
      <c r="B108" s="149" t="s">
        <v>25</v>
      </c>
      <c r="C108" s="149" t="s">
        <v>24</v>
      </c>
      <c r="D108" s="150">
        <v>46220.0</v>
      </c>
      <c r="E108" s="149" t="s">
        <v>2396</v>
      </c>
      <c r="F108" s="149" t="s">
        <v>2397</v>
      </c>
      <c r="G108" s="149" t="s">
        <v>2399</v>
      </c>
      <c r="H108" s="149" t="s">
        <v>2401</v>
      </c>
      <c r="I108" s="152" t="s">
        <v>872</v>
      </c>
      <c r="J108" s="149" t="s">
        <v>2409</v>
      </c>
      <c r="K108" s="149" t="s">
        <v>2411</v>
      </c>
      <c r="L108" s="282"/>
      <c r="M108" s="283">
        <v>46223.91957726852</v>
      </c>
      <c r="N108" s="286"/>
      <c r="O108" s="149"/>
      <c r="P108" s="288"/>
      <c r="Q108" s="265"/>
      <c r="R108" s="325"/>
      <c r="S108" s="325"/>
    </row>
    <row r="109" ht="20.25" customHeight="1">
      <c r="A109" s="278" t="s">
        <v>135</v>
      </c>
      <c r="B109" s="149" t="s">
        <v>53</v>
      </c>
      <c r="C109" s="149" t="s">
        <v>24</v>
      </c>
      <c r="D109" s="150">
        <v>46212.0</v>
      </c>
      <c r="E109" s="149" t="s">
        <v>2414</v>
      </c>
      <c r="F109" s="149" t="s">
        <v>2416</v>
      </c>
      <c r="G109" s="149" t="s">
        <v>2418</v>
      </c>
      <c r="H109" s="149" t="s">
        <v>2421</v>
      </c>
      <c r="I109" s="152" t="s">
        <v>1760</v>
      </c>
      <c r="J109" s="149" t="s">
        <v>2423</v>
      </c>
      <c r="K109" s="149" t="s">
        <v>2425</v>
      </c>
      <c r="L109" s="282"/>
      <c r="M109" s="283">
        <v>46245.73577303241</v>
      </c>
      <c r="N109" s="286"/>
      <c r="O109" s="149"/>
      <c r="P109" s="288"/>
      <c r="Q109" s="265">
        <v>1.427561679E9</v>
      </c>
      <c r="R109" s="288"/>
      <c r="S109" s="288"/>
    </row>
    <row r="110" ht="20.25" customHeight="1">
      <c r="A110" s="278" t="s">
        <v>155</v>
      </c>
      <c r="B110" s="149" t="s">
        <v>25</v>
      </c>
      <c r="C110" s="149" t="s">
        <v>24</v>
      </c>
      <c r="D110" s="150">
        <v>46232.0</v>
      </c>
      <c r="E110" s="149" t="s">
        <v>2430</v>
      </c>
      <c r="F110" s="149" t="s">
        <v>2432</v>
      </c>
      <c r="G110" s="149" t="s">
        <v>2434</v>
      </c>
      <c r="H110" s="149" t="s">
        <v>2435</v>
      </c>
      <c r="I110" s="152" t="s">
        <v>1170</v>
      </c>
      <c r="J110" s="149" t="s">
        <v>2436</v>
      </c>
      <c r="K110" s="149" t="s">
        <v>2438</v>
      </c>
      <c r="L110" s="282"/>
      <c r="M110" s="283">
        <v>46237.78468765046</v>
      </c>
      <c r="N110" s="286"/>
      <c r="O110" s="149"/>
      <c r="P110" s="288"/>
      <c r="Q110" s="265"/>
      <c r="R110" s="288"/>
      <c r="S110" s="288"/>
    </row>
    <row r="111" ht="20.25" customHeight="1">
      <c r="A111" s="278" t="s">
        <v>224</v>
      </c>
      <c r="B111" s="149" t="s">
        <v>225</v>
      </c>
      <c r="C111" s="149" t="s">
        <v>24</v>
      </c>
      <c r="D111" s="150">
        <v>46234.0</v>
      </c>
      <c r="E111" s="149" t="s">
        <v>2449</v>
      </c>
      <c r="F111" s="149" t="s">
        <v>2451</v>
      </c>
      <c r="G111" s="149" t="s">
        <v>2453</v>
      </c>
      <c r="H111" s="149" t="s">
        <v>2454</v>
      </c>
      <c r="I111" s="152" t="s">
        <v>2455</v>
      </c>
      <c r="J111" s="149" t="s">
        <v>2456</v>
      </c>
      <c r="K111" s="149"/>
      <c r="L111" s="282"/>
      <c r="M111" s="283"/>
      <c r="N111" s="286"/>
      <c r="O111" s="149"/>
      <c r="P111" s="288"/>
      <c r="Q111" s="265"/>
      <c r="R111" s="288"/>
      <c r="S111" s="288"/>
    </row>
    <row r="112" ht="20.25" customHeight="1">
      <c r="A112" s="278" t="s">
        <v>224</v>
      </c>
      <c r="B112" s="149" t="s">
        <v>225</v>
      </c>
      <c r="C112" s="149" t="s">
        <v>24</v>
      </c>
      <c r="D112" s="150">
        <v>46227.0</v>
      </c>
      <c r="E112" s="149" t="s">
        <v>2463</v>
      </c>
      <c r="F112" s="149" t="s">
        <v>2464</v>
      </c>
      <c r="G112" s="149">
        <v>2.629093636E9</v>
      </c>
      <c r="H112" s="149" t="s">
        <v>2465</v>
      </c>
      <c r="I112" s="152" t="s">
        <v>2466</v>
      </c>
      <c r="J112" s="149" t="s">
        <v>2467</v>
      </c>
      <c r="K112" s="149"/>
      <c r="L112" s="282"/>
      <c r="M112" s="283"/>
      <c r="N112" s="286"/>
      <c r="O112" s="149"/>
      <c r="P112" s="288"/>
      <c r="Q112" s="265"/>
      <c r="R112" s="288"/>
      <c r="S112" s="288"/>
    </row>
    <row r="113" ht="20.25" customHeight="1">
      <c r="A113" s="278" t="s">
        <v>224</v>
      </c>
      <c r="B113" s="149" t="s">
        <v>225</v>
      </c>
      <c r="C113" s="149" t="s">
        <v>24</v>
      </c>
      <c r="D113" s="150">
        <v>46230.0</v>
      </c>
      <c r="E113" s="149" t="s">
        <v>2475</v>
      </c>
      <c r="F113" s="149" t="s">
        <v>2476</v>
      </c>
      <c r="G113" s="149" t="s">
        <v>2477</v>
      </c>
      <c r="H113" s="149" t="s">
        <v>2478</v>
      </c>
      <c r="I113" s="152" t="s">
        <v>2479</v>
      </c>
      <c r="J113" s="149" t="s">
        <v>2480</v>
      </c>
      <c r="K113" s="149" t="s">
        <v>2482</v>
      </c>
      <c r="L113" s="282"/>
      <c r="M113" s="283">
        <v>46232.8603242824</v>
      </c>
      <c r="N113" s="286"/>
      <c r="O113" s="149"/>
      <c r="P113" s="288"/>
      <c r="Q113" s="265"/>
      <c r="R113" s="288"/>
      <c r="S113" s="288"/>
    </row>
    <row r="114" ht="20.25" customHeight="1">
      <c r="A114" s="278" t="s">
        <v>135</v>
      </c>
      <c r="B114" s="149" t="s">
        <v>53</v>
      </c>
      <c r="C114" s="149" t="s">
        <v>24</v>
      </c>
      <c r="D114" s="150">
        <v>46195.0</v>
      </c>
      <c r="E114" s="149" t="s">
        <v>2489</v>
      </c>
      <c r="F114" s="149" t="s">
        <v>2491</v>
      </c>
      <c r="G114" s="149" t="s">
        <v>2494</v>
      </c>
      <c r="H114" s="149" t="s">
        <v>2496</v>
      </c>
      <c r="I114" s="152" t="s">
        <v>2498</v>
      </c>
      <c r="J114" s="149" t="s">
        <v>2500</v>
      </c>
      <c r="K114" s="149" t="s">
        <v>2502</v>
      </c>
      <c r="L114" s="282"/>
      <c r="M114" s="283">
        <v>46223.935696782406</v>
      </c>
      <c r="N114" s="286"/>
      <c r="O114" s="149"/>
      <c r="P114" s="288"/>
      <c r="Q114" s="265">
        <v>1.255380168E9</v>
      </c>
      <c r="R114" s="288"/>
      <c r="S114" s="288"/>
    </row>
    <row r="115" ht="20.25" customHeight="1">
      <c r="A115" s="278" t="s">
        <v>18</v>
      </c>
      <c r="B115" s="149" t="s">
        <v>53</v>
      </c>
      <c r="C115" s="149" t="s">
        <v>24</v>
      </c>
      <c r="D115" s="150">
        <v>46203.0</v>
      </c>
      <c r="E115" s="149" t="s">
        <v>2512</v>
      </c>
      <c r="F115" s="149" t="s">
        <v>2514</v>
      </c>
      <c r="G115" s="149" t="s">
        <v>2517</v>
      </c>
      <c r="H115" s="149" t="s">
        <v>2518</v>
      </c>
      <c r="I115" s="152" t="s">
        <v>2519</v>
      </c>
      <c r="J115" s="149" t="s">
        <v>2520</v>
      </c>
      <c r="K115" s="149" t="s">
        <v>2521</v>
      </c>
      <c r="L115" s="282"/>
      <c r="M115" s="283">
        <v>46217.7987928588</v>
      </c>
      <c r="N115" s="286"/>
      <c r="O115" s="149"/>
      <c r="P115" s="288"/>
      <c r="Q115" s="265">
        <v>1.003063736E9</v>
      </c>
      <c r="R115" s="288"/>
      <c r="S115" s="288"/>
    </row>
    <row r="116" ht="20.25" customHeight="1">
      <c r="A116" s="278" t="s">
        <v>224</v>
      </c>
      <c r="B116" s="149" t="s">
        <v>225</v>
      </c>
      <c r="C116" s="149" t="s">
        <v>24</v>
      </c>
      <c r="D116" s="150">
        <v>46239.0</v>
      </c>
      <c r="E116" s="149" t="s">
        <v>2528</v>
      </c>
      <c r="F116" s="149" t="s">
        <v>2530</v>
      </c>
      <c r="G116" s="149" t="s">
        <v>2532</v>
      </c>
      <c r="H116" s="149" t="s">
        <v>2534</v>
      </c>
      <c r="I116" s="152" t="s">
        <v>2536</v>
      </c>
      <c r="J116" s="149" t="s">
        <v>2537</v>
      </c>
      <c r="K116" s="149" t="s">
        <v>2540</v>
      </c>
      <c r="L116" s="282"/>
      <c r="M116" s="283">
        <v>46240.72491777778</v>
      </c>
      <c r="N116" s="286"/>
      <c r="O116" s="149"/>
      <c r="P116" s="288"/>
      <c r="Q116" s="265"/>
      <c r="R116" s="288"/>
      <c r="S116" s="288"/>
    </row>
    <row r="117" ht="20.25" customHeight="1">
      <c r="A117" s="278" t="s">
        <v>224</v>
      </c>
      <c r="B117" s="149" t="s">
        <v>225</v>
      </c>
      <c r="C117" s="149" t="s">
        <v>24</v>
      </c>
      <c r="D117" s="150">
        <v>46240.0</v>
      </c>
      <c r="E117" s="149" t="s">
        <v>2549</v>
      </c>
      <c r="F117" s="149" t="s">
        <v>2550</v>
      </c>
      <c r="G117" s="149" t="s">
        <v>2552</v>
      </c>
      <c r="H117" s="149" t="s">
        <v>2553</v>
      </c>
      <c r="I117" s="152" t="s">
        <v>2554</v>
      </c>
      <c r="J117" s="149"/>
      <c r="K117" s="149" t="s">
        <v>2558</v>
      </c>
      <c r="L117" s="282"/>
      <c r="M117" s="283">
        <v>46240.88090564815</v>
      </c>
      <c r="N117" s="286"/>
      <c r="O117" s="149"/>
      <c r="P117" s="288"/>
      <c r="Q117" s="265"/>
      <c r="R117" s="288"/>
      <c r="S117" s="288"/>
    </row>
    <row r="118" ht="20.25" customHeight="1">
      <c r="A118" s="278" t="s">
        <v>224</v>
      </c>
      <c r="B118" s="149" t="s">
        <v>225</v>
      </c>
      <c r="C118" s="149" t="s">
        <v>24</v>
      </c>
      <c r="D118" s="150">
        <v>46240.0</v>
      </c>
      <c r="E118" s="149" t="s">
        <v>2567</v>
      </c>
      <c r="F118" s="149" t="s">
        <v>2568</v>
      </c>
      <c r="G118" s="149" t="s">
        <v>2569</v>
      </c>
      <c r="H118" s="149" t="s">
        <v>2570</v>
      </c>
      <c r="I118" s="152" t="s">
        <v>667</v>
      </c>
      <c r="J118" s="149" t="s">
        <v>2576</v>
      </c>
      <c r="K118" s="149"/>
      <c r="L118" s="282"/>
      <c r="M118" s="283"/>
      <c r="N118" s="286"/>
      <c r="O118" s="149"/>
      <c r="P118" s="288"/>
      <c r="Q118" s="265"/>
      <c r="R118" s="288"/>
      <c r="S118" s="288"/>
    </row>
    <row r="119" ht="20.25" customHeight="1">
      <c r="A119" s="278" t="s">
        <v>155</v>
      </c>
      <c r="B119" s="149" t="s">
        <v>25</v>
      </c>
      <c r="C119" s="149" t="s">
        <v>24</v>
      </c>
      <c r="D119" s="150">
        <v>46239.0</v>
      </c>
      <c r="E119" s="149" t="s">
        <v>2586</v>
      </c>
      <c r="F119" s="149" t="s">
        <v>2588</v>
      </c>
      <c r="G119" s="149" t="s">
        <v>2590</v>
      </c>
      <c r="H119" s="149" t="s">
        <v>2592</v>
      </c>
      <c r="I119" s="152" t="s">
        <v>497</v>
      </c>
      <c r="J119" s="149" t="s">
        <v>2598</v>
      </c>
      <c r="K119" s="149"/>
      <c r="L119" s="282"/>
      <c r="M119" s="283"/>
      <c r="N119" s="286"/>
      <c r="O119" s="149"/>
      <c r="P119" s="288"/>
      <c r="Q119" s="265">
        <v>1.861201022E9</v>
      </c>
      <c r="R119" s="288"/>
      <c r="S119" s="288"/>
    </row>
    <row r="120" ht="20.25" customHeight="1">
      <c r="A120" s="278" t="s">
        <v>62</v>
      </c>
      <c r="B120" s="149" t="s">
        <v>225</v>
      </c>
      <c r="C120" s="149" t="s">
        <v>24</v>
      </c>
      <c r="D120" s="150">
        <v>46206.0</v>
      </c>
      <c r="E120" s="149" t="s">
        <v>2606</v>
      </c>
      <c r="F120" s="149" t="s">
        <v>2607</v>
      </c>
      <c r="G120" s="149" t="s">
        <v>2608</v>
      </c>
      <c r="H120" s="149" t="s">
        <v>2609</v>
      </c>
      <c r="I120" s="152" t="s">
        <v>2612</v>
      </c>
      <c r="J120" s="149" t="s">
        <v>2614</v>
      </c>
      <c r="K120" s="149" t="s">
        <v>2617</v>
      </c>
      <c r="L120" s="282"/>
      <c r="M120" s="283">
        <v>46244.77523460648</v>
      </c>
      <c r="N120" s="286"/>
      <c r="O120" s="149"/>
      <c r="P120" s="288"/>
      <c r="Q120" s="265">
        <v>1.285271304E9</v>
      </c>
      <c r="R120" s="288"/>
      <c r="S120" s="288"/>
    </row>
    <row r="121" ht="20.25" customHeight="1">
      <c r="A121" s="278" t="s">
        <v>17</v>
      </c>
      <c r="B121" s="149" t="s">
        <v>251</v>
      </c>
      <c r="C121" s="149" t="s">
        <v>24</v>
      </c>
      <c r="D121" s="150">
        <v>46246.0</v>
      </c>
      <c r="E121" s="149" t="s">
        <v>2629</v>
      </c>
      <c r="F121" s="149" t="s">
        <v>2630</v>
      </c>
      <c r="G121" s="149" t="s">
        <v>2631</v>
      </c>
      <c r="H121" s="149" t="s">
        <v>2632</v>
      </c>
      <c r="I121" s="152" t="s">
        <v>268</v>
      </c>
      <c r="J121" s="149" t="s">
        <v>2638</v>
      </c>
      <c r="K121" s="149" t="s">
        <v>2641</v>
      </c>
      <c r="L121" s="282"/>
      <c r="M121" s="283">
        <v>46251.81616019676</v>
      </c>
      <c r="N121" s="286"/>
      <c r="O121" s="149"/>
      <c r="P121" s="288"/>
      <c r="Q121" s="265">
        <v>1.609987023E9</v>
      </c>
      <c r="R121" s="288"/>
      <c r="S121" s="288"/>
    </row>
    <row r="122" ht="20.25" customHeight="1">
      <c r="A122" s="278" t="s">
        <v>18</v>
      </c>
      <c r="B122" s="149" t="s">
        <v>251</v>
      </c>
      <c r="C122" s="149" t="s">
        <v>24</v>
      </c>
      <c r="D122" s="150">
        <v>46244.0</v>
      </c>
      <c r="E122" s="149" t="s">
        <v>2648</v>
      </c>
      <c r="F122" s="149" t="s">
        <v>2650</v>
      </c>
      <c r="G122" s="149" t="s">
        <v>2653</v>
      </c>
      <c r="H122" s="149" t="s">
        <v>2656</v>
      </c>
      <c r="I122" s="152" t="s">
        <v>2020</v>
      </c>
      <c r="J122" s="149" t="s">
        <v>2660</v>
      </c>
      <c r="K122" s="149" t="s">
        <v>2662</v>
      </c>
      <c r="L122" s="282"/>
      <c r="M122" s="150">
        <v>46245.0</v>
      </c>
      <c r="N122" s="286"/>
      <c r="O122" s="149"/>
      <c r="P122" s="288"/>
      <c r="Q122" s="265">
        <v>1.679259311E9</v>
      </c>
      <c r="R122" s="288"/>
      <c r="S122" s="288"/>
    </row>
  </sheetData>
  <customSheetViews>
    <customSheetView guid="{3A276F3E-375B-4047-8362-7BC8706380F8}" filter="1" showAutoFilter="1">
      <autoFilter ref="$A$1:$P$33">
        <filterColumn colId="1">
          <filters>
            <filter val="Ben"/>
          </filters>
        </filterColumn>
        <filterColumn colId="0">
          <filters>
            <filter val="ORT"/>
            <filter val="IMMUNE"/>
            <filter val="ORT+CGM"/>
            <filter val="ORT + Lymphedema"/>
            <filter val="Vacation DNC Camapign"/>
            <filter val="Campaigns"/>
          </filters>
        </filterColumn>
      </autoFilter>
    </customSheetView>
    <customSheetView guid="{AA11B3EB-7166-429A-9C9E-A7F2D10587B6}" filter="1" showAutoFilter="1">
      <autoFilter ref="$A$1:$P$23">
        <filterColumn colId="1">
          <filters>
            <filter val="Ben"/>
          </filters>
        </filterColumn>
      </autoFilter>
    </customSheetView>
    <customSheetView guid="{4FBD1DD6-4B2C-4C17-BEC1-FB193AF50FDA}" filter="1" showAutoFilter="1">
      <autoFilter ref="$A$1:$Q$57">
        <sortState ref="A1:Q57">
          <sortCondition ref="B1:B57"/>
        </sortState>
      </autoFilter>
    </customSheetView>
    <customSheetView guid="{465A9FEF-47D5-41A2-BD54-F2B1D7881CCA}" filter="1" showAutoFilter="1">
      <autoFilter ref="$A$1:$P$48">
        <filterColumn colId="0">
          <filters>
            <filter val="ORT"/>
            <filter val="IMMUNE"/>
            <filter val="ORT+CGM"/>
            <filter val="ORT + Lymphedema"/>
          </filters>
        </filterColumn>
        <filterColumn colId="1">
          <filters>
            <filter val="Selene"/>
            <filter val="Ben"/>
            <filter val="Jane"/>
            <filter val="Jimmy"/>
          </filters>
        </filterColumn>
        <filterColumn colId="12">
          <filters blank="1">
            <filter val="7/20/2026"/>
            <filter val="3/13/2026 20:41:51"/>
            <filter val="3/17/2026 22:51:30"/>
            <filter val="7/20/2026 19:21:01"/>
            <filter val="6/10/2026 20:12:13"/>
            <filter val="7/20/2026 19:45:14"/>
            <filter val="6/10/2026 20:45:15"/>
            <filter val="2/27/2026 23:51:25"/>
            <filter val="7/20/2026 19:15:16"/>
            <filter val="7/20/2026 19:14:27"/>
            <filter val="3/31/2026 23:06:57"/>
            <filter val="6/10/2026 20:20:53"/>
            <filter val="7/20/2026 22:45:48"/>
            <filter val="6/10/2026 20:21:03"/>
            <filter val="8/14/2026"/>
            <filter val="3/10/2026 18:25:57"/>
            <filter val="7/20/2026 19:55:51"/>
            <filter val="5/13/2026 23:07:36"/>
            <filter val="2/17/2026 20:53:42"/>
            <filter val="7/6/2026 20:37:29"/>
            <filter val="7/20/2026 17:59:48"/>
            <filter val="3/31/2026 21:33:43"/>
            <filter val="7/20/2026 19:14:15"/>
            <filter val="3/13/2026 19:50:25"/>
            <filter val="7/20/2026 19:17:06"/>
            <filter val="6/10/2026 21:25:29"/>
            <filter val="7/20/2026 19:16:33"/>
            <filter val="4/2/2026 20:03:58"/>
            <filter val="6/3/2026 16:54:38"/>
            <filter val="3/13/2026 19:40:08"/>
          </filters>
        </filterColumn>
        <sortState ref="A1:P48">
          <sortCondition descending="1" ref="M1:M48"/>
        </sortState>
      </autoFilter>
    </customSheetView>
    <customSheetView guid="{A5BC5E77-FC3C-44DA-8879-5736CB893BB4}" filter="1" showAutoFilter="1">
      <autoFilter ref="$A$1:$R$108">
        <filterColumn colId="1">
          <filters>
            <filter val="Ben"/>
          </filters>
        </filterColumn>
        <filterColumn colId="0">
          <filters>
            <filter val="ORT"/>
            <filter val="IMMUNE"/>
            <filter val="SUB"/>
            <filter val="ORT+CGM"/>
            <filter val="ORT+CGM+LYMPH W"/>
            <filter val="ORT + Lymphedema"/>
            <filter val="Lymphadema"/>
            <filter val="Vacation DNC Camapign"/>
            <filter val="CGM"/>
            <filter val="Campaigns"/>
            <filter val="Lab"/>
          </filters>
        </filterColumn>
        <sortState ref="A1:R108">
          <sortCondition descending="1" ref="D1:D108"/>
          <sortCondition descending="1" ref="M1:M108"/>
        </sortState>
      </autoFilter>
    </customSheetView>
    <customSheetView guid="{EFB21323-95C1-45BD-9E8A-755BDF45AF62}" filter="1" showAutoFilter="1">
      <autoFilter ref="$A$1:$P$31">
        <filterColumn colId="1">
          <filters>
            <filter val="Ben"/>
          </filters>
        </filterColumn>
      </autoFilter>
    </customSheetView>
    <customSheetView guid="{FE6BFC50-C8F1-4E23-BC9D-2948526AE1EA}" filter="1" showAutoFilter="1">
      <autoFilter ref="$A$1:$P$44">
        <filterColumn colId="0">
          <filters>
            <filter val="ORT"/>
            <filter val="IMMUNE"/>
            <filter val="ORT+CGM"/>
            <filter val="ORT + Lymphedema"/>
          </filters>
        </filterColumn>
        <filterColumn colId="2">
          <filters>
            <filter val="Follow Up"/>
          </filters>
        </filterColumn>
        <sortState ref="A1:P44">
          <sortCondition descending="1" ref="M1:M44"/>
        </sortState>
      </autoFilter>
    </customSheetView>
  </customSheetViews>
  <conditionalFormatting sqref="A70:S122">
    <cfRule type="expression" dxfId="9" priority="1">
      <formula>$C70="Hold"</formula>
    </cfRule>
  </conditionalFormatting>
  <conditionalFormatting sqref="A70:S122">
    <cfRule type="expression" dxfId="8" priority="2">
      <formula>OR($C70="Invoice Sent", $C70="Trial Sent")</formula>
    </cfRule>
  </conditionalFormatting>
  <conditionalFormatting sqref="A70:P122">
    <cfRule type="expression" dxfId="7" priority="3">
      <formula>$C70="Onboarded"</formula>
    </cfRule>
  </conditionalFormatting>
  <conditionalFormatting sqref="A70:P122">
    <cfRule type="expression" dxfId="6" priority="4">
      <formula>OR($C70="DNC", $C70="NI", $C70="No Medicare")</formula>
    </cfRule>
  </conditionalFormatting>
  <conditionalFormatting sqref="A70:P122">
    <cfRule type="expression" dxfId="5" priority="5">
      <formula>OR($C70="NOT READY", $C70="No - Show / Callback", $C70="Pending Medicare", $C70="Inactive License")</formula>
    </cfRule>
  </conditionalFormatting>
  <conditionalFormatting sqref="A70:P122">
    <cfRule type="expression" dxfId="4" priority="6">
      <formula>OR($C70="Follow Up", $C70="Contract Sent")</formula>
    </cfRule>
  </conditionalFormatting>
  <conditionalFormatting sqref="A69:S69">
    <cfRule type="expression" dxfId="9" priority="7">
      <formula>$C69="Hold"</formula>
    </cfRule>
  </conditionalFormatting>
  <conditionalFormatting sqref="A69:S69">
    <cfRule type="expression" dxfId="8" priority="8">
      <formula>OR($C69="Invoice Sent", $C69="Trial Sent")</formula>
    </cfRule>
  </conditionalFormatting>
  <conditionalFormatting sqref="A69:P69">
    <cfRule type="expression" dxfId="7" priority="9">
      <formula>$C69="Onboarded"</formula>
    </cfRule>
  </conditionalFormatting>
  <conditionalFormatting sqref="A69:P69">
    <cfRule type="expression" dxfId="6" priority="10">
      <formula>OR($C69="DNC", $C69="NI", $C69="No Medicare")</formula>
    </cfRule>
  </conditionalFormatting>
  <conditionalFormatting sqref="A69:P69">
    <cfRule type="expression" dxfId="5" priority="11">
      <formula>OR($C69="NOT READY", $C69="No - Show / Callback", $C69="Pending Medicare", $C69="Inactive License")</formula>
    </cfRule>
  </conditionalFormatting>
  <conditionalFormatting sqref="A69:P69">
    <cfRule type="expression" dxfId="4" priority="12">
      <formula>OR($C69="Follow Up", $C69="Contract Sent")</formula>
    </cfRule>
  </conditionalFormatting>
  <conditionalFormatting sqref="A1:S68 A71:S156">
    <cfRule type="expression" dxfId="4" priority="13" stopIfTrue="1">
      <formula>OR($C1="Follow Up", $C1="Contract Sent")</formula>
    </cfRule>
  </conditionalFormatting>
  <conditionalFormatting sqref="A1:S68 A71:S156">
    <cfRule type="expression" dxfId="5" priority="14" stopIfTrue="1">
      <formula>OR($C1="NOT READY", $C1="No - Show / Callback", $C1="Pending Medicare", $C1="Inactive License")</formula>
    </cfRule>
  </conditionalFormatting>
  <conditionalFormatting sqref="A1:S68 A71:S156">
    <cfRule type="expression" dxfId="6" priority="15" stopIfTrue="1">
      <formula>OR($C1="DNC", $C1="NI", $C1="No Medicare")</formula>
    </cfRule>
  </conditionalFormatting>
  <conditionalFormatting sqref="A1:S68 A71:S156">
    <cfRule type="expression" dxfId="7" priority="16" stopIfTrue="1">
      <formula>$C1="Onboarded"</formula>
    </cfRule>
  </conditionalFormatting>
  <conditionalFormatting sqref="A1:S68 A71:S156">
    <cfRule type="expression" dxfId="8" priority="17" stopIfTrue="1">
      <formula>OR($C1="Invoice Sent", $C1="Trial Sent")</formula>
    </cfRule>
  </conditionalFormatting>
  <conditionalFormatting sqref="A1:S68 A71:S156">
    <cfRule type="expression" dxfId="9" priority="18" stopIfTrue="1">
      <formula>$C1="Hold"</formula>
    </cfRule>
  </conditionalFormatting>
  <dataValidations>
    <dataValidation type="list" allowBlank="1" showErrorMessage="1" sqref="B2:B122">
      <formula1>"Ben,George,Jane,Jimmy,Selene,Jasmine,Nora"</formula1>
    </dataValidation>
    <dataValidation type="list" allowBlank="1" showErrorMessage="1" sqref="A2:A20 A22 A24 A28">
      <formula1>"Campaigns,CGM,CGM+Lymph W,Claims,Food delivery,Home Improvement,Lymphadema,MVA Claims,ORT,ORT + Lymphedema,ORT+CGM,ORT+CGM+LYMPH W,RE,Solar,SUB,Vacation DNC Camapign"</formula1>
    </dataValidation>
    <dataValidation type="list" allowBlank="1" showErrorMessage="1" sqref="A21 A23 A25:A27 A29:A43">
      <formula1>"Auto Insurance,Campaigns,CGM,CGM+Lymph W,Home Improvement,Hospitality,IMMUNE,Logistics,Lymphadema,ORT,ORT + Lymphedema,ORT+CGM,ORT+CGM+LYMPH W,RE,SUB"</formula1>
    </dataValidation>
    <dataValidation type="list" allowBlank="1" showErrorMessage="1" sqref="C2:C122">
      <formula1>Settings!$A$1:$A122</formula1>
    </dataValidation>
    <dataValidation type="list" allowBlank="1" showErrorMessage="1" sqref="A69:A122">
      <formula1>"Auto Insurance,Campaigns,CGM,CGM+Lymph W,Home Improvement,Hospitality,IMMUNE,Logistics,Lymphadema,ORT,ORT + Lymphedema,ORT+CGM,ORT+CGM+LYMPH W,RE,SUB,DME &amp; LAB,PPO,DMEDESK"</formula1>
    </dataValidation>
    <dataValidation type="list" allowBlank="1" showErrorMessage="1" sqref="A44:A68">
      <formula1>"Auto Insurance,Campaigns,CGM,CGM+Lymph W,Home Improvement,Hospitality,IMMUNE,Logistics,Lymphadema,ORT,ORT + Lymphedema,ORT+CGM,ORT+CGM+LYMPH W,RE,SUB,DME &amp; LAB"</formula1>
    </dataValidation>
  </dataValidations>
  <hyperlinks>
    <hyperlink r:id="rId2" ref="K30"/>
  </hyperlinks>
  <drawing r:id="rId3"/>
  <legacyDrawing r:id="rId4"/>
  <tableParts count="1">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26.25"/>
    <col customWidth="1" min="2" max="2" width="17.0"/>
    <col customWidth="1" min="3" max="3" width="28.13"/>
    <col customWidth="1" min="4" max="4" width="13.0"/>
    <col customWidth="1" min="5" max="5" width="42.38"/>
    <col customWidth="1" min="6" max="6" width="37.13"/>
    <col customWidth="1" min="7" max="7" width="19.38"/>
    <col customWidth="1" min="8" max="8" width="50.63"/>
    <col customWidth="1" min="9" max="9" width="22.0"/>
    <col customWidth="1" min="10" max="10" width="33.88"/>
    <col customWidth="1" min="11" max="11" width="25.75"/>
    <col customWidth="1" hidden="1" min="12" max="12" width="13.5"/>
    <col customWidth="1" min="13" max="13" width="10.63"/>
    <col customWidth="1" min="15" max="15" width="14.13"/>
  </cols>
  <sheetData>
    <row r="1" ht="38.25" customHeight="1">
      <c r="A1" s="1" t="s">
        <v>0</v>
      </c>
      <c r="B1" s="2" t="s">
        <v>1</v>
      </c>
      <c r="C1" s="3" t="s">
        <v>2</v>
      </c>
      <c r="D1" s="3" t="s">
        <v>3</v>
      </c>
      <c r="E1" s="3" t="s">
        <v>4</v>
      </c>
      <c r="F1" s="3" t="s">
        <v>5</v>
      </c>
      <c r="G1" s="4" t="s">
        <v>6</v>
      </c>
      <c r="H1" s="3" t="s">
        <v>7</v>
      </c>
      <c r="I1" s="3" t="s">
        <v>8</v>
      </c>
      <c r="J1" s="3" t="s">
        <v>9</v>
      </c>
      <c r="K1" s="3" t="s">
        <v>10</v>
      </c>
      <c r="L1" s="5" t="s">
        <v>11</v>
      </c>
      <c r="M1" s="2" t="s">
        <v>12</v>
      </c>
      <c r="N1" s="3" t="s">
        <v>13</v>
      </c>
      <c r="O1" s="2" t="s">
        <v>14</v>
      </c>
      <c r="P1" s="9" t="s">
        <v>15</v>
      </c>
      <c r="Q1" s="3" t="s">
        <v>16</v>
      </c>
    </row>
    <row r="2" ht="20.25" customHeight="1">
      <c r="A2" s="13" t="s">
        <v>22</v>
      </c>
      <c r="B2" s="10" t="s">
        <v>19</v>
      </c>
      <c r="C2" s="16" t="s">
        <v>34</v>
      </c>
      <c r="D2" s="12">
        <v>45554.0</v>
      </c>
      <c r="E2" s="10" t="s">
        <v>43</v>
      </c>
      <c r="F2" s="10" t="s">
        <v>44</v>
      </c>
      <c r="G2" s="10" t="s">
        <v>45</v>
      </c>
      <c r="H2" s="10" t="s">
        <v>47</v>
      </c>
      <c r="I2" s="23"/>
      <c r="J2" s="10"/>
      <c r="K2" s="17" t="s">
        <v>52</v>
      </c>
      <c r="L2" s="20"/>
      <c r="M2" s="28">
        <v>46183.842294953705</v>
      </c>
      <c r="N2" s="10"/>
      <c r="O2" s="11" t="b">
        <v>0</v>
      </c>
      <c r="P2" s="31" t="s">
        <v>63</v>
      </c>
      <c r="Q2" s="33">
        <v>1.053817924E9</v>
      </c>
    </row>
    <row r="3" ht="20.25" customHeight="1">
      <c r="A3" s="35" t="s">
        <v>62</v>
      </c>
      <c r="B3" s="8" t="s">
        <v>23</v>
      </c>
      <c r="C3" s="8" t="s">
        <v>34</v>
      </c>
      <c r="D3" s="42">
        <v>45944.0</v>
      </c>
      <c r="E3" s="8" t="s">
        <v>70</v>
      </c>
      <c r="F3" s="8" t="s">
        <v>71</v>
      </c>
      <c r="G3" s="8" t="s">
        <v>73</v>
      </c>
      <c r="H3" s="8" t="s">
        <v>74</v>
      </c>
      <c r="I3" s="44" t="s">
        <v>75</v>
      </c>
      <c r="J3" s="8" t="s">
        <v>77</v>
      </c>
      <c r="K3" s="33" t="s">
        <v>78</v>
      </c>
      <c r="L3" s="46"/>
      <c r="M3" s="48">
        <v>46183.843811597224</v>
      </c>
      <c r="N3" s="50"/>
      <c r="O3" s="11" t="b">
        <v>0</v>
      </c>
      <c r="P3" s="52" t="s">
        <v>86</v>
      </c>
      <c r="Q3" s="33">
        <v>1.396419933E9</v>
      </c>
    </row>
    <row r="4" ht="20.25" customHeight="1">
      <c r="A4" s="54" t="s">
        <v>17</v>
      </c>
      <c r="B4" s="54" t="s">
        <v>23</v>
      </c>
      <c r="C4" s="54" t="s">
        <v>34</v>
      </c>
      <c r="D4" s="57">
        <v>46008.0</v>
      </c>
      <c r="E4" s="54" t="s">
        <v>93</v>
      </c>
      <c r="F4" s="54" t="s">
        <v>94</v>
      </c>
      <c r="G4" s="54" t="s">
        <v>95</v>
      </c>
      <c r="H4" s="54" t="s">
        <v>96</v>
      </c>
      <c r="I4" s="59" t="s">
        <v>97</v>
      </c>
      <c r="J4" s="54" t="s">
        <v>99</v>
      </c>
      <c r="K4" s="60" t="s">
        <v>101</v>
      </c>
      <c r="L4" s="61"/>
      <c r="M4" s="62">
        <v>46232.74375071759</v>
      </c>
      <c r="N4" s="63"/>
      <c r="O4" s="54" t="b">
        <v>0</v>
      </c>
      <c r="P4" s="64" t="s">
        <v>86</v>
      </c>
      <c r="Q4" s="33">
        <v>1.518216126E9</v>
      </c>
    </row>
    <row r="5" ht="20.25" customHeight="1">
      <c r="A5" s="8" t="s">
        <v>117</v>
      </c>
      <c r="B5" s="8" t="s">
        <v>23</v>
      </c>
      <c r="C5" s="8" t="s">
        <v>34</v>
      </c>
      <c r="D5" s="42">
        <v>45979.0</v>
      </c>
      <c r="E5" s="8" t="s">
        <v>119</v>
      </c>
      <c r="F5" s="8" t="s">
        <v>120</v>
      </c>
      <c r="G5" s="8" t="s">
        <v>121</v>
      </c>
      <c r="H5" s="8" t="s">
        <v>122</v>
      </c>
      <c r="I5" s="44" t="s">
        <v>123</v>
      </c>
      <c r="J5" s="8" t="s">
        <v>124</v>
      </c>
      <c r="K5" s="33" t="s">
        <v>125</v>
      </c>
      <c r="L5" s="66"/>
      <c r="M5" s="48">
        <v>46227.92656849537</v>
      </c>
      <c r="N5" s="32"/>
      <c r="O5" s="11" t="b">
        <v>0</v>
      </c>
      <c r="P5" s="52" t="s">
        <v>134</v>
      </c>
      <c r="Q5" s="33">
        <v>1.750183372E9</v>
      </c>
    </row>
    <row r="6" ht="20.25" customHeight="1">
      <c r="A6" s="35" t="s">
        <v>135</v>
      </c>
      <c r="B6" s="10" t="s">
        <v>53</v>
      </c>
      <c r="C6" s="10" t="s">
        <v>34</v>
      </c>
      <c r="D6" s="12">
        <v>46009.0</v>
      </c>
      <c r="E6" s="10" t="s">
        <v>136</v>
      </c>
      <c r="F6" s="10" t="s">
        <v>137</v>
      </c>
      <c r="G6" s="10" t="s">
        <v>138</v>
      </c>
      <c r="H6" s="10" t="s">
        <v>139</v>
      </c>
      <c r="I6" s="23" t="s">
        <v>140</v>
      </c>
      <c r="J6" s="10" t="s">
        <v>141</v>
      </c>
      <c r="K6" s="17" t="s">
        <v>142</v>
      </c>
      <c r="L6" s="17"/>
      <c r="M6" s="28">
        <v>46183.857099166664</v>
      </c>
      <c r="N6" s="10"/>
      <c r="O6" s="11" t="b">
        <v>0</v>
      </c>
      <c r="P6" s="31" t="s">
        <v>147</v>
      </c>
      <c r="Q6" s="33">
        <v>1.851139034E9</v>
      </c>
    </row>
    <row r="7" ht="20.25" customHeight="1">
      <c r="A7" s="35" t="s">
        <v>17</v>
      </c>
      <c r="B7" s="10" t="s">
        <v>53</v>
      </c>
      <c r="C7" s="10" t="s">
        <v>34</v>
      </c>
      <c r="D7" s="12">
        <v>46027.0</v>
      </c>
      <c r="E7" s="10" t="s">
        <v>151</v>
      </c>
      <c r="F7" s="10" t="s">
        <v>152</v>
      </c>
      <c r="G7" s="10" t="s">
        <v>153</v>
      </c>
      <c r="H7" s="10" t="s">
        <v>154</v>
      </c>
      <c r="I7" s="23" t="s">
        <v>156</v>
      </c>
      <c r="J7" s="10" t="s">
        <v>157</v>
      </c>
      <c r="K7" s="17" t="s">
        <v>158</v>
      </c>
      <c r="L7" s="22"/>
      <c r="M7" s="28">
        <v>46084.81958239584</v>
      </c>
      <c r="N7" s="10"/>
      <c r="O7" s="11" t="b">
        <v>0</v>
      </c>
      <c r="P7" s="73"/>
      <c r="Q7" s="33">
        <v>1.669236436E9</v>
      </c>
    </row>
    <row r="8" ht="20.25" customHeight="1">
      <c r="A8" s="35" t="s">
        <v>18</v>
      </c>
      <c r="B8" s="10" t="s">
        <v>19</v>
      </c>
      <c r="C8" s="16" t="s">
        <v>34</v>
      </c>
      <c r="D8" s="12">
        <v>46031.0</v>
      </c>
      <c r="E8" s="10" t="s">
        <v>170</v>
      </c>
      <c r="F8" s="10" t="s">
        <v>171</v>
      </c>
      <c r="G8" s="10" t="s">
        <v>172</v>
      </c>
      <c r="H8" s="10" t="s">
        <v>173</v>
      </c>
      <c r="I8" s="23" t="s">
        <v>174</v>
      </c>
      <c r="J8" s="10" t="s">
        <v>176</v>
      </c>
      <c r="K8" s="17" t="s">
        <v>178</v>
      </c>
      <c r="L8" s="17"/>
      <c r="M8" s="28">
        <v>46183.8666265162</v>
      </c>
      <c r="N8" s="10"/>
      <c r="O8" s="11" t="b">
        <v>0</v>
      </c>
      <c r="P8" s="31" t="s">
        <v>179</v>
      </c>
      <c r="Q8" s="33">
        <v>1.396414199E9</v>
      </c>
    </row>
    <row r="9" ht="20.25" customHeight="1">
      <c r="A9" s="8" t="s">
        <v>17</v>
      </c>
      <c r="B9" s="8" t="s">
        <v>23</v>
      </c>
      <c r="C9" s="8" t="s">
        <v>34</v>
      </c>
      <c r="D9" s="42">
        <v>46041.0</v>
      </c>
      <c r="E9" s="8" t="s">
        <v>186</v>
      </c>
      <c r="F9" s="8" t="s">
        <v>187</v>
      </c>
      <c r="G9" s="8" t="s">
        <v>189</v>
      </c>
      <c r="H9" s="8" t="s">
        <v>190</v>
      </c>
      <c r="I9" s="44" t="s">
        <v>191</v>
      </c>
      <c r="J9" s="8" t="s">
        <v>193</v>
      </c>
      <c r="K9" s="33" t="s">
        <v>195</v>
      </c>
      <c r="L9" s="66"/>
      <c r="M9" s="48">
        <v>46183.86937354167</v>
      </c>
      <c r="N9" s="32"/>
      <c r="O9" s="11" t="b">
        <v>0</v>
      </c>
      <c r="P9" s="52" t="s">
        <v>86</v>
      </c>
      <c r="Q9" s="33">
        <v>1.78032483E9</v>
      </c>
    </row>
    <row r="10" ht="20.25" customHeight="1">
      <c r="A10" s="13" t="s">
        <v>22</v>
      </c>
      <c r="B10" s="10" t="s">
        <v>198</v>
      </c>
      <c r="C10" s="10" t="s">
        <v>34</v>
      </c>
      <c r="D10" s="12">
        <v>46052.0</v>
      </c>
      <c r="E10" s="10" t="s">
        <v>202</v>
      </c>
      <c r="F10" s="10" t="s">
        <v>204</v>
      </c>
      <c r="G10" s="10" t="s">
        <v>206</v>
      </c>
      <c r="H10" s="10" t="s">
        <v>208</v>
      </c>
      <c r="I10" s="23" t="s">
        <v>210</v>
      </c>
      <c r="J10" s="10"/>
      <c r="K10" s="17" t="s">
        <v>211</v>
      </c>
      <c r="L10" s="17"/>
      <c r="M10" s="28">
        <v>46183.87214122685</v>
      </c>
      <c r="N10" s="10"/>
      <c r="O10" s="11" t="b">
        <v>0</v>
      </c>
      <c r="P10" s="73"/>
      <c r="Q10" s="33">
        <v>1.64991901E9</v>
      </c>
    </row>
    <row r="11" ht="20.25" customHeight="1">
      <c r="A11" s="35" t="s">
        <v>17</v>
      </c>
      <c r="B11" s="10" t="s">
        <v>23</v>
      </c>
      <c r="C11" s="10" t="s">
        <v>34</v>
      </c>
      <c r="D11" s="12">
        <v>46006.0</v>
      </c>
      <c r="E11" s="10" t="s">
        <v>213</v>
      </c>
      <c r="F11" s="10" t="s">
        <v>214</v>
      </c>
      <c r="G11" s="58" t="s">
        <v>215</v>
      </c>
      <c r="H11" s="10" t="s">
        <v>217</v>
      </c>
      <c r="I11" s="80" t="s">
        <v>218</v>
      </c>
      <c r="J11" s="10" t="s">
        <v>221</v>
      </c>
      <c r="K11" s="17" t="s">
        <v>223</v>
      </c>
      <c r="L11" s="83"/>
      <c r="M11" s="48">
        <v>46183.89567846065</v>
      </c>
      <c r="N11" s="10"/>
      <c r="O11" s="11" t="b">
        <v>0</v>
      </c>
      <c r="P11" s="86" t="s">
        <v>231</v>
      </c>
      <c r="Q11" s="33">
        <v>1.184352965E9</v>
      </c>
    </row>
    <row r="12" ht="20.25" customHeight="1">
      <c r="A12" s="35" t="s">
        <v>22</v>
      </c>
      <c r="B12" s="10" t="s">
        <v>19</v>
      </c>
      <c r="C12" s="10" t="s">
        <v>34</v>
      </c>
      <c r="D12" s="12">
        <v>46077.0</v>
      </c>
      <c r="E12" s="10" t="s">
        <v>245</v>
      </c>
      <c r="F12" s="10" t="s">
        <v>246</v>
      </c>
      <c r="G12" s="10" t="s">
        <v>247</v>
      </c>
      <c r="H12" s="10" t="s">
        <v>248</v>
      </c>
      <c r="I12" s="80" t="s">
        <v>210</v>
      </c>
      <c r="J12" s="10" t="s">
        <v>249</v>
      </c>
      <c r="K12" s="17" t="s">
        <v>250</v>
      </c>
      <c r="L12" s="90"/>
      <c r="M12" s="48">
        <v>46240.8884172338</v>
      </c>
      <c r="N12" s="10"/>
      <c r="O12" s="11" t="b">
        <v>0</v>
      </c>
      <c r="P12" s="86" t="s">
        <v>255</v>
      </c>
      <c r="Q12" s="33">
        <v>1.578352183E9</v>
      </c>
    </row>
    <row r="13" ht="20.25" customHeight="1">
      <c r="A13" s="35" t="s">
        <v>17</v>
      </c>
      <c r="B13" s="10" t="s">
        <v>23</v>
      </c>
      <c r="C13" s="10" t="s">
        <v>34</v>
      </c>
      <c r="D13" s="12">
        <v>46084.0</v>
      </c>
      <c r="E13" s="10" t="s">
        <v>261</v>
      </c>
      <c r="F13" s="10" t="s">
        <v>263</v>
      </c>
      <c r="G13" s="10" t="s">
        <v>264</v>
      </c>
      <c r="H13" s="10" t="s">
        <v>266</v>
      </c>
      <c r="I13" s="80" t="s">
        <v>269</v>
      </c>
      <c r="J13" s="10" t="s">
        <v>272</v>
      </c>
      <c r="K13" s="17" t="s">
        <v>275</v>
      </c>
      <c r="L13" s="90"/>
      <c r="M13" s="48">
        <v>46198.75648576389</v>
      </c>
      <c r="N13" s="10"/>
      <c r="O13" s="11" t="b">
        <v>0</v>
      </c>
      <c r="P13" s="86" t="s">
        <v>86</v>
      </c>
      <c r="Q13" s="33">
        <v>1.619088796E9</v>
      </c>
    </row>
    <row r="14" ht="20.25" customHeight="1">
      <c r="A14" s="35" t="s">
        <v>22</v>
      </c>
      <c r="B14" s="10" t="s">
        <v>53</v>
      </c>
      <c r="C14" s="10" t="s">
        <v>34</v>
      </c>
      <c r="D14" s="12">
        <v>46086.0</v>
      </c>
      <c r="E14" s="10" t="s">
        <v>285</v>
      </c>
      <c r="F14" s="10" t="s">
        <v>286</v>
      </c>
      <c r="G14" s="10" t="s">
        <v>287</v>
      </c>
      <c r="H14" s="10" t="s">
        <v>288</v>
      </c>
      <c r="I14" s="80" t="s">
        <v>290</v>
      </c>
      <c r="J14" s="10" t="s">
        <v>292</v>
      </c>
      <c r="K14" s="17" t="s">
        <v>295</v>
      </c>
      <c r="L14" s="90"/>
      <c r="M14" s="97">
        <v>46203.79244605324</v>
      </c>
      <c r="N14" s="10"/>
      <c r="O14" s="11" t="b">
        <v>0</v>
      </c>
      <c r="P14" s="86" t="s">
        <v>86</v>
      </c>
      <c r="Q14" s="33">
        <v>1.326912833E9</v>
      </c>
    </row>
    <row r="15" ht="20.25" customHeight="1">
      <c r="A15" s="35" t="s">
        <v>135</v>
      </c>
      <c r="B15" s="10" t="s">
        <v>225</v>
      </c>
      <c r="C15" s="10" t="s">
        <v>34</v>
      </c>
      <c r="D15" s="12">
        <v>46043.0</v>
      </c>
      <c r="E15" s="10" t="s">
        <v>311</v>
      </c>
      <c r="F15" s="10" t="s">
        <v>312</v>
      </c>
      <c r="G15" s="10" t="s">
        <v>314</v>
      </c>
      <c r="H15" s="10" t="s">
        <v>316</v>
      </c>
      <c r="I15" s="80" t="s">
        <v>317</v>
      </c>
      <c r="J15" s="10" t="s">
        <v>318</v>
      </c>
      <c r="K15" s="17" t="s">
        <v>319</v>
      </c>
      <c r="L15" s="90"/>
      <c r="M15" s="97">
        <v>46183.94622319445</v>
      </c>
      <c r="N15" s="10"/>
      <c r="O15" s="11"/>
      <c r="P15" s="86" t="s">
        <v>86</v>
      </c>
      <c r="Q15" s="33">
        <v>1.912706565E9</v>
      </c>
    </row>
    <row r="16" ht="20.25" customHeight="1">
      <c r="A16" s="35" t="s">
        <v>62</v>
      </c>
      <c r="B16" s="10" t="s">
        <v>53</v>
      </c>
      <c r="C16" s="10" t="s">
        <v>34</v>
      </c>
      <c r="D16" s="12">
        <v>46147.0</v>
      </c>
      <c r="E16" s="10" t="s">
        <v>326</v>
      </c>
      <c r="F16" s="10" t="s">
        <v>328</v>
      </c>
      <c r="G16" s="10" t="s">
        <v>331</v>
      </c>
      <c r="H16" s="10" t="s">
        <v>333</v>
      </c>
      <c r="I16" s="80" t="s">
        <v>317</v>
      </c>
      <c r="J16" s="10" t="s">
        <v>341</v>
      </c>
      <c r="K16" s="17" t="s">
        <v>343</v>
      </c>
      <c r="L16" s="90"/>
      <c r="M16" s="97">
        <v>46177.81869770834</v>
      </c>
      <c r="N16" s="10"/>
      <c r="O16" s="11" t="b">
        <v>0</v>
      </c>
      <c r="P16" s="99"/>
      <c r="Q16" s="33">
        <v>1.225729312E9</v>
      </c>
    </row>
    <row r="17" ht="20.25" customHeight="1">
      <c r="A17" s="35" t="s">
        <v>22</v>
      </c>
      <c r="B17" s="10" t="s">
        <v>53</v>
      </c>
      <c r="C17" s="10" t="s">
        <v>34</v>
      </c>
      <c r="D17" s="12">
        <v>46161.0</v>
      </c>
      <c r="E17" s="10" t="s">
        <v>355</v>
      </c>
      <c r="F17" s="10" t="s">
        <v>356</v>
      </c>
      <c r="G17" s="10" t="s">
        <v>357</v>
      </c>
      <c r="H17" s="10" t="s">
        <v>358</v>
      </c>
      <c r="I17" s="80" t="s">
        <v>359</v>
      </c>
      <c r="J17" s="10" t="s">
        <v>361</v>
      </c>
      <c r="K17" s="17" t="s">
        <v>364</v>
      </c>
      <c r="L17" s="90"/>
      <c r="M17" s="97">
        <v>46163.969041585646</v>
      </c>
      <c r="N17" s="10"/>
      <c r="O17" s="11"/>
      <c r="P17" s="99"/>
      <c r="Q17" s="33">
        <v>1.972926012E9</v>
      </c>
    </row>
    <row r="18" ht="20.25" customHeight="1">
      <c r="A18" s="35" t="s">
        <v>117</v>
      </c>
      <c r="B18" s="10" t="s">
        <v>23</v>
      </c>
      <c r="C18" s="10" t="s">
        <v>34</v>
      </c>
      <c r="D18" s="12">
        <v>46175.0</v>
      </c>
      <c r="E18" s="10" t="s">
        <v>376</v>
      </c>
      <c r="F18" s="10" t="s">
        <v>377</v>
      </c>
      <c r="G18" s="10" t="s">
        <v>379</v>
      </c>
      <c r="H18" s="10" t="s">
        <v>380</v>
      </c>
      <c r="I18" s="80" t="s">
        <v>381</v>
      </c>
      <c r="J18" s="10" t="s">
        <v>383</v>
      </c>
      <c r="K18" s="17" t="s">
        <v>385</v>
      </c>
      <c r="L18" s="90"/>
      <c r="M18" s="97">
        <v>46181.86722806713</v>
      </c>
      <c r="N18" s="10"/>
      <c r="O18" s="11"/>
      <c r="P18" s="99"/>
      <c r="Q18" s="33">
        <v>1.821935933E9</v>
      </c>
    </row>
    <row r="19" ht="20.25" customHeight="1">
      <c r="A19" s="35" t="s">
        <v>22</v>
      </c>
      <c r="B19" s="10" t="s">
        <v>23</v>
      </c>
      <c r="C19" s="10" t="s">
        <v>34</v>
      </c>
      <c r="D19" s="12">
        <v>46189.0</v>
      </c>
      <c r="E19" s="10" t="s">
        <v>395</v>
      </c>
      <c r="F19" s="10" t="s">
        <v>397</v>
      </c>
      <c r="G19" s="10" t="s">
        <v>398</v>
      </c>
      <c r="H19" s="10" t="s">
        <v>399</v>
      </c>
      <c r="I19" s="80" t="s">
        <v>401</v>
      </c>
      <c r="J19" s="10" t="s">
        <v>402</v>
      </c>
      <c r="K19" s="17" t="s">
        <v>405</v>
      </c>
      <c r="L19" s="90"/>
      <c r="M19" s="97">
        <v>46237.939418379625</v>
      </c>
      <c r="N19" s="10"/>
      <c r="O19" s="11"/>
      <c r="P19" s="99"/>
      <c r="Q19" s="33">
        <v>1.952136806E9</v>
      </c>
    </row>
    <row r="20" ht="20.25" customHeight="1">
      <c r="A20" s="35" t="s">
        <v>410</v>
      </c>
      <c r="B20" s="10" t="s">
        <v>23</v>
      </c>
      <c r="C20" s="10" t="s">
        <v>34</v>
      </c>
      <c r="D20" s="12">
        <v>46182.0</v>
      </c>
      <c r="E20" s="10" t="s">
        <v>417</v>
      </c>
      <c r="F20" s="10" t="s">
        <v>419</v>
      </c>
      <c r="G20" s="10" t="s">
        <v>420</v>
      </c>
      <c r="H20" s="10" t="s">
        <v>423</v>
      </c>
      <c r="I20" s="80" t="s">
        <v>425</v>
      </c>
      <c r="J20" s="10" t="s">
        <v>427</v>
      </c>
      <c r="K20" s="17" t="s">
        <v>428</v>
      </c>
      <c r="L20" s="90"/>
      <c r="M20" s="97">
        <v>46232.784824201386</v>
      </c>
      <c r="N20" s="10"/>
      <c r="O20" s="11"/>
      <c r="P20" s="99"/>
      <c r="Q20" s="33">
        <v>1.427679182E9</v>
      </c>
    </row>
    <row r="21" ht="20.25" customHeight="1">
      <c r="A21" s="35" t="s">
        <v>155</v>
      </c>
      <c r="B21" s="10" t="s">
        <v>53</v>
      </c>
      <c r="C21" s="10" t="s">
        <v>34</v>
      </c>
      <c r="D21" s="12">
        <v>46234.0</v>
      </c>
      <c r="E21" s="10" t="s">
        <v>441</v>
      </c>
      <c r="F21" s="10" t="s">
        <v>442</v>
      </c>
      <c r="G21" s="10" t="s">
        <v>443</v>
      </c>
      <c r="H21" s="10" t="s">
        <v>444</v>
      </c>
      <c r="I21" s="80" t="s">
        <v>445</v>
      </c>
      <c r="J21" s="10" t="s">
        <v>446</v>
      </c>
      <c r="K21" s="17" t="s">
        <v>447</v>
      </c>
      <c r="L21" s="90"/>
      <c r="M21" s="97">
        <v>46251.88428945602</v>
      </c>
      <c r="N21" s="10"/>
      <c r="O21" s="11"/>
      <c r="P21" s="99"/>
      <c r="Q21" s="33"/>
    </row>
    <row r="22" ht="20.25" customHeight="1">
      <c r="A22" s="35" t="s">
        <v>62</v>
      </c>
      <c r="B22" s="10" t="s">
        <v>53</v>
      </c>
      <c r="C22" s="10" t="s">
        <v>34</v>
      </c>
      <c r="D22" s="12">
        <v>46230.0</v>
      </c>
      <c r="E22" s="10" t="s">
        <v>457</v>
      </c>
      <c r="F22" s="10" t="s">
        <v>459</v>
      </c>
      <c r="G22" s="10" t="s">
        <v>461</v>
      </c>
      <c r="H22" s="10" t="s">
        <v>464</v>
      </c>
      <c r="I22" s="80" t="s">
        <v>468</v>
      </c>
      <c r="J22" s="10" t="s">
        <v>471</v>
      </c>
      <c r="K22" s="17" t="s">
        <v>474</v>
      </c>
      <c r="L22" s="90"/>
      <c r="M22" s="97">
        <v>46251.88369180556</v>
      </c>
      <c r="N22" s="10"/>
      <c r="O22" s="11"/>
      <c r="P22" s="99"/>
      <c r="Q22" s="33"/>
    </row>
    <row r="23" ht="20.25" customHeight="1">
      <c r="A23" s="35" t="s">
        <v>62</v>
      </c>
      <c r="B23" s="10" t="s">
        <v>53</v>
      </c>
      <c r="C23" s="10" t="s">
        <v>34</v>
      </c>
      <c r="D23" s="12">
        <v>46120.0</v>
      </c>
      <c r="E23" s="10" t="s">
        <v>488</v>
      </c>
      <c r="F23" s="10" t="s">
        <v>491</v>
      </c>
      <c r="G23" s="10" t="s">
        <v>494</v>
      </c>
      <c r="H23" s="10" t="s">
        <v>495</v>
      </c>
      <c r="I23" s="80" t="s">
        <v>497</v>
      </c>
      <c r="J23" s="10" t="s">
        <v>498</v>
      </c>
      <c r="K23" s="17" t="s">
        <v>499</v>
      </c>
      <c r="L23" s="90"/>
      <c r="M23" s="97">
        <v>46237.79650271991</v>
      </c>
      <c r="N23" s="10"/>
      <c r="O23" s="11" t="b">
        <v>0</v>
      </c>
      <c r="P23" s="99"/>
      <c r="Q23" s="33">
        <v>1.467346718E9</v>
      </c>
    </row>
    <row r="24" ht="20.25" customHeight="1">
      <c r="A24" s="35" t="s">
        <v>22</v>
      </c>
      <c r="B24" s="10" t="s">
        <v>23</v>
      </c>
      <c r="C24" s="10" t="s">
        <v>34</v>
      </c>
      <c r="D24" s="12">
        <v>46205.0</v>
      </c>
      <c r="E24" s="10" t="s">
        <v>506</v>
      </c>
      <c r="F24" s="10" t="s">
        <v>508</v>
      </c>
      <c r="G24" s="10" t="s">
        <v>510</v>
      </c>
      <c r="H24" s="10" t="s">
        <v>512</v>
      </c>
      <c r="I24" s="80" t="s">
        <v>513</v>
      </c>
      <c r="J24" s="10" t="s">
        <v>515</v>
      </c>
      <c r="K24" s="17" t="s">
        <v>517</v>
      </c>
      <c r="L24" s="90"/>
      <c r="M24" s="97">
        <v>46251.719430763886</v>
      </c>
      <c r="N24" s="10"/>
      <c r="O24" s="11"/>
      <c r="P24" s="99"/>
      <c r="Q24" s="33">
        <v>1.336087469E9</v>
      </c>
    </row>
    <row r="25" ht="20.25" customHeight="1">
      <c r="A25" s="35" t="s">
        <v>62</v>
      </c>
      <c r="B25" s="10" t="s">
        <v>23</v>
      </c>
      <c r="C25" s="10" t="s">
        <v>34</v>
      </c>
      <c r="D25" s="12">
        <v>46043.0</v>
      </c>
      <c r="E25" s="10" t="s">
        <v>526</v>
      </c>
      <c r="F25" s="10" t="s">
        <v>527</v>
      </c>
      <c r="G25" s="10" t="s">
        <v>528</v>
      </c>
      <c r="H25" s="10" t="s">
        <v>530</v>
      </c>
      <c r="I25" s="80" t="s">
        <v>534</v>
      </c>
      <c r="J25" s="10" t="s">
        <v>539</v>
      </c>
      <c r="K25" s="17" t="s">
        <v>547</v>
      </c>
      <c r="L25" s="90"/>
      <c r="M25" s="97">
        <v>46246.89751859954</v>
      </c>
      <c r="N25" s="10"/>
      <c r="O25" s="11" t="b">
        <v>0</v>
      </c>
      <c r="P25" s="99"/>
      <c r="Q25" s="33">
        <v>1.912529157E9</v>
      </c>
    </row>
    <row r="26" ht="20.25" customHeight="1">
      <c r="A26" s="35" t="s">
        <v>62</v>
      </c>
      <c r="B26" s="10" t="s">
        <v>23</v>
      </c>
      <c r="C26" s="10" t="s">
        <v>34</v>
      </c>
      <c r="D26" s="12">
        <v>45943.0</v>
      </c>
      <c r="E26" s="10" t="s">
        <v>559</v>
      </c>
      <c r="F26" s="10" t="s">
        <v>563</v>
      </c>
      <c r="G26" s="10" t="s">
        <v>567</v>
      </c>
      <c r="H26" s="10" t="s">
        <v>569</v>
      </c>
      <c r="I26" s="80" t="s">
        <v>572</v>
      </c>
      <c r="J26" s="10" t="s">
        <v>575</v>
      </c>
      <c r="K26" s="17" t="s">
        <v>576</v>
      </c>
      <c r="L26" s="90"/>
      <c r="M26" s="97">
        <v>46239.90908856482</v>
      </c>
      <c r="N26" s="10"/>
      <c r="O26" s="11" t="b">
        <v>0</v>
      </c>
      <c r="P26" s="99"/>
      <c r="Q26" s="33">
        <v>1.952156622E9</v>
      </c>
    </row>
    <row r="27" ht="20.25" customHeight="1">
      <c r="A27" s="35" t="s">
        <v>22</v>
      </c>
      <c r="B27" s="10" t="s">
        <v>23</v>
      </c>
      <c r="C27" s="10" t="s">
        <v>34</v>
      </c>
      <c r="D27" s="12">
        <v>46234.0</v>
      </c>
      <c r="E27" s="10" t="s">
        <v>584</v>
      </c>
      <c r="F27" s="10" t="s">
        <v>585</v>
      </c>
      <c r="G27" s="10" t="s">
        <v>586</v>
      </c>
      <c r="H27" s="10" t="s">
        <v>589</v>
      </c>
      <c r="I27" s="80" t="s">
        <v>590</v>
      </c>
      <c r="J27" s="10" t="s">
        <v>592</v>
      </c>
      <c r="K27" s="17" t="s">
        <v>595</v>
      </c>
      <c r="L27" s="90"/>
      <c r="M27" s="97">
        <v>46248.89091158565</v>
      </c>
      <c r="N27" s="10"/>
      <c r="O27" s="11"/>
      <c r="P27" s="99"/>
      <c r="Q27" s="33">
        <v>1.22599583E9</v>
      </c>
    </row>
    <row r="28" ht="20.25" customHeight="1">
      <c r="A28" s="35" t="s">
        <v>22</v>
      </c>
      <c r="B28" s="10" t="s">
        <v>23</v>
      </c>
      <c r="C28" s="10" t="s">
        <v>34</v>
      </c>
      <c r="D28" s="12">
        <v>46245.0</v>
      </c>
      <c r="E28" s="10" t="s">
        <v>602</v>
      </c>
      <c r="F28" s="10" t="s">
        <v>604</v>
      </c>
      <c r="G28" s="10" t="s">
        <v>606</v>
      </c>
      <c r="H28" s="10" t="s">
        <v>609</v>
      </c>
      <c r="I28" s="80" t="s">
        <v>612</v>
      </c>
      <c r="J28" s="10" t="s">
        <v>615</v>
      </c>
      <c r="K28" s="17" t="s">
        <v>618</v>
      </c>
      <c r="L28" s="90"/>
      <c r="M28" s="97">
        <v>46248.902431967595</v>
      </c>
      <c r="N28" s="10"/>
      <c r="O28" s="11"/>
      <c r="P28" s="99"/>
      <c r="Q28" s="33">
        <v>1.306788872E9</v>
      </c>
    </row>
    <row r="29" ht="20.25" customHeight="1">
      <c r="A29" s="112" t="s">
        <v>155</v>
      </c>
      <c r="B29" s="114" t="s">
        <v>23</v>
      </c>
      <c r="C29" s="114" t="s">
        <v>34</v>
      </c>
      <c r="D29" s="116">
        <v>46241.0</v>
      </c>
      <c r="E29" s="114" t="s">
        <v>632</v>
      </c>
      <c r="F29" s="114" t="s">
        <v>634</v>
      </c>
      <c r="G29" s="114" t="s">
        <v>635</v>
      </c>
      <c r="H29" s="114" t="s">
        <v>636</v>
      </c>
      <c r="I29" s="118" t="s">
        <v>240</v>
      </c>
      <c r="J29" s="114" t="s">
        <v>641</v>
      </c>
      <c r="K29" s="120" t="s">
        <v>644</v>
      </c>
      <c r="L29" s="122"/>
      <c r="M29" s="123">
        <v>46253.78175476852</v>
      </c>
      <c r="N29" s="114"/>
      <c r="O29" s="26"/>
      <c r="P29" s="126"/>
      <c r="Q29" s="127">
        <v>1.891511309E9</v>
      </c>
    </row>
  </sheetData>
  <customSheetViews>
    <customSheetView guid="{EFB21323-95C1-45BD-9E8A-755BDF45AF62}" filter="1" showAutoFilter="1">
      <autoFilter ref="$A$1:$Q$12">
        <sortState ref="A1:Q12">
          <sortCondition descending="1" ref="M1:M12"/>
        </sortState>
      </autoFilter>
    </customSheetView>
    <customSheetView guid="{7640BF70-1596-47DD-944E-658DB4B9989D}" filter="1" showAutoFilter="1">
      <autoFilter ref="$A$1:$Q$9">
        <filterColumn colId="1">
          <filters>
            <filter val="Ben"/>
          </filters>
        </filterColumn>
      </autoFilter>
    </customSheetView>
    <customSheetView guid="{3A276F3E-375B-4047-8362-7BC8706380F8}" filter="1" showAutoFilter="1">
      <autoFilter ref="$A$1:$Q$13">
        <sortState ref="A1:Q13">
          <sortCondition descending="1" ref="M1:M13"/>
        </sortState>
      </autoFilter>
    </customSheetView>
    <customSheetView guid="{34D72827-1C41-4DA6-AE21-43468FDAB35C}" filter="1" showAutoFilter="1">
      <autoFilter ref="$A$1:$Q$9">
        <filterColumn colId="1">
          <filters>
            <filter val="Ben"/>
          </filters>
        </filterColumn>
      </autoFilter>
    </customSheetView>
    <customSheetView guid="{AA11B3EB-7166-429A-9C9E-A7F2D10587B6}" filter="1" showAutoFilter="1">
      <autoFilter ref="$A$1:$Q$12">
        <filterColumn colId="1">
          <filters>
            <filter val="Ben"/>
          </filters>
        </filterColumn>
      </autoFilter>
    </customSheetView>
    <customSheetView guid="{A5BC5E77-FC3C-44DA-8879-5736CB893BB4}" filter="1" showAutoFilter="1">
      <autoFilter ref="$A$1:$Q$26">
        <filterColumn colId="1">
          <filters>
            <filter val="Ben"/>
          </filters>
        </filterColumn>
      </autoFilter>
    </customSheetView>
    <customSheetView guid="{A2E724F5-6261-45E5-81C5-D6835B133D06}" filter="1" showAutoFilter="1">
      <autoFilter ref="$A$1:$Q$14">
        <filterColumn colId="1">
          <filters>
            <filter val="Ben"/>
          </filters>
        </filterColumn>
      </autoFilter>
    </customSheetView>
  </customSheetViews>
  <conditionalFormatting sqref="A1:P144 Q1">
    <cfRule type="expression" dxfId="4" priority="1" stopIfTrue="1">
      <formula>OR($C1="Follow Up", $C1="Contract Sent")</formula>
    </cfRule>
  </conditionalFormatting>
  <conditionalFormatting sqref="A1:P144 Q1">
    <cfRule type="expression" dxfId="5" priority="2" stopIfTrue="1">
      <formula>OR($C1="NOT READY", $C1="No - Show / Callback", $C1="Pending Medicare", $C1="Inactive License")</formula>
    </cfRule>
  </conditionalFormatting>
  <conditionalFormatting sqref="A1:P144 Q1">
    <cfRule type="expression" dxfId="6" priority="3" stopIfTrue="1">
      <formula>OR($C1="DNC", $C1="NI", $C1="No Medicare")</formula>
    </cfRule>
  </conditionalFormatting>
  <conditionalFormatting sqref="A1:P144 Q1">
    <cfRule type="expression" dxfId="7" priority="4" stopIfTrue="1">
      <formula>$C1="Onboarded"</formula>
    </cfRule>
  </conditionalFormatting>
  <conditionalFormatting sqref="A1:Q144">
    <cfRule type="expression" dxfId="8" priority="5" stopIfTrue="1">
      <formula>OR($C1="Invoice Sent", $C1="Trial Sent")</formula>
    </cfRule>
  </conditionalFormatting>
  <conditionalFormatting sqref="A1:Q144">
    <cfRule type="expression" dxfId="9" priority="6" stopIfTrue="1">
      <formula>$C1="Hold"</formula>
    </cfRule>
  </conditionalFormatting>
  <dataValidations>
    <dataValidation type="list" allowBlank="1" showErrorMessage="1" sqref="A2 A4:A5 A9:A10">
      <formula1>"Campaigns,CGM,CGM+Lymph W,Claims,Food delivery,Home Improvement,Lymphadema,MVA Claims,ORT,ORT + Lymphedema,ORT+CGM,ORT+CGM+LYMPH W,RE,Solar,SUB,Vacation DNC Camapign"</formula1>
    </dataValidation>
    <dataValidation type="list" allowBlank="1" showErrorMessage="1" sqref="A3 A6:A8 A11:A29">
      <formula1>"Auto Insurance,Campaigns,CGM,CGM+Lymph W,Home Improvement,Hospitality,IMMUNE,Logistics,Lymphadema,ORT,ORT + Lymphedema,ORT+CGM,ORT+CGM+LYMPH W,RE,SUB"</formula1>
    </dataValidation>
    <dataValidation type="list" allowBlank="1" showErrorMessage="1" sqref="C2:C29">
      <formula1>Settings!$A$1:$A29</formula1>
    </dataValidation>
    <dataValidation type="list" allowBlank="1" showErrorMessage="1" sqref="B2:B29">
      <formula1>"Ben,George,Jane,Jimmy,Selene,Jasmine"</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17.0"/>
    <col customWidth="1" min="3" max="3" width="28.13"/>
    <col customWidth="1" min="4" max="4" width="22.25"/>
    <col customWidth="1" min="5" max="5" width="42.38"/>
    <col customWidth="1" min="6" max="6" width="36.38"/>
    <col customWidth="1" min="7" max="7" width="19.38"/>
    <col customWidth="1" min="8" max="8" width="35.0"/>
    <col customWidth="1" min="9" max="9" width="22.0"/>
    <col customWidth="1" min="10" max="10" width="33.88"/>
    <col customWidth="1" min="11" max="11" width="25.75"/>
    <col customWidth="1" hidden="1" min="12" max="12" width="23.63"/>
    <col customWidth="1" min="13" max="13" width="21.13"/>
  </cols>
  <sheetData>
    <row r="1" ht="38.25" customHeight="1">
      <c r="A1" s="1" t="s">
        <v>0</v>
      </c>
      <c r="B1" s="2" t="s">
        <v>1</v>
      </c>
      <c r="C1" s="3" t="s">
        <v>2</v>
      </c>
      <c r="D1" s="3" t="s">
        <v>3</v>
      </c>
      <c r="E1" s="3" t="s">
        <v>4</v>
      </c>
      <c r="F1" s="3" t="s">
        <v>5</v>
      </c>
      <c r="G1" s="4" t="s">
        <v>6</v>
      </c>
      <c r="H1" s="3" t="s">
        <v>7</v>
      </c>
      <c r="I1" s="3" t="s">
        <v>8</v>
      </c>
      <c r="J1" s="3" t="s">
        <v>9</v>
      </c>
      <c r="K1" s="3" t="s">
        <v>10</v>
      </c>
      <c r="L1" s="5" t="s">
        <v>11</v>
      </c>
      <c r="M1" s="2" t="s">
        <v>12</v>
      </c>
      <c r="N1" s="3" t="s">
        <v>13</v>
      </c>
      <c r="O1" s="2" t="s">
        <v>14</v>
      </c>
      <c r="P1" s="3" t="s">
        <v>15</v>
      </c>
      <c r="Q1" s="3" t="s">
        <v>16</v>
      </c>
      <c r="R1" s="6"/>
      <c r="S1" s="6"/>
    </row>
    <row r="2" ht="20.25" customHeight="1">
      <c r="A2" s="8" t="s">
        <v>17</v>
      </c>
      <c r="B2" s="10" t="s">
        <v>19</v>
      </c>
      <c r="C2" s="10" t="s">
        <v>21</v>
      </c>
      <c r="D2" s="12">
        <v>46059.0</v>
      </c>
      <c r="E2" s="10" t="s">
        <v>26</v>
      </c>
      <c r="F2" s="10" t="s">
        <v>27</v>
      </c>
      <c r="G2" s="10" t="s">
        <v>28</v>
      </c>
      <c r="H2" s="10" t="s">
        <v>29</v>
      </c>
      <c r="I2" s="15" t="s">
        <v>30</v>
      </c>
      <c r="J2" s="10" t="s">
        <v>32</v>
      </c>
      <c r="K2" s="17" t="s">
        <v>38</v>
      </c>
      <c r="L2" s="20"/>
      <c r="M2" s="22">
        <v>46135.87433136574</v>
      </c>
      <c r="N2" s="10" t="s">
        <v>49</v>
      </c>
      <c r="O2" s="24"/>
      <c r="P2" s="24"/>
      <c r="Q2" s="10">
        <v>1.447061346E9</v>
      </c>
      <c r="R2" s="6"/>
      <c r="S2" s="6"/>
    </row>
    <row r="3" ht="20.25" customHeight="1">
      <c r="A3" s="8" t="s">
        <v>18</v>
      </c>
      <c r="B3" s="10" t="s">
        <v>53</v>
      </c>
      <c r="C3" s="10" t="s">
        <v>54</v>
      </c>
      <c r="D3" s="12">
        <v>46009.0</v>
      </c>
      <c r="E3" s="10" t="s">
        <v>55</v>
      </c>
      <c r="F3" s="10" t="s">
        <v>56</v>
      </c>
      <c r="G3" s="10" t="s">
        <v>57</v>
      </c>
      <c r="H3" s="10" t="s">
        <v>58</v>
      </c>
      <c r="I3" s="15" t="s">
        <v>59</v>
      </c>
      <c r="J3" s="10" t="s">
        <v>60</v>
      </c>
      <c r="K3" s="17" t="s">
        <v>61</v>
      </c>
      <c r="L3" s="20"/>
      <c r="M3" s="22">
        <v>46139.72520246528</v>
      </c>
      <c r="N3" s="10"/>
      <c r="O3" s="24"/>
      <c r="P3" s="24"/>
      <c r="Q3" s="10">
        <v>1.88130143E9</v>
      </c>
      <c r="R3" s="6"/>
      <c r="S3" s="6"/>
    </row>
    <row r="4" ht="20.25" customHeight="1">
      <c r="A4" s="8"/>
      <c r="B4" s="10"/>
      <c r="C4" s="10"/>
      <c r="D4" s="12"/>
      <c r="E4" s="10"/>
      <c r="F4" s="10"/>
      <c r="G4" s="10"/>
      <c r="H4" s="10"/>
      <c r="I4" s="15"/>
      <c r="J4" s="10"/>
      <c r="K4" s="17"/>
      <c r="L4" s="20"/>
      <c r="M4" s="22"/>
      <c r="N4" s="10"/>
      <c r="O4" s="24"/>
      <c r="P4" s="24"/>
      <c r="Q4" s="36"/>
      <c r="R4" s="38"/>
      <c r="S4" s="38"/>
    </row>
    <row r="5" ht="20.25" customHeight="1">
      <c r="A5" s="8"/>
      <c r="B5" s="10"/>
      <c r="C5" s="10"/>
      <c r="D5" s="12"/>
      <c r="E5" s="10"/>
      <c r="F5" s="10"/>
      <c r="G5" s="10"/>
      <c r="H5" s="10"/>
      <c r="I5" s="15"/>
      <c r="J5" s="10"/>
      <c r="K5" s="17"/>
      <c r="L5" s="20"/>
      <c r="M5" s="22"/>
      <c r="N5" s="10"/>
      <c r="O5" s="24"/>
      <c r="P5" s="24"/>
      <c r="Q5" s="36"/>
      <c r="R5" s="38"/>
      <c r="S5" s="38"/>
    </row>
  </sheetData>
  <customSheetViews>
    <customSheetView guid="{AA11B3EB-7166-429A-9C9E-A7F2D10587B6}" filter="1" showAutoFilter="1">
      <autoFilter ref="$A$1:$Q$3">
        <filterColumn colId="1">
          <filters>
            <filter val="Ben"/>
          </filters>
        </filterColumn>
      </autoFilter>
    </customSheetView>
    <customSheetView guid="{EFB21323-95C1-45BD-9E8A-755BDF45AF62}" filter="1" showAutoFilter="1">
      <autoFilter ref="$A$1:$Q$3">
        <filterColumn colId="1">
          <filters>
            <filter val="Ben"/>
          </filters>
        </filterColumn>
      </autoFilter>
    </customSheetView>
    <customSheetView guid="{7640BF70-1596-47DD-944E-658DB4B9989D}" filter="1" showAutoFilter="1">
      <autoFilter ref="$A$1:$Q$3">
        <filterColumn colId="1">
          <filters>
            <filter val="Ben"/>
          </filters>
        </filterColumn>
      </autoFilter>
    </customSheetView>
    <customSheetView guid="{34D72827-1C41-4DA6-AE21-43468FDAB35C}" filter="1" showAutoFilter="1">
      <autoFilter ref="$A$1:$Q$3">
        <filterColumn colId="1">
          <filters>
            <filter val="Ben"/>
          </filters>
        </filterColumn>
      </autoFilter>
    </customSheetView>
  </customSheetViews>
  <conditionalFormatting sqref="A1:P139 Q1:Q3">
    <cfRule type="expression" dxfId="4" priority="1" stopIfTrue="1">
      <formula>OR($C1="Follow Up", $C1="Contract Sent")</formula>
    </cfRule>
  </conditionalFormatting>
  <conditionalFormatting sqref="A1:P139 Q1:Q3">
    <cfRule type="expression" dxfId="5" priority="2" stopIfTrue="1">
      <formula>OR($C1="NOT READY", $C1="No - Show / Callback", $C1="Pending Medicare", $C1="Inactive License")</formula>
    </cfRule>
  </conditionalFormatting>
  <conditionalFormatting sqref="A1:P139 Q1:Q3">
    <cfRule type="expression" dxfId="6" priority="3" stopIfTrue="1">
      <formula>OR($C1="DNC", $C1="NI", $C1="No Medicare")</formula>
    </cfRule>
  </conditionalFormatting>
  <conditionalFormatting sqref="A1:P139 Q1:Q3">
    <cfRule type="expression" dxfId="7" priority="4" stopIfTrue="1">
      <formula>$C1="Onboarded"</formula>
    </cfRule>
  </conditionalFormatting>
  <conditionalFormatting sqref="A1:Q139">
    <cfRule type="expression" dxfId="8" priority="5" stopIfTrue="1">
      <formula>OR($C1="Invoice Sent", $C1="Trial Sent")</formula>
    </cfRule>
  </conditionalFormatting>
  <conditionalFormatting sqref="A1:Q139">
    <cfRule type="expression" dxfId="9" priority="6" stopIfTrue="1">
      <formula>$C1="Hold"</formula>
    </cfRule>
  </conditionalFormatting>
  <dataValidations>
    <dataValidation type="list" allowBlank="1" showErrorMessage="1" sqref="A2:A5">
      <formula1>"Campaigns,CGM,CGM+Lymph W,Claims,Food delivery,Home Improvement,Lymphadema,MVA Claims,ORT,ORT + Lymphedema,ORT+CGM,ORT+CGM+LYMPH W,RE,Solar,SUB,Vacation DNC Camapign"</formula1>
    </dataValidation>
    <dataValidation type="list" allowBlank="1" showErrorMessage="1" sqref="C2:C5">
      <formula1>Settings!$A$1:$A5</formula1>
    </dataValidation>
    <dataValidation type="list" allowBlank="1" showErrorMessage="1" sqref="B2:B5">
      <formula1>"Ben,George,Jane,Jimmy,Selene,Jasmine"</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CED51"/>
    <outlinePr summaryBelow="0" summaryRight="0"/>
  </sheetPr>
  <sheetViews>
    <sheetView workbookViewId="0"/>
  </sheetViews>
  <sheetFormatPr customHeight="1" defaultColWidth="12.63" defaultRowHeight="15.75"/>
  <cols>
    <col customWidth="1" min="1" max="1" width="26.25"/>
    <col customWidth="1" min="2" max="2" width="17.0"/>
    <col customWidth="1" min="3" max="3" width="28.13"/>
    <col customWidth="1" min="4" max="4" width="12.0"/>
    <col customWidth="1" min="5" max="5" width="42.38"/>
    <col customWidth="1" min="6" max="6" width="36.38"/>
    <col customWidth="1" min="7" max="7" width="19.38"/>
    <col customWidth="1" min="8" max="8" width="35.0"/>
    <col customWidth="1" min="9" max="9" width="22.0"/>
    <col customWidth="1" min="10" max="10" width="33.88"/>
    <col customWidth="1" min="11" max="11" width="25.75"/>
    <col customWidth="1" hidden="1" min="12" max="12" width="23.63"/>
    <col customWidth="1" min="13" max="13" width="21.13"/>
  </cols>
  <sheetData>
    <row r="1" ht="38.25" customHeight="1">
      <c r="A1" s="1" t="s">
        <v>0</v>
      </c>
      <c r="B1" s="2" t="s">
        <v>1</v>
      </c>
      <c r="C1" s="3" t="s">
        <v>2</v>
      </c>
      <c r="D1" s="3" t="s">
        <v>3</v>
      </c>
      <c r="E1" s="3" t="s">
        <v>4</v>
      </c>
      <c r="F1" s="3" t="s">
        <v>5</v>
      </c>
      <c r="G1" s="4" t="s">
        <v>6</v>
      </c>
      <c r="H1" s="3" t="s">
        <v>7</v>
      </c>
      <c r="I1" s="3" t="s">
        <v>8</v>
      </c>
      <c r="J1" s="3" t="s">
        <v>9</v>
      </c>
      <c r="K1" s="3" t="s">
        <v>10</v>
      </c>
      <c r="L1" s="5" t="s">
        <v>11</v>
      </c>
      <c r="M1" s="2" t="s">
        <v>12</v>
      </c>
      <c r="N1" s="3" t="s">
        <v>13</v>
      </c>
      <c r="O1" s="2" t="s">
        <v>14</v>
      </c>
      <c r="P1" s="3" t="s">
        <v>15</v>
      </c>
      <c r="Q1" s="78" t="s">
        <v>16</v>
      </c>
    </row>
    <row r="2" ht="20.25" customHeight="1">
      <c r="A2" s="79" t="s">
        <v>22</v>
      </c>
      <c r="B2" s="79" t="s">
        <v>19</v>
      </c>
      <c r="C2" s="79" t="s">
        <v>222</v>
      </c>
      <c r="D2" s="82">
        <v>45714.0</v>
      </c>
      <c r="E2" s="79" t="s">
        <v>226</v>
      </c>
      <c r="F2" s="79" t="s">
        <v>227</v>
      </c>
      <c r="G2" s="79" t="s">
        <v>228</v>
      </c>
      <c r="H2" s="79" t="s">
        <v>229</v>
      </c>
      <c r="I2" s="85" t="s">
        <v>230</v>
      </c>
      <c r="J2" s="79" t="s">
        <v>237</v>
      </c>
      <c r="K2" s="87" t="s">
        <v>241</v>
      </c>
      <c r="L2" s="88"/>
      <c r="M2" s="88">
        <v>46099.906825972226</v>
      </c>
      <c r="N2" s="89"/>
      <c r="O2" s="79" t="b">
        <v>0</v>
      </c>
      <c r="P2" s="91"/>
      <c r="Q2" s="92"/>
    </row>
    <row r="3" ht="20.25" customHeight="1">
      <c r="A3" s="79" t="s">
        <v>22</v>
      </c>
      <c r="B3" s="79" t="s">
        <v>23</v>
      </c>
      <c r="C3" s="79" t="s">
        <v>222</v>
      </c>
      <c r="D3" s="82">
        <v>45929.0</v>
      </c>
      <c r="E3" s="79" t="s">
        <v>265</v>
      </c>
      <c r="F3" s="79" t="s">
        <v>267</v>
      </c>
      <c r="G3" s="79" t="s">
        <v>270</v>
      </c>
      <c r="H3" s="79" t="s">
        <v>271</v>
      </c>
      <c r="I3" s="85" t="s">
        <v>273</v>
      </c>
      <c r="J3" s="79" t="s">
        <v>277</v>
      </c>
      <c r="K3" s="87" t="s">
        <v>280</v>
      </c>
      <c r="L3" s="88"/>
      <c r="M3" s="88">
        <v>46225.69447989583</v>
      </c>
      <c r="N3" s="89"/>
      <c r="O3" s="79" t="b">
        <v>0</v>
      </c>
      <c r="P3" s="91"/>
      <c r="Q3" s="95">
        <v>1.841098365E9</v>
      </c>
    </row>
    <row r="4" ht="20.25" customHeight="1">
      <c r="A4" s="79" t="s">
        <v>22</v>
      </c>
      <c r="B4" s="79" t="s">
        <v>23</v>
      </c>
      <c r="C4" s="79" t="s">
        <v>296</v>
      </c>
      <c r="D4" s="82">
        <v>46031.0</v>
      </c>
      <c r="E4" s="79" t="s">
        <v>297</v>
      </c>
      <c r="F4" s="79" t="s">
        <v>298</v>
      </c>
      <c r="G4" s="79" t="s">
        <v>299</v>
      </c>
      <c r="H4" s="79" t="s">
        <v>300</v>
      </c>
      <c r="I4" s="85" t="s">
        <v>301</v>
      </c>
      <c r="J4" s="79" t="s">
        <v>302</v>
      </c>
      <c r="K4" s="87" t="s">
        <v>304</v>
      </c>
      <c r="L4" s="88"/>
      <c r="M4" s="98">
        <v>46087.85930653935</v>
      </c>
      <c r="N4" s="89"/>
      <c r="O4" s="79" t="b">
        <v>0</v>
      </c>
      <c r="P4" s="91"/>
      <c r="Q4" s="95">
        <v>1.346056637E9</v>
      </c>
    </row>
    <row r="5" ht="20.25" customHeight="1">
      <c r="A5" s="79" t="s">
        <v>117</v>
      </c>
      <c r="B5" s="79" t="s">
        <v>53</v>
      </c>
      <c r="C5" s="79"/>
      <c r="D5" s="82">
        <v>46001.0</v>
      </c>
      <c r="E5" s="79" t="s">
        <v>334</v>
      </c>
      <c r="F5" s="79" t="s">
        <v>336</v>
      </c>
      <c r="G5" s="79" t="s">
        <v>338</v>
      </c>
      <c r="H5" s="79" t="s">
        <v>339</v>
      </c>
      <c r="I5" s="85" t="s">
        <v>340</v>
      </c>
      <c r="J5" s="79" t="s">
        <v>342</v>
      </c>
      <c r="K5" s="87" t="s">
        <v>344</v>
      </c>
      <c r="L5" s="88"/>
      <c r="M5" s="98">
        <v>46058.82197443287</v>
      </c>
      <c r="N5" s="89"/>
      <c r="O5" s="79" t="b">
        <v>0</v>
      </c>
      <c r="P5" s="91"/>
      <c r="Q5" s="92"/>
    </row>
    <row r="6" ht="20.25" customHeight="1">
      <c r="A6" s="79" t="s">
        <v>117</v>
      </c>
      <c r="B6" s="79" t="s">
        <v>53</v>
      </c>
      <c r="C6" s="79" t="s">
        <v>360</v>
      </c>
      <c r="D6" s="82">
        <v>45974.0</v>
      </c>
      <c r="E6" s="79" t="s">
        <v>366</v>
      </c>
      <c r="F6" s="79" t="s">
        <v>368</v>
      </c>
      <c r="G6" s="79" t="s">
        <v>370</v>
      </c>
      <c r="H6" s="79" t="s">
        <v>372</v>
      </c>
      <c r="I6" s="85" t="s">
        <v>59</v>
      </c>
      <c r="J6" s="79" t="s">
        <v>374</v>
      </c>
      <c r="K6" s="87" t="s">
        <v>375</v>
      </c>
      <c r="L6" s="88"/>
      <c r="M6" s="98"/>
      <c r="N6" s="89"/>
      <c r="O6" s="79" t="b">
        <v>0</v>
      </c>
      <c r="P6" s="91"/>
      <c r="Q6" s="92"/>
    </row>
    <row r="7" ht="20.25" customHeight="1">
      <c r="A7" s="79" t="s">
        <v>17</v>
      </c>
      <c r="B7" s="79" t="s">
        <v>23</v>
      </c>
      <c r="C7" s="79" t="s">
        <v>360</v>
      </c>
      <c r="D7" s="82">
        <v>46048.0</v>
      </c>
      <c r="E7" s="79" t="s">
        <v>392</v>
      </c>
      <c r="F7" s="79" t="s">
        <v>393</v>
      </c>
      <c r="G7" s="79" t="s">
        <v>394</v>
      </c>
      <c r="H7" s="79" t="s">
        <v>396</v>
      </c>
      <c r="I7" s="85" t="s">
        <v>174</v>
      </c>
      <c r="J7" s="79" t="s">
        <v>400</v>
      </c>
      <c r="K7" s="87"/>
      <c r="L7" s="88"/>
      <c r="M7" s="98"/>
      <c r="N7" s="89" t="b">
        <v>0</v>
      </c>
      <c r="O7" s="79"/>
      <c r="P7" s="89" t="s">
        <v>406</v>
      </c>
      <c r="Q7" s="95">
        <v>1.871389627E9</v>
      </c>
    </row>
    <row r="8" ht="20.25" customHeight="1">
      <c r="A8" s="79" t="s">
        <v>22</v>
      </c>
      <c r="B8" s="79" t="s">
        <v>23</v>
      </c>
      <c r="C8" s="79" t="s">
        <v>360</v>
      </c>
      <c r="D8" s="82">
        <v>45776.0</v>
      </c>
      <c r="E8" s="79" t="s">
        <v>411</v>
      </c>
      <c r="F8" s="79" t="s">
        <v>412</v>
      </c>
      <c r="G8" s="79" t="s">
        <v>414</v>
      </c>
      <c r="H8" s="79" t="s">
        <v>415</v>
      </c>
      <c r="I8" s="85" t="s">
        <v>416</v>
      </c>
      <c r="J8" s="79" t="s">
        <v>418</v>
      </c>
      <c r="K8" s="87" t="s">
        <v>421</v>
      </c>
      <c r="L8" s="88"/>
      <c r="M8" s="98">
        <v>46058.77822115741</v>
      </c>
      <c r="N8" s="89"/>
      <c r="O8" s="79" t="b">
        <v>0</v>
      </c>
      <c r="P8" s="89"/>
      <c r="Q8" s="95">
        <v>1.184462806E9</v>
      </c>
    </row>
    <row r="9" ht="20.25" customHeight="1">
      <c r="A9" s="79" t="s">
        <v>17</v>
      </c>
      <c r="B9" s="79" t="s">
        <v>23</v>
      </c>
      <c r="C9" s="79" t="s">
        <v>360</v>
      </c>
      <c r="D9" s="82">
        <v>45719.0</v>
      </c>
      <c r="E9" s="79" t="s">
        <v>433</v>
      </c>
      <c r="F9" s="79" t="s">
        <v>436</v>
      </c>
      <c r="G9" s="79" t="s">
        <v>437</v>
      </c>
      <c r="H9" s="79"/>
      <c r="I9" s="85" t="s">
        <v>140</v>
      </c>
      <c r="J9" s="79" t="s">
        <v>439</v>
      </c>
      <c r="K9" s="87" t="s">
        <v>440</v>
      </c>
      <c r="L9" s="88"/>
      <c r="M9" s="98">
        <v>46099.912788912035</v>
      </c>
      <c r="N9" s="89"/>
      <c r="O9" s="79" t="b">
        <v>0</v>
      </c>
      <c r="P9" s="89"/>
      <c r="Q9" s="95">
        <v>1.245961226E9</v>
      </c>
    </row>
    <row r="10" ht="20.25" customHeight="1">
      <c r="A10" s="79" t="s">
        <v>18</v>
      </c>
      <c r="B10" s="79" t="s">
        <v>23</v>
      </c>
      <c r="C10" s="79" t="s">
        <v>360</v>
      </c>
      <c r="D10" s="82">
        <v>45980.0</v>
      </c>
      <c r="E10" s="79" t="s">
        <v>449</v>
      </c>
      <c r="F10" s="79" t="s">
        <v>450</v>
      </c>
      <c r="G10" s="79" t="s">
        <v>451</v>
      </c>
      <c r="H10" s="79" t="s">
        <v>452</v>
      </c>
      <c r="I10" s="85" t="s">
        <v>453</v>
      </c>
      <c r="J10" s="79" t="s">
        <v>454</v>
      </c>
      <c r="K10" s="87" t="s">
        <v>455</v>
      </c>
      <c r="L10" s="88"/>
      <c r="M10" s="98">
        <v>46099.84558116898</v>
      </c>
      <c r="N10" s="89"/>
      <c r="O10" s="79" t="b">
        <v>0</v>
      </c>
      <c r="P10" s="89"/>
      <c r="Q10" s="95">
        <v>1.174311658E9</v>
      </c>
    </row>
    <row r="11" ht="20.25" customHeight="1">
      <c r="A11" s="79" t="s">
        <v>18</v>
      </c>
      <c r="B11" s="79" t="s">
        <v>225</v>
      </c>
      <c r="C11" s="79" t="s">
        <v>360</v>
      </c>
      <c r="D11" s="82">
        <v>46056.0</v>
      </c>
      <c r="E11" s="79" t="s">
        <v>463</v>
      </c>
      <c r="F11" s="79" t="s">
        <v>465</v>
      </c>
      <c r="G11" s="79" t="s">
        <v>467</v>
      </c>
      <c r="H11" s="79" t="s">
        <v>470</v>
      </c>
      <c r="I11" s="85" t="s">
        <v>472</v>
      </c>
      <c r="J11" s="79" t="s">
        <v>473</v>
      </c>
      <c r="K11" s="87" t="s">
        <v>475</v>
      </c>
      <c r="L11" s="88"/>
      <c r="M11" s="98">
        <v>46216.93474370371</v>
      </c>
      <c r="N11" s="89"/>
      <c r="O11" s="79" t="b">
        <v>0</v>
      </c>
      <c r="P11" s="89"/>
      <c r="Q11" s="95"/>
    </row>
    <row r="12" ht="20.25" customHeight="1">
      <c r="A12" s="79" t="s">
        <v>62</v>
      </c>
      <c r="B12" s="79" t="s">
        <v>225</v>
      </c>
      <c r="C12" s="79" t="s">
        <v>360</v>
      </c>
      <c r="D12" s="82">
        <v>46043.0</v>
      </c>
      <c r="E12" s="79" t="s">
        <v>480</v>
      </c>
      <c r="F12" s="79" t="s">
        <v>483</v>
      </c>
      <c r="G12" s="79" t="s">
        <v>484</v>
      </c>
      <c r="H12" s="79" t="s">
        <v>487</v>
      </c>
      <c r="I12" s="85" t="s">
        <v>490</v>
      </c>
      <c r="J12" s="79" t="s">
        <v>493</v>
      </c>
      <c r="K12" s="87" t="s">
        <v>496</v>
      </c>
      <c r="L12" s="88"/>
      <c r="M12" s="98"/>
      <c r="N12" s="89"/>
      <c r="O12" s="79" t="b">
        <v>0</v>
      </c>
      <c r="P12" s="89"/>
      <c r="Q12" s="89"/>
    </row>
    <row r="13" ht="20.25" customHeight="1">
      <c r="A13" s="79" t="s">
        <v>62</v>
      </c>
      <c r="B13" s="79" t="s">
        <v>225</v>
      </c>
      <c r="C13" s="79" t="s">
        <v>360</v>
      </c>
      <c r="D13" s="82">
        <v>46035.0</v>
      </c>
      <c r="E13" s="79" t="s">
        <v>500</v>
      </c>
      <c r="F13" s="79" t="s">
        <v>501</v>
      </c>
      <c r="G13" s="79" t="s">
        <v>502</v>
      </c>
      <c r="H13" s="79" t="s">
        <v>503</v>
      </c>
      <c r="I13" s="85" t="s">
        <v>269</v>
      </c>
      <c r="J13" s="79" t="s">
        <v>504</v>
      </c>
      <c r="K13" s="87" t="s">
        <v>505</v>
      </c>
      <c r="L13" s="88"/>
      <c r="M13" s="98"/>
      <c r="N13" s="89"/>
      <c r="O13" s="79" t="b">
        <v>0</v>
      </c>
      <c r="P13" s="89"/>
      <c r="Q13" s="89"/>
    </row>
    <row r="14" ht="20.25" customHeight="1">
      <c r="A14" s="79" t="s">
        <v>117</v>
      </c>
      <c r="B14" s="79" t="s">
        <v>19</v>
      </c>
      <c r="C14" s="79" t="s">
        <v>360</v>
      </c>
      <c r="D14" s="82">
        <v>45995.0</v>
      </c>
      <c r="E14" s="79" t="s">
        <v>519</v>
      </c>
      <c r="F14" s="79" t="s">
        <v>521</v>
      </c>
      <c r="G14" s="79" t="s">
        <v>522</v>
      </c>
      <c r="H14" s="79" t="s">
        <v>523</v>
      </c>
      <c r="I14" s="85"/>
      <c r="J14" s="79" t="s">
        <v>524</v>
      </c>
      <c r="K14" s="87" t="s">
        <v>525</v>
      </c>
      <c r="L14" s="88"/>
      <c r="M14" s="98"/>
      <c r="N14" s="89"/>
      <c r="O14" s="79" t="b">
        <v>0</v>
      </c>
      <c r="P14" s="89"/>
      <c r="Q14" s="89"/>
    </row>
    <row r="15" ht="20.25" customHeight="1">
      <c r="A15" s="79" t="s">
        <v>117</v>
      </c>
      <c r="B15" s="79" t="s">
        <v>53</v>
      </c>
      <c r="C15" s="79" t="s">
        <v>360</v>
      </c>
      <c r="D15" s="82">
        <v>45995.0</v>
      </c>
      <c r="E15" s="79" t="s">
        <v>531</v>
      </c>
      <c r="F15" s="79" t="s">
        <v>535</v>
      </c>
      <c r="G15" s="79" t="s">
        <v>538</v>
      </c>
      <c r="H15" s="79" t="s">
        <v>541</v>
      </c>
      <c r="I15" s="85" t="s">
        <v>544</v>
      </c>
      <c r="J15" s="79" t="s">
        <v>549</v>
      </c>
      <c r="K15" s="87" t="s">
        <v>552</v>
      </c>
      <c r="L15" s="88"/>
      <c r="M15" s="98">
        <v>46063.68051607639</v>
      </c>
      <c r="N15" s="89"/>
      <c r="O15" s="79" t="b">
        <v>0</v>
      </c>
      <c r="P15" s="89"/>
      <c r="Q15" s="89"/>
    </row>
    <row r="16" ht="20.25" customHeight="1">
      <c r="A16" s="79" t="s">
        <v>17</v>
      </c>
      <c r="B16" s="79" t="s">
        <v>23</v>
      </c>
      <c r="C16" s="79" t="s">
        <v>360</v>
      </c>
      <c r="D16" s="82">
        <v>46034.0</v>
      </c>
      <c r="E16" s="79" t="s">
        <v>553</v>
      </c>
      <c r="F16" s="79" t="s">
        <v>554</v>
      </c>
      <c r="G16" s="79" t="s">
        <v>555</v>
      </c>
      <c r="H16" s="79" t="s">
        <v>556</v>
      </c>
      <c r="I16" s="85" t="s">
        <v>558</v>
      </c>
      <c r="J16" s="79" t="s">
        <v>561</v>
      </c>
      <c r="K16" s="87" t="s">
        <v>564</v>
      </c>
      <c r="L16" s="88"/>
      <c r="M16" s="98">
        <v>46134.70640445602</v>
      </c>
      <c r="N16" s="89"/>
      <c r="O16" s="79" t="b">
        <v>0</v>
      </c>
      <c r="P16" s="89"/>
      <c r="Q16" s="89">
        <v>1.417436445E9</v>
      </c>
    </row>
    <row r="17" ht="20.25" customHeight="1">
      <c r="A17" s="79" t="s">
        <v>22</v>
      </c>
      <c r="B17" s="79" t="s">
        <v>19</v>
      </c>
      <c r="C17" s="79" t="s">
        <v>360</v>
      </c>
      <c r="D17" s="82">
        <v>45692.0</v>
      </c>
      <c r="E17" s="79" t="s">
        <v>577</v>
      </c>
      <c r="F17" s="79" t="s">
        <v>578</v>
      </c>
      <c r="G17" s="79" t="s">
        <v>579</v>
      </c>
      <c r="H17" s="79" t="s">
        <v>580</v>
      </c>
      <c r="I17" s="85" t="s">
        <v>581</v>
      </c>
      <c r="J17" s="79" t="s">
        <v>582</v>
      </c>
      <c r="K17" s="87" t="s">
        <v>583</v>
      </c>
      <c r="L17" s="88"/>
      <c r="M17" s="98">
        <v>46149.69138157407</v>
      </c>
      <c r="N17" s="89"/>
      <c r="O17" s="79" t="b">
        <v>0</v>
      </c>
      <c r="P17" s="89"/>
      <c r="Q17" s="89"/>
    </row>
    <row r="18" ht="20.25" customHeight="1">
      <c r="A18" s="79" t="s">
        <v>410</v>
      </c>
      <c r="B18" s="79" t="s">
        <v>53</v>
      </c>
      <c r="C18" s="79" t="s">
        <v>360</v>
      </c>
      <c r="D18" s="82">
        <v>45971.0</v>
      </c>
      <c r="E18" s="79" t="s">
        <v>591</v>
      </c>
      <c r="F18" s="79" t="s">
        <v>593</v>
      </c>
      <c r="G18" s="79" t="s">
        <v>594</v>
      </c>
      <c r="H18" s="79" t="s">
        <v>596</v>
      </c>
      <c r="I18" s="85" t="s">
        <v>597</v>
      </c>
      <c r="J18" s="79" t="s">
        <v>598</v>
      </c>
      <c r="K18" s="87" t="s">
        <v>599</v>
      </c>
      <c r="L18" s="88"/>
      <c r="M18" s="98"/>
      <c r="N18" s="89"/>
      <c r="O18" s="79" t="b">
        <v>0</v>
      </c>
      <c r="P18" s="89"/>
      <c r="Q18" s="89"/>
    </row>
    <row r="19" ht="20.25" customHeight="1">
      <c r="A19" s="79" t="s">
        <v>18</v>
      </c>
      <c r="B19" s="79" t="s">
        <v>19</v>
      </c>
      <c r="C19" s="79" t="s">
        <v>601</v>
      </c>
      <c r="D19" s="82">
        <v>46009.0</v>
      </c>
      <c r="E19" s="79" t="s">
        <v>605</v>
      </c>
      <c r="F19" s="79" t="s">
        <v>608</v>
      </c>
      <c r="G19" s="79" t="s">
        <v>611</v>
      </c>
      <c r="H19" s="79" t="s">
        <v>614</v>
      </c>
      <c r="I19" s="85" t="s">
        <v>616</v>
      </c>
      <c r="J19" s="79" t="s">
        <v>619</v>
      </c>
      <c r="K19" s="87" t="s">
        <v>620</v>
      </c>
      <c r="L19" s="88"/>
      <c r="M19" s="98">
        <v>46114.7671092824</v>
      </c>
      <c r="N19" s="89"/>
      <c r="O19" s="79" t="b">
        <v>0</v>
      </c>
      <c r="P19" s="89"/>
      <c r="Q19" s="89"/>
    </row>
    <row r="20" ht="20.25" customHeight="1">
      <c r="A20" s="79" t="s">
        <v>621</v>
      </c>
      <c r="B20" s="79" t="s">
        <v>23</v>
      </c>
      <c r="C20" s="79" t="s">
        <v>601</v>
      </c>
      <c r="D20" s="82">
        <v>45798.0</v>
      </c>
      <c r="E20" s="79" t="s">
        <v>625</v>
      </c>
      <c r="F20" s="79" t="s">
        <v>627</v>
      </c>
      <c r="G20" s="79"/>
      <c r="H20" s="79"/>
      <c r="I20" s="85" t="s">
        <v>630</v>
      </c>
      <c r="J20" s="79" t="s">
        <v>631</v>
      </c>
      <c r="K20" s="87"/>
      <c r="L20" s="88"/>
      <c r="M20" s="98"/>
      <c r="N20" s="89"/>
      <c r="O20" s="79" t="b">
        <v>0</v>
      </c>
      <c r="P20" s="89"/>
      <c r="Q20" s="89"/>
    </row>
    <row r="21" ht="20.25" customHeight="1">
      <c r="A21" s="79" t="s">
        <v>633</v>
      </c>
      <c r="B21" s="79" t="s">
        <v>53</v>
      </c>
      <c r="C21" s="79" t="s">
        <v>601</v>
      </c>
      <c r="D21" s="82">
        <v>45729.0</v>
      </c>
      <c r="E21" s="79" t="s">
        <v>637</v>
      </c>
      <c r="F21" s="79" t="s">
        <v>638</v>
      </c>
      <c r="G21" s="79" t="s">
        <v>640</v>
      </c>
      <c r="H21" s="79" t="s">
        <v>642</v>
      </c>
      <c r="I21" s="85" t="s">
        <v>581</v>
      </c>
      <c r="J21" s="79" t="s">
        <v>643</v>
      </c>
      <c r="K21" s="87" t="s">
        <v>645</v>
      </c>
      <c r="L21" s="88"/>
      <c r="M21" s="98"/>
      <c r="N21" s="89"/>
      <c r="O21" s="79" t="b">
        <v>0</v>
      </c>
      <c r="P21" s="89"/>
      <c r="Q21" s="89"/>
    </row>
    <row r="22" ht="20.25" customHeight="1">
      <c r="A22" s="79" t="s">
        <v>646</v>
      </c>
      <c r="B22" s="79" t="s">
        <v>23</v>
      </c>
      <c r="C22" s="79" t="s">
        <v>601</v>
      </c>
      <c r="D22" s="82">
        <v>45917.0</v>
      </c>
      <c r="E22" s="79" t="s">
        <v>650</v>
      </c>
      <c r="F22" s="79" t="s">
        <v>652</v>
      </c>
      <c r="G22" s="79" t="s">
        <v>653</v>
      </c>
      <c r="H22" s="79" t="s">
        <v>654</v>
      </c>
      <c r="I22" s="85" t="s">
        <v>655</v>
      </c>
      <c r="J22" s="79" t="s">
        <v>656</v>
      </c>
      <c r="K22" s="87" t="s">
        <v>657</v>
      </c>
      <c r="L22" s="88"/>
      <c r="M22" s="98"/>
      <c r="N22" s="89"/>
      <c r="O22" s="79" t="b">
        <v>0</v>
      </c>
      <c r="P22" s="89"/>
      <c r="Q22" s="89"/>
    </row>
    <row r="23" ht="20.25" customHeight="1">
      <c r="A23" s="79" t="s">
        <v>646</v>
      </c>
      <c r="B23" s="79" t="s">
        <v>19</v>
      </c>
      <c r="C23" s="79" t="s">
        <v>601</v>
      </c>
      <c r="D23" s="82">
        <v>45916.0</v>
      </c>
      <c r="E23" s="79" t="s">
        <v>658</v>
      </c>
      <c r="F23" s="79" t="s">
        <v>659</v>
      </c>
      <c r="G23" s="79" t="s">
        <v>660</v>
      </c>
      <c r="H23" s="79" t="s">
        <v>661</v>
      </c>
      <c r="I23" s="85"/>
      <c r="J23" s="79" t="s">
        <v>662</v>
      </c>
      <c r="K23" s="87" t="s">
        <v>663</v>
      </c>
      <c r="L23" s="88"/>
      <c r="M23" s="98"/>
      <c r="N23" s="89"/>
      <c r="O23" s="79" t="b">
        <v>0</v>
      </c>
      <c r="P23" s="89"/>
      <c r="Q23" s="89"/>
    </row>
    <row r="24" ht="20.25" customHeight="1">
      <c r="A24" s="79" t="s">
        <v>646</v>
      </c>
      <c r="B24" s="79" t="s">
        <v>19</v>
      </c>
      <c r="C24" s="79" t="s">
        <v>601</v>
      </c>
      <c r="D24" s="82">
        <v>45918.0</v>
      </c>
      <c r="E24" s="79" t="s">
        <v>664</v>
      </c>
      <c r="F24" s="79" t="s">
        <v>665</v>
      </c>
      <c r="G24" s="79" t="s">
        <v>666</v>
      </c>
      <c r="H24" s="79" t="s">
        <v>668</v>
      </c>
      <c r="I24" s="85" t="s">
        <v>669</v>
      </c>
      <c r="J24" s="79" t="s">
        <v>671</v>
      </c>
      <c r="K24" s="87" t="s">
        <v>672</v>
      </c>
      <c r="L24" s="88"/>
      <c r="M24" s="98"/>
      <c r="N24" s="89"/>
      <c r="O24" s="79" t="b">
        <v>0</v>
      </c>
      <c r="P24" s="89"/>
      <c r="Q24" s="89"/>
    </row>
    <row r="25" ht="20.25" customHeight="1">
      <c r="A25" s="79" t="s">
        <v>646</v>
      </c>
      <c r="B25" s="79" t="s">
        <v>23</v>
      </c>
      <c r="C25" s="79" t="s">
        <v>601</v>
      </c>
      <c r="D25" s="82">
        <v>45905.0</v>
      </c>
      <c r="E25" s="79"/>
      <c r="F25" s="79" t="s">
        <v>673</v>
      </c>
      <c r="G25" s="79" t="s">
        <v>675</v>
      </c>
      <c r="H25" s="79"/>
      <c r="I25" s="85" t="s">
        <v>677</v>
      </c>
      <c r="J25" s="79"/>
      <c r="K25" s="87"/>
      <c r="L25" s="88"/>
      <c r="M25" s="98"/>
      <c r="N25" s="89"/>
      <c r="O25" s="79" t="b">
        <v>0</v>
      </c>
      <c r="P25" s="89"/>
      <c r="Q25" s="89"/>
    </row>
    <row r="26" ht="20.25" customHeight="1">
      <c r="A26" s="79" t="s">
        <v>646</v>
      </c>
      <c r="B26" s="79" t="s">
        <v>53</v>
      </c>
      <c r="C26" s="79" t="s">
        <v>601</v>
      </c>
      <c r="D26" s="82">
        <v>45909.0</v>
      </c>
      <c r="E26" s="79" t="s">
        <v>681</v>
      </c>
      <c r="F26" s="79" t="s">
        <v>682</v>
      </c>
      <c r="G26" s="79"/>
      <c r="H26" s="79" t="s">
        <v>683</v>
      </c>
      <c r="I26" s="85" t="s">
        <v>684</v>
      </c>
      <c r="J26" s="79"/>
      <c r="K26" s="87" t="s">
        <v>685</v>
      </c>
      <c r="L26" s="88"/>
      <c r="M26" s="98"/>
      <c r="N26" s="89"/>
      <c r="O26" s="79" t="b">
        <v>0</v>
      </c>
      <c r="P26" s="89"/>
      <c r="Q26" s="89"/>
    </row>
    <row r="27" ht="20.25" customHeight="1">
      <c r="A27" s="79" t="s">
        <v>646</v>
      </c>
      <c r="B27" s="79" t="s">
        <v>53</v>
      </c>
      <c r="C27" s="79" t="s">
        <v>601</v>
      </c>
      <c r="D27" s="82">
        <v>45911.0</v>
      </c>
      <c r="E27" s="79" t="s">
        <v>688</v>
      </c>
      <c r="F27" s="79" t="s">
        <v>689</v>
      </c>
      <c r="G27" s="79" t="s">
        <v>690</v>
      </c>
      <c r="H27" s="79" t="s">
        <v>691</v>
      </c>
      <c r="I27" s="85" t="s">
        <v>669</v>
      </c>
      <c r="J27" s="79" t="s">
        <v>692</v>
      </c>
      <c r="K27" s="87" t="s">
        <v>693</v>
      </c>
      <c r="L27" s="88"/>
      <c r="M27" s="98"/>
      <c r="N27" s="89"/>
      <c r="O27" s="79" t="b">
        <v>0</v>
      </c>
      <c r="P27" s="89"/>
      <c r="Q27" s="89"/>
    </row>
    <row r="28" ht="20.25" customHeight="1">
      <c r="A28" s="79" t="s">
        <v>621</v>
      </c>
      <c r="B28" s="79" t="s">
        <v>23</v>
      </c>
      <c r="C28" s="79" t="s">
        <v>601</v>
      </c>
      <c r="D28" s="82">
        <v>45821.0</v>
      </c>
      <c r="E28" s="79" t="s">
        <v>699</v>
      </c>
      <c r="F28" s="79" t="s">
        <v>700</v>
      </c>
      <c r="G28" s="79" t="s">
        <v>701</v>
      </c>
      <c r="H28" s="79" t="s">
        <v>702</v>
      </c>
      <c r="I28" s="85" t="s">
        <v>409</v>
      </c>
      <c r="J28" s="79" t="s">
        <v>703</v>
      </c>
      <c r="K28" s="87" t="s">
        <v>704</v>
      </c>
      <c r="L28" s="88"/>
      <c r="M28" s="98"/>
      <c r="N28" s="89"/>
      <c r="O28" s="79" t="b">
        <v>0</v>
      </c>
      <c r="P28" s="89"/>
      <c r="Q28" s="89"/>
    </row>
    <row r="29" ht="20.25" customHeight="1">
      <c r="A29" s="79" t="s">
        <v>621</v>
      </c>
      <c r="B29" s="79" t="s">
        <v>53</v>
      </c>
      <c r="C29" s="79" t="s">
        <v>601</v>
      </c>
      <c r="D29" s="82">
        <v>45819.0</v>
      </c>
      <c r="E29" s="79" t="s">
        <v>705</v>
      </c>
      <c r="F29" s="79" t="s">
        <v>706</v>
      </c>
      <c r="G29" s="79" t="s">
        <v>707</v>
      </c>
      <c r="H29" s="79"/>
      <c r="I29" s="85"/>
      <c r="J29" s="79" t="s">
        <v>710</v>
      </c>
      <c r="K29" s="87" t="s">
        <v>712</v>
      </c>
      <c r="L29" s="88"/>
      <c r="M29" s="98"/>
      <c r="N29" s="89"/>
      <c r="O29" s="79" t="b">
        <v>0</v>
      </c>
      <c r="P29" s="89"/>
      <c r="Q29" s="89"/>
    </row>
    <row r="30" ht="20.25" customHeight="1">
      <c r="A30" s="79" t="s">
        <v>621</v>
      </c>
      <c r="B30" s="79" t="s">
        <v>53</v>
      </c>
      <c r="C30" s="79" t="s">
        <v>601</v>
      </c>
      <c r="D30" s="82">
        <v>45819.0</v>
      </c>
      <c r="E30" s="79" t="s">
        <v>715</v>
      </c>
      <c r="F30" s="79" t="s">
        <v>716</v>
      </c>
      <c r="G30" s="79" t="s">
        <v>717</v>
      </c>
      <c r="H30" s="79" t="s">
        <v>718</v>
      </c>
      <c r="I30" s="85" t="s">
        <v>719</v>
      </c>
      <c r="J30" s="79" t="s">
        <v>720</v>
      </c>
      <c r="K30" s="87" t="s">
        <v>721</v>
      </c>
      <c r="L30" s="88"/>
      <c r="M30" s="98"/>
      <c r="N30" s="89"/>
      <c r="O30" s="79" t="b">
        <v>0</v>
      </c>
      <c r="P30" s="89"/>
      <c r="Q30" s="89"/>
    </row>
    <row r="31" ht="20.25" customHeight="1">
      <c r="A31" s="79" t="s">
        <v>621</v>
      </c>
      <c r="B31" s="79" t="s">
        <v>53</v>
      </c>
      <c r="C31" s="79" t="s">
        <v>601</v>
      </c>
      <c r="D31" s="82">
        <v>45812.0</v>
      </c>
      <c r="E31" s="79" t="s">
        <v>723</v>
      </c>
      <c r="F31" s="79" t="s">
        <v>725</v>
      </c>
      <c r="G31" s="79" t="s">
        <v>727</v>
      </c>
      <c r="H31" s="79"/>
      <c r="I31" s="85"/>
      <c r="J31" s="79" t="s">
        <v>729</v>
      </c>
      <c r="K31" s="87" t="s">
        <v>731</v>
      </c>
      <c r="L31" s="88"/>
      <c r="M31" s="98"/>
      <c r="N31" s="89"/>
      <c r="O31" s="79" t="b">
        <v>0</v>
      </c>
      <c r="P31" s="89"/>
      <c r="Q31" s="89"/>
    </row>
    <row r="32" ht="20.25" customHeight="1">
      <c r="A32" s="79" t="s">
        <v>621</v>
      </c>
      <c r="B32" s="79" t="s">
        <v>23</v>
      </c>
      <c r="C32" s="79" t="s">
        <v>601</v>
      </c>
      <c r="D32" s="82">
        <v>45812.0</v>
      </c>
      <c r="E32" s="79" t="s">
        <v>732</v>
      </c>
      <c r="F32" s="79" t="s">
        <v>733</v>
      </c>
      <c r="G32" s="79" t="s">
        <v>734</v>
      </c>
      <c r="H32" s="79"/>
      <c r="I32" s="85" t="s">
        <v>735</v>
      </c>
      <c r="J32" s="79" t="s">
        <v>736</v>
      </c>
      <c r="K32" s="87" t="s">
        <v>737</v>
      </c>
      <c r="L32" s="88"/>
      <c r="M32" s="98"/>
      <c r="N32" s="89"/>
      <c r="O32" s="79" t="b">
        <v>0</v>
      </c>
      <c r="P32" s="89"/>
      <c r="Q32" s="89"/>
    </row>
    <row r="33" ht="20.25" customHeight="1">
      <c r="A33" s="79" t="s">
        <v>621</v>
      </c>
      <c r="B33" s="79" t="s">
        <v>23</v>
      </c>
      <c r="C33" s="79" t="s">
        <v>601</v>
      </c>
      <c r="D33" s="82">
        <v>45810.0</v>
      </c>
      <c r="E33" s="79" t="s">
        <v>742</v>
      </c>
      <c r="F33" s="79" t="s">
        <v>743</v>
      </c>
      <c r="G33" s="79" t="s">
        <v>744</v>
      </c>
      <c r="H33" s="79" t="s">
        <v>746</v>
      </c>
      <c r="I33" s="85" t="s">
        <v>747</v>
      </c>
      <c r="J33" s="79" t="s">
        <v>748</v>
      </c>
      <c r="K33" s="87" t="s">
        <v>749</v>
      </c>
      <c r="L33" s="88"/>
      <c r="M33" s="98"/>
      <c r="N33" s="89"/>
      <c r="O33" s="79" t="b">
        <v>0</v>
      </c>
      <c r="P33" s="89"/>
      <c r="Q33" s="89"/>
    </row>
    <row r="34" ht="20.25" customHeight="1">
      <c r="A34" s="79" t="s">
        <v>621</v>
      </c>
      <c r="B34" s="79" t="s">
        <v>19</v>
      </c>
      <c r="C34" s="79" t="s">
        <v>601</v>
      </c>
      <c r="D34" s="82">
        <v>45810.0</v>
      </c>
      <c r="E34" s="79" t="s">
        <v>751</v>
      </c>
      <c r="F34" s="79" t="s">
        <v>752</v>
      </c>
      <c r="G34" s="79" t="s">
        <v>753</v>
      </c>
      <c r="H34" s="79" t="s">
        <v>754</v>
      </c>
      <c r="I34" s="85"/>
      <c r="J34" s="79" t="s">
        <v>755</v>
      </c>
      <c r="K34" s="87" t="s">
        <v>756</v>
      </c>
      <c r="L34" s="88"/>
      <c r="M34" s="98"/>
      <c r="N34" s="89"/>
      <c r="O34" s="79" t="b">
        <v>0</v>
      </c>
      <c r="P34" s="89"/>
      <c r="Q34" s="89"/>
    </row>
    <row r="35" ht="20.25" customHeight="1">
      <c r="A35" s="79" t="s">
        <v>621</v>
      </c>
      <c r="B35" s="79" t="s">
        <v>23</v>
      </c>
      <c r="C35" s="79" t="s">
        <v>601</v>
      </c>
      <c r="D35" s="82">
        <v>45806.0</v>
      </c>
      <c r="E35" s="79" t="s">
        <v>758</v>
      </c>
      <c r="F35" s="79" t="s">
        <v>759</v>
      </c>
      <c r="G35" s="79" t="s">
        <v>760</v>
      </c>
      <c r="H35" s="79" t="s">
        <v>761</v>
      </c>
      <c r="I35" s="85" t="s">
        <v>762</v>
      </c>
      <c r="J35" s="79" t="s">
        <v>763</v>
      </c>
      <c r="K35" s="87" t="s">
        <v>764</v>
      </c>
      <c r="L35" s="88"/>
      <c r="M35" s="98"/>
      <c r="N35" s="89"/>
      <c r="O35" s="79" t="b">
        <v>0</v>
      </c>
      <c r="P35" s="89"/>
      <c r="Q35" s="89"/>
    </row>
    <row r="36" ht="20.25" customHeight="1">
      <c r="A36" s="79" t="s">
        <v>621</v>
      </c>
      <c r="B36" s="79" t="s">
        <v>53</v>
      </c>
      <c r="C36" s="79" t="s">
        <v>601</v>
      </c>
      <c r="D36" s="82">
        <v>45805.0</v>
      </c>
      <c r="E36" s="79" t="s">
        <v>765</v>
      </c>
      <c r="F36" s="79" t="s">
        <v>766</v>
      </c>
      <c r="G36" s="79" t="s">
        <v>767</v>
      </c>
      <c r="H36" s="79" t="s">
        <v>768</v>
      </c>
      <c r="I36" s="85"/>
      <c r="J36" s="79" t="s">
        <v>769</v>
      </c>
      <c r="K36" s="87"/>
      <c r="L36" s="88"/>
      <c r="M36" s="98"/>
      <c r="N36" s="89"/>
      <c r="O36" s="79" t="b">
        <v>0</v>
      </c>
      <c r="P36" s="89"/>
      <c r="Q36" s="89"/>
    </row>
    <row r="37" ht="20.25" customHeight="1">
      <c r="A37" s="79" t="s">
        <v>621</v>
      </c>
      <c r="B37" s="79" t="s">
        <v>23</v>
      </c>
      <c r="C37" s="79" t="s">
        <v>601</v>
      </c>
      <c r="D37" s="82">
        <v>45799.0</v>
      </c>
      <c r="E37" s="79" t="s">
        <v>770</v>
      </c>
      <c r="F37" s="79" t="s">
        <v>771</v>
      </c>
      <c r="G37" s="79" t="s">
        <v>772</v>
      </c>
      <c r="H37" s="79" t="s">
        <v>773</v>
      </c>
      <c r="I37" s="85" t="s">
        <v>774</v>
      </c>
      <c r="J37" s="79" t="s">
        <v>775</v>
      </c>
      <c r="K37" s="87" t="s">
        <v>776</v>
      </c>
      <c r="L37" s="88"/>
      <c r="M37" s="98"/>
      <c r="N37" s="89"/>
      <c r="O37" s="79" t="b">
        <v>0</v>
      </c>
      <c r="P37" s="89"/>
      <c r="Q37" s="89"/>
    </row>
    <row r="38" ht="20.25" customHeight="1">
      <c r="A38" s="79" t="s">
        <v>621</v>
      </c>
      <c r="B38" s="79" t="s">
        <v>23</v>
      </c>
      <c r="C38" s="79" t="s">
        <v>601</v>
      </c>
      <c r="D38" s="82">
        <v>45799.0</v>
      </c>
      <c r="E38" s="79" t="s">
        <v>777</v>
      </c>
      <c r="F38" s="79" t="s">
        <v>778</v>
      </c>
      <c r="G38" s="79" t="s">
        <v>779</v>
      </c>
      <c r="H38" s="79"/>
      <c r="I38" s="85" t="s">
        <v>780</v>
      </c>
      <c r="J38" s="79" t="s">
        <v>781</v>
      </c>
      <c r="K38" s="87" t="s">
        <v>64</v>
      </c>
      <c r="L38" s="88"/>
      <c r="M38" s="98"/>
      <c r="N38" s="89"/>
      <c r="O38" s="79" t="b">
        <v>0</v>
      </c>
      <c r="P38" s="89"/>
      <c r="Q38" s="89"/>
    </row>
    <row r="39" ht="20.25" customHeight="1">
      <c r="A39" s="79" t="s">
        <v>621</v>
      </c>
      <c r="B39" s="79" t="s">
        <v>23</v>
      </c>
      <c r="C39" s="79" t="s">
        <v>601</v>
      </c>
      <c r="D39" s="82">
        <v>45799.0</v>
      </c>
      <c r="E39" s="79" t="s">
        <v>782</v>
      </c>
      <c r="F39" s="79" t="s">
        <v>783</v>
      </c>
      <c r="G39" s="79" t="s">
        <v>784</v>
      </c>
      <c r="H39" s="79" t="s">
        <v>785</v>
      </c>
      <c r="I39" s="85" t="s">
        <v>786</v>
      </c>
      <c r="J39" s="79" t="s">
        <v>787</v>
      </c>
      <c r="K39" s="87" t="s">
        <v>788</v>
      </c>
      <c r="L39" s="88"/>
      <c r="M39" s="98"/>
      <c r="N39" s="89"/>
      <c r="O39" s="79" t="b">
        <v>0</v>
      </c>
      <c r="P39" s="89"/>
      <c r="Q39" s="89"/>
    </row>
    <row r="40" ht="20.25" customHeight="1">
      <c r="A40" s="79" t="s">
        <v>789</v>
      </c>
      <c r="B40" s="79" t="s">
        <v>23</v>
      </c>
      <c r="C40" s="79" t="s">
        <v>601</v>
      </c>
      <c r="D40" s="82">
        <v>45910.0</v>
      </c>
      <c r="E40" s="79" t="s">
        <v>790</v>
      </c>
      <c r="F40" s="79" t="s">
        <v>791</v>
      </c>
      <c r="G40" s="79"/>
      <c r="H40" s="79" t="s">
        <v>792</v>
      </c>
      <c r="I40" s="85" t="s">
        <v>156</v>
      </c>
      <c r="J40" s="79" t="s">
        <v>793</v>
      </c>
      <c r="K40" s="87"/>
      <c r="L40" s="88"/>
      <c r="M40" s="98"/>
      <c r="N40" s="89"/>
      <c r="O40" s="79" t="b">
        <v>0</v>
      </c>
      <c r="P40" s="89"/>
      <c r="Q40" s="89"/>
    </row>
    <row r="41" ht="20.25" customHeight="1">
      <c r="A41" s="79" t="s">
        <v>794</v>
      </c>
      <c r="B41" s="79" t="s">
        <v>53</v>
      </c>
      <c r="C41" s="79" t="s">
        <v>601</v>
      </c>
      <c r="D41" s="82">
        <v>45918.0</v>
      </c>
      <c r="E41" s="79" t="s">
        <v>795</v>
      </c>
      <c r="F41" s="79" t="s">
        <v>797</v>
      </c>
      <c r="G41" s="79" t="s">
        <v>799</v>
      </c>
      <c r="H41" s="79"/>
      <c r="I41" s="85" t="s">
        <v>801</v>
      </c>
      <c r="J41" s="79" t="s">
        <v>802</v>
      </c>
      <c r="K41" s="87" t="s">
        <v>803</v>
      </c>
      <c r="L41" s="88"/>
      <c r="M41" s="98"/>
      <c r="N41" s="89"/>
      <c r="O41" s="79" t="b">
        <v>0</v>
      </c>
      <c r="P41" s="89"/>
      <c r="Q41" s="89"/>
    </row>
    <row r="42" ht="20.25" customHeight="1">
      <c r="A42" s="79" t="s">
        <v>805</v>
      </c>
      <c r="B42" s="79" t="s">
        <v>23</v>
      </c>
      <c r="C42" s="79" t="s">
        <v>601</v>
      </c>
      <c r="D42" s="82">
        <v>45856.0</v>
      </c>
      <c r="E42" s="79" t="s">
        <v>806</v>
      </c>
      <c r="F42" s="79" t="s">
        <v>807</v>
      </c>
      <c r="G42" s="79" t="s">
        <v>808</v>
      </c>
      <c r="H42" s="79" t="s">
        <v>809</v>
      </c>
      <c r="I42" s="85" t="s">
        <v>810</v>
      </c>
      <c r="J42" s="79" t="s">
        <v>811</v>
      </c>
      <c r="K42" s="87" t="s">
        <v>813</v>
      </c>
      <c r="L42" s="88"/>
      <c r="M42" s="98"/>
      <c r="N42" s="89"/>
      <c r="O42" s="79" t="b">
        <v>0</v>
      </c>
      <c r="P42" s="89"/>
      <c r="Q42" s="89"/>
    </row>
    <row r="43" ht="20.25" customHeight="1">
      <c r="A43" s="79" t="s">
        <v>815</v>
      </c>
      <c r="B43" s="79" t="s">
        <v>53</v>
      </c>
      <c r="C43" s="79" t="s">
        <v>601</v>
      </c>
      <c r="D43" s="82">
        <v>45985.0</v>
      </c>
      <c r="E43" s="79" t="s">
        <v>816</v>
      </c>
      <c r="F43" s="79" t="s">
        <v>817</v>
      </c>
      <c r="G43" s="79" t="s">
        <v>818</v>
      </c>
      <c r="H43" s="79" t="s">
        <v>819</v>
      </c>
      <c r="I43" s="85" t="s">
        <v>820</v>
      </c>
      <c r="J43" s="79" t="s">
        <v>821</v>
      </c>
      <c r="K43" s="87" t="s">
        <v>822</v>
      </c>
      <c r="L43" s="88"/>
      <c r="M43" s="98"/>
      <c r="N43" s="89"/>
      <c r="O43" s="79" t="b">
        <v>0</v>
      </c>
      <c r="P43" s="89"/>
      <c r="Q43" s="89"/>
    </row>
    <row r="44" ht="20.25" customHeight="1">
      <c r="A44" s="79" t="s">
        <v>0</v>
      </c>
      <c r="B44" s="79" t="s">
        <v>23</v>
      </c>
      <c r="C44" s="79" t="s">
        <v>601</v>
      </c>
      <c r="D44" s="82">
        <v>45939.0</v>
      </c>
      <c r="E44" s="79" t="s">
        <v>823</v>
      </c>
      <c r="F44" s="79" t="s">
        <v>824</v>
      </c>
      <c r="G44" s="79"/>
      <c r="H44" s="79" t="s">
        <v>825</v>
      </c>
      <c r="I44" s="85" t="s">
        <v>826</v>
      </c>
      <c r="J44" s="79" t="s">
        <v>827</v>
      </c>
      <c r="K44" s="87" t="s">
        <v>828</v>
      </c>
      <c r="L44" s="88"/>
      <c r="M44" s="98"/>
      <c r="N44" s="89"/>
      <c r="O44" s="79" t="b">
        <v>0</v>
      </c>
      <c r="P44" s="89"/>
      <c r="Q44" s="89"/>
    </row>
    <row r="45" ht="20.25" customHeight="1">
      <c r="A45" s="79" t="s">
        <v>22</v>
      </c>
      <c r="B45" s="79" t="s">
        <v>53</v>
      </c>
      <c r="C45" s="79" t="s">
        <v>360</v>
      </c>
      <c r="D45" s="82">
        <v>46100.0</v>
      </c>
      <c r="E45" s="79" t="s">
        <v>829</v>
      </c>
      <c r="F45" s="79" t="s">
        <v>830</v>
      </c>
      <c r="G45" s="79" t="s">
        <v>831</v>
      </c>
      <c r="H45" s="79" t="s">
        <v>832</v>
      </c>
      <c r="I45" s="85" t="s">
        <v>762</v>
      </c>
      <c r="J45" s="79" t="s">
        <v>833</v>
      </c>
      <c r="K45" s="87" t="s">
        <v>834</v>
      </c>
      <c r="L45" s="88"/>
      <c r="M45" s="98">
        <v>46107.76856340277</v>
      </c>
      <c r="N45" s="89"/>
      <c r="O45" s="79" t="b">
        <v>0</v>
      </c>
      <c r="P45" s="89"/>
      <c r="Q45" s="89"/>
    </row>
    <row r="46" ht="20.25" customHeight="1">
      <c r="A46" s="79" t="s">
        <v>18</v>
      </c>
      <c r="B46" s="79" t="s">
        <v>225</v>
      </c>
      <c r="C46" s="79" t="s">
        <v>360</v>
      </c>
      <c r="D46" s="82">
        <v>46048.0</v>
      </c>
      <c r="E46" s="79" t="s">
        <v>839</v>
      </c>
      <c r="F46" s="79" t="s">
        <v>840</v>
      </c>
      <c r="G46" s="79" t="s">
        <v>841</v>
      </c>
      <c r="H46" s="79" t="s">
        <v>842</v>
      </c>
      <c r="I46" s="85" t="s">
        <v>843</v>
      </c>
      <c r="J46" s="79" t="s">
        <v>844</v>
      </c>
      <c r="K46" s="87" t="s">
        <v>845</v>
      </c>
      <c r="L46" s="88"/>
      <c r="M46" s="98">
        <v>46092.92294700231</v>
      </c>
      <c r="N46" s="89"/>
      <c r="O46" s="79"/>
      <c r="P46" s="89" t="s">
        <v>406</v>
      </c>
      <c r="Q46" s="89"/>
    </row>
    <row r="47" ht="20.25" customHeight="1">
      <c r="A47" s="79" t="s">
        <v>22</v>
      </c>
      <c r="B47" s="79" t="s">
        <v>225</v>
      </c>
      <c r="C47" s="79" t="s">
        <v>360</v>
      </c>
      <c r="D47" s="82">
        <v>46091.0</v>
      </c>
      <c r="E47" s="79" t="s">
        <v>846</v>
      </c>
      <c r="F47" s="79" t="s">
        <v>847</v>
      </c>
      <c r="G47" s="79" t="s">
        <v>848</v>
      </c>
      <c r="H47" s="79" t="s">
        <v>849</v>
      </c>
      <c r="I47" s="85" t="s">
        <v>850</v>
      </c>
      <c r="J47" s="79" t="s">
        <v>851</v>
      </c>
      <c r="K47" s="87" t="s">
        <v>852</v>
      </c>
      <c r="L47" s="88"/>
      <c r="M47" s="98">
        <v>46091.96670868056</v>
      </c>
      <c r="N47" s="89"/>
      <c r="O47" s="79" t="b">
        <v>0</v>
      </c>
      <c r="P47" s="89"/>
      <c r="Q47" s="89"/>
    </row>
    <row r="48" ht="20.25" customHeight="1">
      <c r="A48" s="79" t="s">
        <v>62</v>
      </c>
      <c r="B48" s="79" t="s">
        <v>225</v>
      </c>
      <c r="C48" s="79" t="s">
        <v>360</v>
      </c>
      <c r="D48" s="82">
        <v>46086.0</v>
      </c>
      <c r="E48" s="79" t="s">
        <v>853</v>
      </c>
      <c r="F48" s="79" t="s">
        <v>854</v>
      </c>
      <c r="G48" s="79" t="s">
        <v>855</v>
      </c>
      <c r="H48" s="79" t="s">
        <v>856</v>
      </c>
      <c r="I48" s="85" t="s">
        <v>857</v>
      </c>
      <c r="J48" s="79" t="s">
        <v>858</v>
      </c>
      <c r="K48" s="87" t="s">
        <v>860</v>
      </c>
      <c r="L48" s="88"/>
      <c r="M48" s="98">
        <v>46122.729202939816</v>
      </c>
      <c r="N48" s="89"/>
      <c r="O48" s="79" t="b">
        <v>0</v>
      </c>
      <c r="P48" s="89"/>
      <c r="Q48" s="89"/>
    </row>
    <row r="49" ht="20.25" customHeight="1">
      <c r="A49" s="79" t="s">
        <v>0</v>
      </c>
      <c r="B49" s="79" t="s">
        <v>19</v>
      </c>
      <c r="C49" s="79" t="s">
        <v>601</v>
      </c>
      <c r="D49" s="79" t="s">
        <v>862</v>
      </c>
      <c r="E49" s="79" t="s">
        <v>863</v>
      </c>
      <c r="F49" s="79" t="s">
        <v>864</v>
      </c>
      <c r="G49" s="79"/>
      <c r="H49" s="79" t="s">
        <v>865</v>
      </c>
      <c r="I49" s="85" t="s">
        <v>167</v>
      </c>
      <c r="J49" s="79"/>
      <c r="K49" s="87" t="s">
        <v>866</v>
      </c>
      <c r="L49" s="88"/>
      <c r="M49" s="98"/>
      <c r="N49" s="89"/>
      <c r="O49" s="79" t="b">
        <v>0</v>
      </c>
      <c r="P49" s="89"/>
      <c r="Q49" s="89"/>
    </row>
    <row r="50" ht="20.25" customHeight="1">
      <c r="A50" s="79" t="s">
        <v>22</v>
      </c>
      <c r="B50" s="79" t="s">
        <v>225</v>
      </c>
      <c r="C50" s="79" t="s">
        <v>867</v>
      </c>
      <c r="D50" s="82">
        <v>46119.0</v>
      </c>
      <c r="E50" s="79" t="s">
        <v>868</v>
      </c>
      <c r="F50" s="79" t="s">
        <v>869</v>
      </c>
      <c r="G50" s="79" t="s">
        <v>870</v>
      </c>
      <c r="H50" s="79" t="s">
        <v>871</v>
      </c>
      <c r="I50" s="85" t="s">
        <v>872</v>
      </c>
      <c r="J50" s="79" t="s">
        <v>873</v>
      </c>
      <c r="K50" s="87" t="s">
        <v>874</v>
      </c>
      <c r="L50" s="88"/>
      <c r="M50" s="98">
        <v>46125.91252359954</v>
      </c>
      <c r="N50" s="89"/>
      <c r="O50" s="79" t="b">
        <v>0</v>
      </c>
      <c r="P50" s="89"/>
      <c r="Q50" s="89"/>
    </row>
    <row r="51" ht="20.25" customHeight="1">
      <c r="A51" s="171" t="s">
        <v>62</v>
      </c>
      <c r="B51" s="79" t="s">
        <v>23</v>
      </c>
      <c r="C51" s="79" t="s">
        <v>360</v>
      </c>
      <c r="D51" s="174">
        <v>46139.0</v>
      </c>
      <c r="E51" s="79" t="s">
        <v>888</v>
      </c>
      <c r="F51" s="79" t="s">
        <v>889</v>
      </c>
      <c r="G51" s="79" t="s">
        <v>890</v>
      </c>
      <c r="H51" s="79" t="s">
        <v>891</v>
      </c>
      <c r="I51" s="182" t="str">
        <f>HYPERLINK("https://calendar.google.com/calendar/u/0/r/eventedit/NDBqMTJqbWVlNjl2a3J0c3NxczE2NGZsNm8gYzM5ZjIxNjY2YTJjNzBkNjQ0MDI0YmQyOWM3ZmM5ODM3OTY2MmY3OTJlNWEwNDdjZGIzNTdhNDJiM2M1N2QwNEBn?pli=1", "Thu 9:00 PM")
</f>
        <v>Thu 9:00 PM</v>
      </c>
      <c r="J51" s="79" t="s">
        <v>892</v>
      </c>
      <c r="K51" s="79" t="s">
        <v>894</v>
      </c>
      <c r="L51" s="184"/>
      <c r="M51" s="82">
        <v>46142.88725385416</v>
      </c>
      <c r="N51" s="185"/>
      <c r="O51" s="186" t="b">
        <v>0</v>
      </c>
      <c r="P51" s="91"/>
      <c r="Q51" s="89">
        <v>1.568248581E9</v>
      </c>
    </row>
    <row r="52" ht="20.25" customHeight="1">
      <c r="A52" s="171" t="s">
        <v>906</v>
      </c>
      <c r="B52" s="79" t="s">
        <v>225</v>
      </c>
      <c r="C52" s="79" t="s">
        <v>360</v>
      </c>
      <c r="D52" s="82">
        <v>46162.0</v>
      </c>
      <c r="E52" s="79" t="s">
        <v>911</v>
      </c>
      <c r="F52" s="79" t="s">
        <v>912</v>
      </c>
      <c r="G52" s="79" t="s">
        <v>913</v>
      </c>
      <c r="H52" s="79" t="s">
        <v>914</v>
      </c>
      <c r="I52" s="188" t="s">
        <v>613</v>
      </c>
      <c r="J52" s="79" t="s">
        <v>921</v>
      </c>
      <c r="K52" s="79"/>
      <c r="L52" s="184"/>
      <c r="M52" s="82"/>
      <c r="N52" s="185"/>
      <c r="O52" s="186"/>
      <c r="P52" s="91"/>
      <c r="Q52" s="91"/>
    </row>
    <row r="53" ht="20.25" customHeight="1">
      <c r="A53" s="171" t="s">
        <v>22</v>
      </c>
      <c r="B53" s="79" t="s">
        <v>19</v>
      </c>
      <c r="C53" s="79" t="s">
        <v>360</v>
      </c>
      <c r="D53" s="82">
        <v>46044.0</v>
      </c>
      <c r="E53" s="79" t="s">
        <v>931</v>
      </c>
      <c r="F53" s="79" t="s">
        <v>933</v>
      </c>
      <c r="G53" s="79" t="s">
        <v>935</v>
      </c>
      <c r="H53" s="79" t="s">
        <v>937</v>
      </c>
      <c r="I53" s="188" t="s">
        <v>939</v>
      </c>
      <c r="J53" s="79" t="s">
        <v>941</v>
      </c>
      <c r="K53" s="79" t="s">
        <v>944</v>
      </c>
      <c r="L53" s="184"/>
      <c r="M53" s="189">
        <v>46183.89279131945</v>
      </c>
      <c r="N53" s="185"/>
      <c r="O53" s="79" t="b">
        <v>0</v>
      </c>
      <c r="P53" s="91"/>
      <c r="Q53" s="89" t="s">
        <v>954</v>
      </c>
    </row>
    <row r="54" ht="20.25" customHeight="1">
      <c r="A54" s="171" t="s">
        <v>17</v>
      </c>
      <c r="B54" s="79" t="s">
        <v>225</v>
      </c>
      <c r="C54" s="79" t="s">
        <v>360</v>
      </c>
      <c r="D54" s="82">
        <v>46163.0</v>
      </c>
      <c r="E54" s="79" t="s">
        <v>961</v>
      </c>
      <c r="F54" s="79" t="s">
        <v>963</v>
      </c>
      <c r="G54" s="79" t="s">
        <v>965</v>
      </c>
      <c r="H54" s="79" t="s">
        <v>966</v>
      </c>
      <c r="I54" s="188" t="s">
        <v>686</v>
      </c>
      <c r="J54" s="79" t="s">
        <v>968</v>
      </c>
      <c r="K54" s="79" t="s">
        <v>971</v>
      </c>
      <c r="L54" s="184"/>
      <c r="M54" s="189">
        <v>46164.89294755787</v>
      </c>
      <c r="N54" s="185"/>
      <c r="O54" s="79"/>
      <c r="P54" s="91"/>
      <c r="Q54" s="89"/>
    </row>
    <row r="55" ht="20.25" customHeight="1">
      <c r="A55" s="171" t="s">
        <v>906</v>
      </c>
      <c r="B55" s="79" t="s">
        <v>53</v>
      </c>
      <c r="C55" s="79" t="s">
        <v>360</v>
      </c>
      <c r="D55" s="82">
        <v>46181.0</v>
      </c>
      <c r="E55" s="79" t="s">
        <v>983</v>
      </c>
      <c r="F55" s="79" t="s">
        <v>984</v>
      </c>
      <c r="G55" s="79" t="s">
        <v>985</v>
      </c>
      <c r="H55" s="79" t="s">
        <v>987</v>
      </c>
      <c r="I55" s="188" t="s">
        <v>497</v>
      </c>
      <c r="J55" s="79" t="s">
        <v>993</v>
      </c>
      <c r="K55" s="79"/>
      <c r="L55" s="184"/>
      <c r="M55" s="189"/>
      <c r="N55" s="185"/>
      <c r="O55" s="79"/>
      <c r="P55" s="91"/>
      <c r="Q55" s="89"/>
    </row>
    <row r="56" ht="20.25" customHeight="1">
      <c r="A56" s="171" t="s">
        <v>17</v>
      </c>
      <c r="B56" s="79" t="s">
        <v>225</v>
      </c>
      <c r="C56" s="79" t="s">
        <v>360</v>
      </c>
      <c r="D56" s="82">
        <v>46083.0</v>
      </c>
      <c r="E56" s="79" t="s">
        <v>1002</v>
      </c>
      <c r="F56" s="79" t="s">
        <v>1003</v>
      </c>
      <c r="G56" s="79" t="s">
        <v>1004</v>
      </c>
      <c r="H56" s="79" t="s">
        <v>1005</v>
      </c>
      <c r="I56" s="188" t="s">
        <v>1006</v>
      </c>
      <c r="J56" s="79" t="s">
        <v>1008</v>
      </c>
      <c r="K56" s="79" t="s">
        <v>1010</v>
      </c>
      <c r="L56" s="184"/>
      <c r="M56" s="189">
        <v>46183.85712800926</v>
      </c>
      <c r="N56" s="185"/>
      <c r="O56" s="79" t="b">
        <v>0</v>
      </c>
      <c r="P56" s="91"/>
      <c r="Q56" s="89"/>
    </row>
    <row r="57" ht="20.25" customHeight="1">
      <c r="A57" s="171" t="s">
        <v>62</v>
      </c>
      <c r="B57" s="79" t="s">
        <v>225</v>
      </c>
      <c r="C57" s="79" t="s">
        <v>360</v>
      </c>
      <c r="D57" s="82">
        <v>46045.0</v>
      </c>
      <c r="E57" s="79" t="s">
        <v>1025</v>
      </c>
      <c r="F57" s="79" t="s">
        <v>1026</v>
      </c>
      <c r="G57" s="79" t="s">
        <v>1027</v>
      </c>
      <c r="H57" s="79" t="s">
        <v>1028</v>
      </c>
      <c r="I57" s="188" t="s">
        <v>1029</v>
      </c>
      <c r="J57" s="79" t="s">
        <v>1030</v>
      </c>
      <c r="K57" s="79" t="s">
        <v>1031</v>
      </c>
      <c r="L57" s="184"/>
      <c r="M57" s="189">
        <v>46084.91987694445</v>
      </c>
      <c r="N57" s="185"/>
      <c r="O57" s="79" t="b">
        <v>0</v>
      </c>
      <c r="P57" s="91"/>
      <c r="Q57" s="89"/>
    </row>
    <row r="58" ht="20.25" customHeight="1">
      <c r="A58" s="171" t="s">
        <v>17</v>
      </c>
      <c r="B58" s="79" t="s">
        <v>225</v>
      </c>
      <c r="C58" s="79" t="s">
        <v>360</v>
      </c>
      <c r="D58" s="82">
        <v>46182.0</v>
      </c>
      <c r="E58" s="79" t="s">
        <v>1049</v>
      </c>
      <c r="F58" s="79" t="s">
        <v>1050</v>
      </c>
      <c r="G58" s="79" t="s">
        <v>238</v>
      </c>
      <c r="H58" s="79" t="s">
        <v>238</v>
      </c>
      <c r="I58" s="188" t="s">
        <v>238</v>
      </c>
      <c r="J58" s="79" t="s">
        <v>1053</v>
      </c>
      <c r="K58" s="79"/>
      <c r="L58" s="184"/>
      <c r="M58" s="189"/>
      <c r="N58" s="185"/>
      <c r="O58" s="79"/>
      <c r="P58" s="91"/>
      <c r="Q58" s="89"/>
    </row>
    <row r="59" ht="20.25" customHeight="1">
      <c r="A59" s="171" t="s">
        <v>62</v>
      </c>
      <c r="B59" s="79" t="s">
        <v>225</v>
      </c>
      <c r="C59" s="79" t="s">
        <v>360</v>
      </c>
      <c r="D59" s="82">
        <v>46140.0</v>
      </c>
      <c r="E59" s="79" t="s">
        <v>1055</v>
      </c>
      <c r="F59" s="79" t="s">
        <v>1056</v>
      </c>
      <c r="G59" s="79" t="s">
        <v>1057</v>
      </c>
      <c r="H59" s="79" t="s">
        <v>1058</v>
      </c>
      <c r="I59" s="188" t="s">
        <v>1059</v>
      </c>
      <c r="J59" s="79" t="s">
        <v>1060</v>
      </c>
      <c r="K59" s="79" t="s">
        <v>1061</v>
      </c>
      <c r="L59" s="184"/>
      <c r="M59" s="189">
        <v>46157.847040636574</v>
      </c>
      <c r="N59" s="185"/>
      <c r="O59" s="79" t="b">
        <v>0</v>
      </c>
      <c r="P59" s="91"/>
      <c r="Q59" s="89"/>
    </row>
    <row r="60" ht="20.25" customHeight="1">
      <c r="A60" s="171" t="s">
        <v>62</v>
      </c>
      <c r="B60" s="79" t="s">
        <v>225</v>
      </c>
      <c r="C60" s="79" t="s">
        <v>360</v>
      </c>
      <c r="D60" s="82">
        <v>46108.0</v>
      </c>
      <c r="E60" s="79" t="s">
        <v>1071</v>
      </c>
      <c r="F60" s="79" t="s">
        <v>1072</v>
      </c>
      <c r="G60" s="79" t="s">
        <v>1073</v>
      </c>
      <c r="H60" s="79" t="s">
        <v>1075</v>
      </c>
      <c r="I60" s="188" t="s">
        <v>1076</v>
      </c>
      <c r="J60" s="79" t="s">
        <v>1077</v>
      </c>
      <c r="K60" s="79" t="s">
        <v>1078</v>
      </c>
      <c r="L60" s="184"/>
      <c r="M60" s="189">
        <v>46183.94872825232</v>
      </c>
      <c r="N60" s="185"/>
      <c r="O60" s="79" t="b">
        <v>0</v>
      </c>
      <c r="P60" s="91"/>
      <c r="Q60" s="89" t="s">
        <v>845</v>
      </c>
    </row>
    <row r="61" ht="20.25" customHeight="1">
      <c r="A61" s="171" t="s">
        <v>17</v>
      </c>
      <c r="B61" s="79" t="s">
        <v>225</v>
      </c>
      <c r="C61" s="79" t="s">
        <v>360</v>
      </c>
      <c r="D61" s="82">
        <v>46112.0</v>
      </c>
      <c r="E61" s="79" t="s">
        <v>1082</v>
      </c>
      <c r="F61" s="79" t="s">
        <v>1084</v>
      </c>
      <c r="G61" s="79" t="s">
        <v>1086</v>
      </c>
      <c r="H61" s="79" t="s">
        <v>1087</v>
      </c>
      <c r="I61" s="188" t="s">
        <v>1089</v>
      </c>
      <c r="J61" s="79"/>
      <c r="K61" s="79" t="s">
        <v>1091</v>
      </c>
      <c r="L61" s="184"/>
      <c r="M61" s="189">
        <v>46183.85754236111</v>
      </c>
      <c r="N61" s="185"/>
      <c r="O61" s="79" t="b">
        <v>0</v>
      </c>
      <c r="P61" s="91"/>
      <c r="Q61" s="89"/>
    </row>
    <row r="62" ht="20.25" customHeight="1">
      <c r="A62" s="171" t="s">
        <v>62</v>
      </c>
      <c r="B62" s="79" t="s">
        <v>225</v>
      </c>
      <c r="C62" s="79" t="s">
        <v>360</v>
      </c>
      <c r="D62" s="82">
        <v>46070.0</v>
      </c>
      <c r="E62" s="79" t="s">
        <v>1095</v>
      </c>
      <c r="F62" s="79" t="s">
        <v>1096</v>
      </c>
      <c r="G62" s="79" t="s">
        <v>1097</v>
      </c>
      <c r="H62" s="79" t="s">
        <v>1098</v>
      </c>
      <c r="I62" s="188" t="s">
        <v>1100</v>
      </c>
      <c r="J62" s="79" t="s">
        <v>1102</v>
      </c>
      <c r="K62" s="79" t="s">
        <v>1104</v>
      </c>
      <c r="L62" s="184"/>
      <c r="M62" s="189">
        <v>46078.90377420139</v>
      </c>
      <c r="N62" s="185"/>
      <c r="O62" s="79" t="b">
        <v>0</v>
      </c>
      <c r="P62" s="91"/>
      <c r="Q62" s="89"/>
    </row>
    <row r="63" ht="20.25" customHeight="1">
      <c r="A63" s="171" t="s">
        <v>62</v>
      </c>
      <c r="B63" s="79" t="s">
        <v>225</v>
      </c>
      <c r="C63" s="79" t="s">
        <v>360</v>
      </c>
      <c r="D63" s="82">
        <v>46083.0</v>
      </c>
      <c r="E63" s="79" t="s">
        <v>1109</v>
      </c>
      <c r="F63" s="79" t="s">
        <v>1110</v>
      </c>
      <c r="G63" s="79" t="s">
        <v>1111</v>
      </c>
      <c r="H63" s="79" t="s">
        <v>1113</v>
      </c>
      <c r="I63" s="188" t="s">
        <v>1116</v>
      </c>
      <c r="J63" s="79" t="s">
        <v>1117</v>
      </c>
      <c r="K63" s="79" t="s">
        <v>1120</v>
      </c>
      <c r="L63" s="184"/>
      <c r="M63" s="189">
        <v>46141.889146180554</v>
      </c>
      <c r="N63" s="185"/>
      <c r="O63" s="79" t="b">
        <v>0</v>
      </c>
      <c r="P63" s="91"/>
      <c r="Q63" s="89"/>
    </row>
    <row r="64" ht="20.25" customHeight="1">
      <c r="A64" s="171" t="s">
        <v>62</v>
      </c>
      <c r="B64" s="79" t="s">
        <v>225</v>
      </c>
      <c r="C64" s="79" t="s">
        <v>360</v>
      </c>
      <c r="D64" s="82">
        <v>46070.0</v>
      </c>
      <c r="E64" s="79" t="s">
        <v>1127</v>
      </c>
      <c r="F64" s="79" t="s">
        <v>1129</v>
      </c>
      <c r="G64" s="79" t="s">
        <v>1130</v>
      </c>
      <c r="H64" s="79" t="s">
        <v>1131</v>
      </c>
      <c r="I64" s="188" t="s">
        <v>1132</v>
      </c>
      <c r="J64" s="79" t="s">
        <v>1134</v>
      </c>
      <c r="K64" s="79" t="s">
        <v>1135</v>
      </c>
      <c r="L64" s="184"/>
      <c r="M64" s="189">
        <v>46079.758593900464</v>
      </c>
      <c r="N64" s="185"/>
      <c r="O64" s="79" t="b">
        <v>0</v>
      </c>
      <c r="P64" s="91"/>
      <c r="Q64" s="89"/>
    </row>
    <row r="65" ht="20.25" customHeight="1">
      <c r="A65" s="215" t="s">
        <v>17</v>
      </c>
      <c r="B65" s="217" t="s">
        <v>225</v>
      </c>
      <c r="C65" s="217" t="s">
        <v>360</v>
      </c>
      <c r="D65" s="220">
        <v>46202.0</v>
      </c>
      <c r="E65" s="217" t="s">
        <v>1158</v>
      </c>
      <c r="F65" s="217" t="s">
        <v>1159</v>
      </c>
      <c r="G65" s="217" t="s">
        <v>1160</v>
      </c>
      <c r="H65" s="217" t="s">
        <v>1162</v>
      </c>
      <c r="I65" s="223" t="s">
        <v>843</v>
      </c>
      <c r="J65" s="217" t="s">
        <v>1169</v>
      </c>
      <c r="K65" s="217"/>
      <c r="L65" s="226"/>
      <c r="M65" s="228"/>
      <c r="N65" s="232"/>
      <c r="O65" s="217"/>
      <c r="P65" s="92"/>
      <c r="Q65" s="95"/>
    </row>
    <row r="66" ht="20.25" customHeight="1">
      <c r="A66" s="171" t="s">
        <v>155</v>
      </c>
      <c r="B66" s="79" t="s">
        <v>23</v>
      </c>
      <c r="C66" s="79" t="s">
        <v>360</v>
      </c>
      <c r="D66" s="82">
        <v>46232.0</v>
      </c>
      <c r="E66" s="79" t="s">
        <v>1187</v>
      </c>
      <c r="F66" s="79" t="s">
        <v>1190</v>
      </c>
      <c r="G66" s="79" t="s">
        <v>1192</v>
      </c>
      <c r="H66" s="79" t="s">
        <v>1195</v>
      </c>
      <c r="I66" s="188" t="s">
        <v>590</v>
      </c>
      <c r="J66" s="79" t="s">
        <v>1197</v>
      </c>
      <c r="K66" s="79" t="s">
        <v>1198</v>
      </c>
      <c r="L66" s="184"/>
      <c r="M66" s="189">
        <v>46238.81374267361</v>
      </c>
      <c r="N66" s="185"/>
      <c r="O66" s="79"/>
      <c r="P66" s="91"/>
      <c r="Q66" s="89">
        <v>1.053122267E9</v>
      </c>
    </row>
    <row r="67" ht="20.25" customHeight="1">
      <c r="A67" s="171" t="s">
        <v>155</v>
      </c>
      <c r="B67" s="79" t="s">
        <v>25</v>
      </c>
      <c r="C67" s="79" t="s">
        <v>601</v>
      </c>
      <c r="D67" s="82">
        <v>46238.0</v>
      </c>
      <c r="E67" s="79" t="s">
        <v>1207</v>
      </c>
      <c r="F67" s="79" t="s">
        <v>1208</v>
      </c>
      <c r="G67" s="79" t="s">
        <v>1209</v>
      </c>
      <c r="H67" s="79" t="s">
        <v>1210</v>
      </c>
      <c r="I67" s="188" t="s">
        <v>140</v>
      </c>
      <c r="J67" s="79" t="s">
        <v>1213</v>
      </c>
      <c r="K67" s="79"/>
      <c r="L67" s="184"/>
      <c r="M67" s="189"/>
      <c r="N67" s="185"/>
      <c r="O67" s="79"/>
      <c r="P67" s="91"/>
      <c r="Q67" s="89"/>
    </row>
    <row r="68" ht="20.25" customHeight="1">
      <c r="A68" s="171" t="s">
        <v>22</v>
      </c>
      <c r="B68" s="79" t="s">
        <v>23</v>
      </c>
      <c r="C68" s="79" t="s">
        <v>601</v>
      </c>
      <c r="D68" s="82">
        <v>46240.0</v>
      </c>
      <c r="E68" s="79" t="s">
        <v>1227</v>
      </c>
      <c r="F68" s="79" t="s">
        <v>1229</v>
      </c>
      <c r="G68" s="79" t="s">
        <v>1230</v>
      </c>
      <c r="H68" s="79" t="s">
        <v>1231</v>
      </c>
      <c r="I68" s="188" t="s">
        <v>90</v>
      </c>
      <c r="J68" s="79" t="s">
        <v>1233</v>
      </c>
      <c r="K68" s="79" t="s">
        <v>1235</v>
      </c>
      <c r="L68" s="184"/>
      <c r="M68" s="189">
        <v>46251.71593048611</v>
      </c>
      <c r="N68" s="185"/>
      <c r="O68" s="79"/>
      <c r="P68" s="91"/>
      <c r="Q68" s="89">
        <v>1.417816737E9</v>
      </c>
    </row>
    <row r="69" ht="20.25" customHeight="1">
      <c r="A69" s="171" t="s">
        <v>18</v>
      </c>
      <c r="B69" s="79" t="s">
        <v>251</v>
      </c>
      <c r="C69" s="79" t="s">
        <v>222</v>
      </c>
      <c r="D69" s="82">
        <v>46244.0</v>
      </c>
      <c r="E69" s="79" t="s">
        <v>1251</v>
      </c>
      <c r="F69" s="79" t="s">
        <v>1252</v>
      </c>
      <c r="G69" s="79" t="s">
        <v>1255</v>
      </c>
      <c r="H69" s="79" t="s">
        <v>1258</v>
      </c>
      <c r="I69" s="188" t="s">
        <v>1259</v>
      </c>
      <c r="J69" s="79" t="s">
        <v>1260</v>
      </c>
      <c r="K69" s="79"/>
      <c r="L69" s="184"/>
      <c r="M69" s="189"/>
      <c r="N69" s="185"/>
      <c r="O69" s="79"/>
      <c r="P69" s="91"/>
      <c r="Q69" s="89">
        <v>1.578059283E9</v>
      </c>
    </row>
  </sheetData>
  <customSheetViews>
    <customSheetView guid="{7640BF70-1596-47DD-944E-658DB4B9989D}" filter="1" showAutoFilter="1">
      <autoFilter ref="$A$1:$P$1">
        <filterColumn colId="1">
          <filters/>
        </filterColumn>
      </autoFilter>
    </customSheetView>
    <customSheetView guid="{AA11B3EB-7166-429A-9C9E-A7F2D10587B6}" filter="1" showAutoFilter="1">
      <autoFilter ref="$A$1:$P$1">
        <filterColumn colId="1">
          <filters/>
        </filterColumn>
      </autoFilter>
    </customSheetView>
    <customSheetView guid="{34D72827-1C41-4DA6-AE21-43468FDAB35C}" filter="1" showAutoFilter="1">
      <autoFilter ref="$A$1:$P$1">
        <filterColumn colId="1">
          <filters/>
        </filterColumn>
      </autoFilter>
    </customSheetView>
    <customSheetView guid="{EFB21323-95C1-45BD-9E8A-755BDF45AF62}" filter="1" showAutoFilter="1">
      <autoFilter ref="$A$1:$P$1">
        <filterColumn colId="1">
          <filters/>
        </filterColumn>
      </autoFilter>
    </customSheetView>
  </customSheetViews>
  <conditionalFormatting sqref="A51:Q69">
    <cfRule type="expression" dxfId="9" priority="1">
      <formula>$C51="Hold"</formula>
    </cfRule>
  </conditionalFormatting>
  <conditionalFormatting sqref="A51:Q69">
    <cfRule type="expression" dxfId="8" priority="2">
      <formula>OR($C51="Invoice Sent", $C51="Trial Sent")</formula>
    </cfRule>
  </conditionalFormatting>
  <conditionalFormatting sqref="A51:P69">
    <cfRule type="expression" dxfId="7" priority="3">
      <formula>$C51="Onboarded"</formula>
    </cfRule>
  </conditionalFormatting>
  <conditionalFormatting sqref="A51:P69">
    <cfRule type="expression" dxfId="6" priority="4">
      <formula>OR($C51="DNC", $C51="NI", $C51="No Medicare")</formula>
    </cfRule>
  </conditionalFormatting>
  <conditionalFormatting sqref="A51:P69">
    <cfRule type="expression" dxfId="5" priority="5">
      <formula>OR($C51="NOT READY", $C51="No - Show / Callback", $C51="Pending Medicare", $C51="Inactive License")</formula>
    </cfRule>
  </conditionalFormatting>
  <conditionalFormatting sqref="A51:P69">
    <cfRule type="expression" dxfId="4" priority="6">
      <formula>OR($C51="Follow Up", $C51="Contract Sent")</formula>
    </cfRule>
  </conditionalFormatting>
  <conditionalFormatting sqref="A1:Q50 A52:Q174">
    <cfRule type="expression" dxfId="4" priority="7" stopIfTrue="1">
      <formula>OR($C1="Follow Up", $C1="Contract Sent")</formula>
    </cfRule>
  </conditionalFormatting>
  <conditionalFormatting sqref="A1:Q50 A52:Q174">
    <cfRule type="expression" dxfId="5" priority="8" stopIfTrue="1">
      <formula>OR($C1="NOT READY", $C1="No - Show / Callback", $C1="Pending Medicare", $C1="Inactive License")</formula>
    </cfRule>
  </conditionalFormatting>
  <conditionalFormatting sqref="A1:Q50 A52:Q174">
    <cfRule type="expression" dxfId="6" priority="9" stopIfTrue="1">
      <formula>OR($C1="DNC", $C1="NI", $C1="No Medicare")</formula>
    </cfRule>
  </conditionalFormatting>
  <conditionalFormatting sqref="A1:Q50 A52:Q174">
    <cfRule type="expression" dxfId="7" priority="10" stopIfTrue="1">
      <formula>$C1="Onboarded"</formula>
    </cfRule>
  </conditionalFormatting>
  <conditionalFormatting sqref="A1:Q50 A52:Q174">
    <cfRule type="expression" dxfId="8" priority="11" stopIfTrue="1">
      <formula>OR($C1="Invoice Sent", $C1="Trial Sent")</formula>
    </cfRule>
  </conditionalFormatting>
  <conditionalFormatting sqref="A1:Q50 A52:Q174">
    <cfRule type="expression" dxfId="9" priority="12" stopIfTrue="1">
      <formula>$C1="Hold"</formula>
    </cfRule>
  </conditionalFormatting>
  <dataValidations>
    <dataValidation type="list" allowBlank="1" showErrorMessage="1" sqref="B2:B69">
      <formula1>"Ben,George,Jane,Jimmy,Selene,Jasmine,Nora"</formula1>
    </dataValidation>
    <dataValidation type="list" allowBlank="1" showErrorMessage="1" sqref="A2:A50">
      <formula1>"Campaigns,CGM,CGM+Lymph W,Claims,Food delivery,Home Improvement,Lymphadema,MVA Claims,ORT,ORT + Lymphedema,ORT+CGM,ORT+CGM+LYMPH W,RE,Solar,SUB,Vacation DNC Camapign"</formula1>
    </dataValidation>
    <dataValidation type="list" allowBlank="1" showErrorMessage="1" sqref="C2:C69">
      <formula1>Settings!$A$1:$A69</formula1>
    </dataValidation>
    <dataValidation type="list" allowBlank="1" showErrorMessage="1" sqref="A51:A69">
      <formula1>"Auto Insurance,Campaigns,CGM,CGM+Lymph W,Home Improvement,Hospitality,IMMUNE,Logistics,Lymphadema,ORT,ORT + Lymphedema,ORT+CGM,ORT+CGM+LYMPH W,RE,SUB,DME &amp; LAB,PPO,DMEDESK"</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17.0"/>
    <col customWidth="1" min="3" max="3" width="28.13"/>
    <col customWidth="1" min="4" max="4" width="13.5"/>
    <col customWidth="1" min="5" max="5" width="42.38"/>
    <col customWidth="1" min="6" max="6" width="39.13"/>
    <col customWidth="1" min="7" max="7" width="18.25"/>
    <col customWidth="1" min="8" max="8" width="26.5"/>
    <col customWidth="1" min="9" max="9" width="15.25"/>
    <col customWidth="1" min="10" max="10" width="33.88"/>
    <col customWidth="1" min="11" max="11" width="23.63"/>
    <col customWidth="1" hidden="1" min="12" max="12" width="25.0"/>
    <col hidden="1" min="14" max="16" width="12.63"/>
  </cols>
  <sheetData>
    <row r="1" ht="38.25" customHeight="1">
      <c r="A1" s="2" t="s">
        <v>0</v>
      </c>
      <c r="B1" s="2" t="s">
        <v>1</v>
      </c>
      <c r="C1" s="3" t="s">
        <v>2</v>
      </c>
      <c r="D1" s="3" t="s">
        <v>3</v>
      </c>
      <c r="E1" s="3" t="s">
        <v>4</v>
      </c>
      <c r="F1" s="3" t="s">
        <v>5</v>
      </c>
      <c r="G1" s="4" t="s">
        <v>6</v>
      </c>
      <c r="H1" s="3" t="s">
        <v>7</v>
      </c>
      <c r="I1" s="3" t="s">
        <v>8</v>
      </c>
      <c r="J1" s="163" t="s">
        <v>9</v>
      </c>
      <c r="K1" s="163" t="s">
        <v>10</v>
      </c>
      <c r="L1" s="165" t="s">
        <v>11</v>
      </c>
      <c r="M1" s="2" t="s">
        <v>12</v>
      </c>
      <c r="N1" s="3" t="s">
        <v>13</v>
      </c>
      <c r="O1" s="2" t="s">
        <v>14</v>
      </c>
      <c r="P1" s="7" t="s">
        <v>15</v>
      </c>
      <c r="Q1" s="7" t="s">
        <v>16</v>
      </c>
      <c r="R1" s="7"/>
      <c r="S1" s="7"/>
    </row>
    <row r="2" ht="18.75" customHeight="1">
      <c r="A2" s="13" t="s">
        <v>17</v>
      </c>
      <c r="B2" s="8" t="s">
        <v>53</v>
      </c>
      <c r="C2" s="8" t="s">
        <v>876</v>
      </c>
      <c r="D2" s="169">
        <v>45701.0</v>
      </c>
      <c r="E2" s="8" t="s">
        <v>880</v>
      </c>
      <c r="F2" s="8" t="s">
        <v>881</v>
      </c>
      <c r="G2" s="8" t="s">
        <v>882</v>
      </c>
      <c r="H2" s="8"/>
      <c r="I2" s="21" t="s">
        <v>268</v>
      </c>
      <c r="J2" s="8" t="s">
        <v>884</v>
      </c>
      <c r="K2" s="33" t="s">
        <v>885</v>
      </c>
      <c r="L2" s="173"/>
      <c r="M2" s="176"/>
      <c r="N2" s="8"/>
      <c r="O2" s="106"/>
      <c r="P2" s="178"/>
      <c r="Q2" s="180">
        <v>1.013790195E9</v>
      </c>
      <c r="R2" s="180"/>
      <c r="S2" s="180"/>
    </row>
    <row r="3" ht="18.75" customHeight="1">
      <c r="A3" s="8" t="s">
        <v>17</v>
      </c>
      <c r="B3" s="8"/>
      <c r="C3" s="8" t="s">
        <v>876</v>
      </c>
      <c r="D3" s="169"/>
      <c r="E3" s="8" t="s">
        <v>893</v>
      </c>
      <c r="F3" s="8" t="s">
        <v>895</v>
      </c>
      <c r="G3" s="8"/>
      <c r="H3" s="8"/>
      <c r="I3" s="21"/>
      <c r="J3" s="8"/>
      <c r="K3" s="33"/>
      <c r="L3" s="173"/>
      <c r="M3" s="50"/>
      <c r="N3" s="8"/>
      <c r="O3" s="106"/>
      <c r="P3" s="178"/>
      <c r="Q3" s="180">
        <v>1.114282688E9</v>
      </c>
      <c r="R3" s="180"/>
      <c r="S3" s="180"/>
    </row>
    <row r="4" ht="18.75" customHeight="1">
      <c r="A4" s="8" t="s">
        <v>17</v>
      </c>
      <c r="B4" s="8"/>
      <c r="C4" s="8" t="s">
        <v>876</v>
      </c>
      <c r="D4" s="169"/>
      <c r="E4" s="8" t="s">
        <v>902</v>
      </c>
      <c r="F4" s="8" t="s">
        <v>903</v>
      </c>
      <c r="G4" s="8"/>
      <c r="H4" s="8"/>
      <c r="I4" s="21"/>
      <c r="J4" s="8"/>
      <c r="K4" s="33"/>
      <c r="L4" s="173"/>
      <c r="M4" s="50"/>
      <c r="N4" s="8"/>
      <c r="O4" s="106"/>
      <c r="P4" s="178"/>
      <c r="Q4" s="180">
        <v>1.134620537E9</v>
      </c>
      <c r="R4" s="180"/>
      <c r="S4" s="180"/>
    </row>
    <row r="5" ht="18.75" customHeight="1">
      <c r="A5" s="13" t="s">
        <v>22</v>
      </c>
      <c r="B5" s="8" t="s">
        <v>19</v>
      </c>
      <c r="C5" s="8" t="s">
        <v>876</v>
      </c>
      <c r="D5" s="169">
        <v>45707.0</v>
      </c>
      <c r="E5" s="8" t="s">
        <v>915</v>
      </c>
      <c r="F5" s="8" t="s">
        <v>916</v>
      </c>
      <c r="G5" s="8" t="s">
        <v>917</v>
      </c>
      <c r="H5" s="8">
        <v>9.493397142E9</v>
      </c>
      <c r="I5" s="21" t="s">
        <v>918</v>
      </c>
      <c r="J5" s="8" t="s">
        <v>919</v>
      </c>
      <c r="K5" s="33" t="s">
        <v>920</v>
      </c>
      <c r="L5" s="173"/>
      <c r="M5" s="176"/>
      <c r="N5" s="8"/>
      <c r="O5" s="106"/>
      <c r="P5" s="178"/>
      <c r="Q5" s="180">
        <v>1.13472239E9</v>
      </c>
      <c r="R5" s="180"/>
      <c r="S5" s="180"/>
    </row>
    <row r="6" ht="18.75" customHeight="1">
      <c r="A6" s="13" t="s">
        <v>22</v>
      </c>
      <c r="B6" s="8" t="s">
        <v>19</v>
      </c>
      <c r="C6" s="8" t="s">
        <v>876</v>
      </c>
      <c r="D6" s="169">
        <v>45736.0</v>
      </c>
      <c r="E6" s="8" t="s">
        <v>929</v>
      </c>
      <c r="F6" s="8" t="s">
        <v>930</v>
      </c>
      <c r="G6" s="8" t="s">
        <v>932</v>
      </c>
      <c r="H6" s="8" t="s">
        <v>934</v>
      </c>
      <c r="I6" s="21" t="s">
        <v>936</v>
      </c>
      <c r="J6" s="8" t="s">
        <v>938</v>
      </c>
      <c r="K6" s="33" t="s">
        <v>940</v>
      </c>
      <c r="L6" s="173"/>
      <c r="M6" s="176">
        <v>0.85</v>
      </c>
      <c r="N6" s="8"/>
      <c r="O6" s="106"/>
      <c r="P6" s="178"/>
      <c r="Q6" s="180">
        <v>1.184202699E9</v>
      </c>
      <c r="R6" s="180"/>
      <c r="S6" s="180"/>
    </row>
    <row r="7" ht="18.75" customHeight="1">
      <c r="A7" s="13" t="s">
        <v>17</v>
      </c>
      <c r="B7" s="8" t="s">
        <v>23</v>
      </c>
      <c r="C7" s="8" t="s">
        <v>876</v>
      </c>
      <c r="D7" s="169">
        <v>46009.0</v>
      </c>
      <c r="E7" s="8" t="s">
        <v>950</v>
      </c>
      <c r="F7" s="8" t="s">
        <v>951</v>
      </c>
      <c r="G7" s="8" t="s">
        <v>952</v>
      </c>
      <c r="H7" s="8" t="s">
        <v>953</v>
      </c>
      <c r="I7" s="21" t="s">
        <v>883</v>
      </c>
      <c r="J7" s="8" t="s">
        <v>955</v>
      </c>
      <c r="K7" s="33" t="s">
        <v>956</v>
      </c>
      <c r="L7" s="173"/>
      <c r="M7" s="50"/>
      <c r="N7" s="8"/>
      <c r="O7" s="106"/>
      <c r="P7" s="178"/>
      <c r="Q7" s="180">
        <v>1.184412082E9</v>
      </c>
      <c r="R7" s="180"/>
      <c r="S7" s="180"/>
    </row>
    <row r="8" ht="18.75" customHeight="1">
      <c r="A8" s="13" t="s">
        <v>17</v>
      </c>
      <c r="B8" s="8" t="s">
        <v>23</v>
      </c>
      <c r="C8" s="8" t="s">
        <v>876</v>
      </c>
      <c r="D8" s="169">
        <v>45708.0</v>
      </c>
      <c r="E8" s="8" t="s">
        <v>967</v>
      </c>
      <c r="F8" s="8" t="s">
        <v>969</v>
      </c>
      <c r="G8" s="8" t="s">
        <v>970</v>
      </c>
      <c r="H8" s="8" t="s">
        <v>972</v>
      </c>
      <c r="I8" s="21" t="s">
        <v>973</v>
      </c>
      <c r="J8" s="8" t="s">
        <v>975</v>
      </c>
      <c r="K8" s="33" t="s">
        <v>979</v>
      </c>
      <c r="L8" s="173"/>
      <c r="M8" s="176">
        <v>0.85</v>
      </c>
      <c r="N8" s="8"/>
      <c r="O8" s="106"/>
      <c r="P8" s="178"/>
      <c r="Q8" s="180">
        <v>1.225656291E9</v>
      </c>
      <c r="R8" s="180"/>
      <c r="S8" s="180"/>
    </row>
    <row r="9" ht="18.75" customHeight="1">
      <c r="A9" s="13" t="s">
        <v>410</v>
      </c>
      <c r="B9" s="8" t="s">
        <v>19</v>
      </c>
      <c r="C9" s="8" t="s">
        <v>876</v>
      </c>
      <c r="D9" s="169">
        <v>45658.0</v>
      </c>
      <c r="E9" s="8" t="s">
        <v>986</v>
      </c>
      <c r="F9" s="8" t="s">
        <v>988</v>
      </c>
      <c r="G9" s="8" t="s">
        <v>990</v>
      </c>
      <c r="H9" s="8" t="s">
        <v>994</v>
      </c>
      <c r="I9" s="21" t="s">
        <v>997</v>
      </c>
      <c r="J9" s="8" t="s">
        <v>999</v>
      </c>
      <c r="K9" s="33" t="s">
        <v>1000</v>
      </c>
      <c r="L9" s="173"/>
      <c r="M9" s="176"/>
      <c r="N9" s="8"/>
      <c r="O9" s="106"/>
      <c r="P9" s="178"/>
      <c r="Q9" s="180">
        <v>1.235990193E9</v>
      </c>
      <c r="R9" s="180"/>
      <c r="S9" s="180"/>
    </row>
    <row r="10" ht="18.75" customHeight="1">
      <c r="A10" s="13" t="s">
        <v>17</v>
      </c>
      <c r="B10" s="8" t="s">
        <v>19</v>
      </c>
      <c r="C10" s="8" t="s">
        <v>876</v>
      </c>
      <c r="D10" s="169">
        <v>45572.0</v>
      </c>
      <c r="E10" s="8" t="s">
        <v>1015</v>
      </c>
      <c r="F10" s="8" t="s">
        <v>1017</v>
      </c>
      <c r="G10" s="8" t="s">
        <v>1019</v>
      </c>
      <c r="H10" s="8"/>
      <c r="I10" s="21" t="s">
        <v>1023</v>
      </c>
      <c r="J10" s="8" t="s">
        <v>1024</v>
      </c>
      <c r="K10" s="33" t="s">
        <v>876</v>
      </c>
      <c r="L10" s="173"/>
      <c r="M10" s="50"/>
      <c r="N10" s="8"/>
      <c r="O10" s="106"/>
      <c r="P10" s="178"/>
      <c r="Q10" s="180">
        <v>1.255067385E9</v>
      </c>
      <c r="R10" s="180"/>
      <c r="S10" s="180"/>
    </row>
    <row r="11" ht="18.75" customHeight="1">
      <c r="A11" s="13" t="s">
        <v>410</v>
      </c>
      <c r="B11" s="8" t="s">
        <v>23</v>
      </c>
      <c r="C11" s="8" t="s">
        <v>876</v>
      </c>
      <c r="D11" s="169">
        <v>45792.0</v>
      </c>
      <c r="E11" s="8" t="s">
        <v>1038</v>
      </c>
      <c r="F11" s="8" t="s">
        <v>1039</v>
      </c>
      <c r="G11" s="8" t="s">
        <v>1040</v>
      </c>
      <c r="H11" s="8" t="s">
        <v>1041</v>
      </c>
      <c r="I11" s="21" t="s">
        <v>1042</v>
      </c>
      <c r="J11" s="8" t="s">
        <v>1043</v>
      </c>
      <c r="K11" s="33" t="s">
        <v>1044</v>
      </c>
      <c r="L11" s="173"/>
      <c r="M11" s="176">
        <v>0.9</v>
      </c>
      <c r="N11" s="8"/>
      <c r="O11" s="106"/>
      <c r="P11" s="178"/>
      <c r="Q11" s="193">
        <v>1.316554942E9</v>
      </c>
      <c r="R11" s="193"/>
      <c r="S11" s="193"/>
    </row>
    <row r="12" ht="18.75" customHeight="1">
      <c r="A12" s="10" t="s">
        <v>18</v>
      </c>
      <c r="B12" s="149" t="s">
        <v>225</v>
      </c>
      <c r="C12" s="10" t="s">
        <v>876</v>
      </c>
      <c r="D12" s="191">
        <v>46034.0</v>
      </c>
      <c r="E12" s="10" t="s">
        <v>1063</v>
      </c>
      <c r="F12" s="10" t="s">
        <v>1064</v>
      </c>
      <c r="G12" s="10" t="s">
        <v>1065</v>
      </c>
      <c r="H12" s="10" t="s">
        <v>1067</v>
      </c>
      <c r="I12" s="15" t="s">
        <v>1070</v>
      </c>
      <c r="J12" s="10" t="s">
        <v>1074</v>
      </c>
      <c r="K12" s="200"/>
      <c r="L12" s="20"/>
      <c r="M12" s="83"/>
      <c r="N12" s="195"/>
      <c r="O12" s="10" t="b">
        <v>0</v>
      </c>
      <c r="P12" s="147"/>
      <c r="Q12" s="193">
        <v>1.356024087E9</v>
      </c>
      <c r="R12" s="193"/>
      <c r="S12" s="193"/>
    </row>
    <row r="13" ht="18.75" customHeight="1">
      <c r="A13" s="13" t="s">
        <v>22</v>
      </c>
      <c r="B13" s="8" t="s">
        <v>23</v>
      </c>
      <c r="C13" s="8" t="s">
        <v>876</v>
      </c>
      <c r="D13" s="169">
        <v>45755.0</v>
      </c>
      <c r="E13" s="8" t="s">
        <v>1099</v>
      </c>
      <c r="F13" s="8" t="s">
        <v>1101</v>
      </c>
      <c r="G13" s="8" t="s">
        <v>1103</v>
      </c>
      <c r="H13" s="8" t="s">
        <v>1105</v>
      </c>
      <c r="I13" s="21" t="s">
        <v>1106</v>
      </c>
      <c r="J13" s="8" t="s">
        <v>1107</v>
      </c>
      <c r="K13" s="33" t="s">
        <v>1108</v>
      </c>
      <c r="L13" s="173"/>
      <c r="M13" s="176">
        <v>0.9</v>
      </c>
      <c r="N13" s="8"/>
      <c r="O13" s="106"/>
      <c r="P13" s="178"/>
      <c r="Q13" s="180">
        <v>1.366260788E9</v>
      </c>
      <c r="R13" s="180"/>
      <c r="S13" s="180"/>
    </row>
    <row r="14" ht="18.75" customHeight="1">
      <c r="A14" s="8" t="s">
        <v>17</v>
      </c>
      <c r="B14" s="8"/>
      <c r="C14" s="8" t="s">
        <v>876</v>
      </c>
      <c r="D14" s="169"/>
      <c r="E14" s="8" t="s">
        <v>1122</v>
      </c>
      <c r="F14" s="8" t="s">
        <v>1123</v>
      </c>
      <c r="G14" s="8"/>
      <c r="H14" s="8"/>
      <c r="I14" s="21"/>
      <c r="J14" s="8"/>
      <c r="K14" s="33"/>
      <c r="L14" s="173"/>
      <c r="M14" s="50"/>
      <c r="N14" s="8"/>
      <c r="O14" s="106"/>
      <c r="P14" s="178"/>
      <c r="Q14" s="180">
        <v>1.396208633E9</v>
      </c>
      <c r="R14" s="180"/>
      <c r="S14" s="180"/>
    </row>
    <row r="15" ht="18.75" customHeight="1">
      <c r="A15" s="13" t="s">
        <v>117</v>
      </c>
      <c r="B15" s="8" t="s">
        <v>19</v>
      </c>
      <c r="C15" s="8" t="s">
        <v>876</v>
      </c>
      <c r="D15" s="169">
        <v>45979.0</v>
      </c>
      <c r="E15" s="8" t="s">
        <v>1137</v>
      </c>
      <c r="F15" s="8" t="s">
        <v>1138</v>
      </c>
      <c r="G15" s="8" t="s">
        <v>1139</v>
      </c>
      <c r="H15" s="8" t="s">
        <v>1141</v>
      </c>
      <c r="I15" s="21" t="s">
        <v>191</v>
      </c>
      <c r="J15" s="8" t="s">
        <v>1145</v>
      </c>
      <c r="K15" s="33" t="s">
        <v>1147</v>
      </c>
      <c r="L15" s="173"/>
      <c r="M15" s="50"/>
      <c r="N15" s="8"/>
      <c r="O15" s="106"/>
      <c r="P15" s="178"/>
      <c r="Q15" s="180">
        <v>1.407691694E9</v>
      </c>
      <c r="R15" s="180"/>
      <c r="S15" s="180"/>
    </row>
    <row r="16" ht="18.75" customHeight="1">
      <c r="A16" s="8" t="s">
        <v>17</v>
      </c>
      <c r="B16" s="8"/>
      <c r="C16" s="8" t="s">
        <v>876</v>
      </c>
      <c r="D16" s="169"/>
      <c r="E16" s="8" t="s">
        <v>1149</v>
      </c>
      <c r="F16" s="8" t="s">
        <v>1150</v>
      </c>
      <c r="G16" s="8"/>
      <c r="H16" s="8"/>
      <c r="I16" s="21"/>
      <c r="J16" s="8"/>
      <c r="K16" s="33"/>
      <c r="L16" s="173"/>
      <c r="M16" s="50"/>
      <c r="N16" s="8"/>
      <c r="O16" s="106"/>
      <c r="P16" s="178"/>
      <c r="Q16" s="180">
        <v>1.417731795E9</v>
      </c>
      <c r="R16" s="180"/>
      <c r="S16" s="180"/>
    </row>
    <row r="17" ht="18.75" customHeight="1">
      <c r="A17" s="13" t="s">
        <v>117</v>
      </c>
      <c r="B17" s="219" t="s">
        <v>53</v>
      </c>
      <c r="C17" s="219" t="s">
        <v>876</v>
      </c>
      <c r="D17" s="222">
        <v>45973.0</v>
      </c>
      <c r="E17" s="219" t="s">
        <v>1165</v>
      </c>
      <c r="F17" s="219" t="s">
        <v>1166</v>
      </c>
      <c r="G17" s="219" t="s">
        <v>1167</v>
      </c>
      <c r="H17" s="219" t="s">
        <v>1168</v>
      </c>
      <c r="I17" s="225" t="s">
        <v>1170</v>
      </c>
      <c r="J17" s="219" t="s">
        <v>1171</v>
      </c>
      <c r="K17" s="127" t="s">
        <v>1172</v>
      </c>
      <c r="L17" s="227"/>
      <c r="M17" s="229"/>
      <c r="N17" s="219"/>
      <c r="O17" s="231" t="b">
        <v>0</v>
      </c>
      <c r="P17" s="233"/>
      <c r="Q17" s="180">
        <v>1.457139768E9</v>
      </c>
      <c r="R17" s="180"/>
      <c r="S17" s="180"/>
    </row>
    <row r="18" ht="18.75" customHeight="1">
      <c r="A18" s="13" t="s">
        <v>17</v>
      </c>
      <c r="B18" s="8" t="s">
        <v>1182</v>
      </c>
      <c r="C18" s="8" t="s">
        <v>876</v>
      </c>
      <c r="D18" s="169">
        <v>45694.0</v>
      </c>
      <c r="E18" s="8" t="s">
        <v>1183</v>
      </c>
      <c r="F18" s="8" t="s">
        <v>1184</v>
      </c>
      <c r="G18" s="8" t="s">
        <v>1186</v>
      </c>
      <c r="H18" s="8"/>
      <c r="I18" s="21"/>
      <c r="J18" s="8" t="s">
        <v>1188</v>
      </c>
      <c r="K18" s="33"/>
      <c r="L18" s="173"/>
      <c r="M18" s="176">
        <v>1.0</v>
      </c>
      <c r="N18" s="8"/>
      <c r="O18" s="106"/>
      <c r="P18" s="178"/>
      <c r="Q18" s="180">
        <v>1.467205401E9</v>
      </c>
      <c r="R18" s="180"/>
      <c r="S18" s="180"/>
    </row>
    <row r="19" ht="18.75" customHeight="1">
      <c r="A19" s="13" t="s">
        <v>22</v>
      </c>
      <c r="B19" s="8" t="s">
        <v>19</v>
      </c>
      <c r="C19" s="8" t="s">
        <v>876</v>
      </c>
      <c r="D19" s="169">
        <v>45817.0</v>
      </c>
      <c r="E19" s="8" t="s">
        <v>1201</v>
      </c>
      <c r="F19" s="8" t="s">
        <v>1202</v>
      </c>
      <c r="G19" s="8" t="s">
        <v>1203</v>
      </c>
      <c r="H19" s="8" t="s">
        <v>1204</v>
      </c>
      <c r="I19" s="21" t="s">
        <v>1092</v>
      </c>
      <c r="J19" s="8" t="s">
        <v>1205</v>
      </c>
      <c r="K19" s="33" t="s">
        <v>1206</v>
      </c>
      <c r="L19" s="173"/>
      <c r="M19" s="176">
        <v>0.75</v>
      </c>
      <c r="N19" s="8"/>
      <c r="O19" s="106"/>
      <c r="P19" s="178"/>
      <c r="Q19" s="180">
        <v>1.497529606E9</v>
      </c>
      <c r="R19" s="180"/>
      <c r="S19" s="180"/>
    </row>
    <row r="20" ht="18.75" customHeight="1">
      <c r="A20" s="13" t="s">
        <v>17</v>
      </c>
      <c r="B20" s="8" t="s">
        <v>53</v>
      </c>
      <c r="C20" s="8" t="s">
        <v>876</v>
      </c>
      <c r="D20" s="169">
        <v>45701.0</v>
      </c>
      <c r="E20" s="8" t="s">
        <v>1214</v>
      </c>
      <c r="F20" s="8" t="s">
        <v>1215</v>
      </c>
      <c r="G20" s="8" t="s">
        <v>1217</v>
      </c>
      <c r="H20" s="8"/>
      <c r="I20" s="21" t="s">
        <v>359</v>
      </c>
      <c r="J20" s="8" t="s">
        <v>1219</v>
      </c>
      <c r="K20" s="33" t="s">
        <v>1222</v>
      </c>
      <c r="L20" s="173"/>
      <c r="M20" s="176"/>
      <c r="N20" s="8"/>
      <c r="O20" s="106"/>
      <c r="P20" s="178"/>
      <c r="Q20" s="180">
        <v>1.53894652E9</v>
      </c>
      <c r="R20" s="180"/>
      <c r="S20" s="180"/>
    </row>
    <row r="21" ht="18.75" customHeight="1">
      <c r="A21" s="13" t="s">
        <v>17</v>
      </c>
      <c r="B21" s="8" t="s">
        <v>23</v>
      </c>
      <c r="C21" s="8" t="s">
        <v>876</v>
      </c>
      <c r="D21" s="169">
        <v>45838.0</v>
      </c>
      <c r="E21" s="8" t="s">
        <v>1232</v>
      </c>
      <c r="F21" s="8" t="s">
        <v>1234</v>
      </c>
      <c r="G21" s="8" t="s">
        <v>1237</v>
      </c>
      <c r="H21" s="8" t="s">
        <v>1239</v>
      </c>
      <c r="I21" s="21" t="s">
        <v>1241</v>
      </c>
      <c r="J21" s="8" t="s">
        <v>1243</v>
      </c>
      <c r="K21" s="33" t="s">
        <v>1245</v>
      </c>
      <c r="L21" s="173"/>
      <c r="M21" s="50"/>
      <c r="N21" s="8"/>
      <c r="O21" s="106"/>
      <c r="P21" s="178"/>
      <c r="Q21" s="180">
        <v>1.63999253E9</v>
      </c>
      <c r="R21" s="180"/>
      <c r="S21" s="180"/>
    </row>
    <row r="22" ht="18.75" customHeight="1">
      <c r="A22" s="8" t="s">
        <v>17</v>
      </c>
      <c r="B22" s="8"/>
      <c r="C22" s="8" t="s">
        <v>876</v>
      </c>
      <c r="D22" s="169"/>
      <c r="E22" s="8" t="s">
        <v>1254</v>
      </c>
      <c r="F22" s="8" t="s">
        <v>1257</v>
      </c>
      <c r="G22" s="8"/>
      <c r="H22" s="8"/>
      <c r="I22" s="21"/>
      <c r="J22" s="8"/>
      <c r="K22" s="33"/>
      <c r="L22" s="173"/>
      <c r="M22" s="50"/>
      <c r="N22" s="8"/>
      <c r="O22" s="106"/>
      <c r="P22" s="178"/>
      <c r="Q22" s="180">
        <v>1.679248447E9</v>
      </c>
      <c r="R22" s="180"/>
      <c r="S22" s="180"/>
    </row>
    <row r="23" ht="18.75" customHeight="1">
      <c r="A23" s="13" t="s">
        <v>410</v>
      </c>
      <c r="B23" s="8" t="s">
        <v>19</v>
      </c>
      <c r="C23" s="8" t="s">
        <v>876</v>
      </c>
      <c r="D23" s="169">
        <v>45689.0</v>
      </c>
      <c r="E23" s="8" t="s">
        <v>1271</v>
      </c>
      <c r="F23" s="8" t="s">
        <v>1273</v>
      </c>
      <c r="G23" s="8" t="s">
        <v>1275</v>
      </c>
      <c r="H23" s="8" t="s">
        <v>1276</v>
      </c>
      <c r="I23" s="21" t="s">
        <v>1277</v>
      </c>
      <c r="J23" s="8" t="s">
        <v>1278</v>
      </c>
      <c r="K23" s="33" t="s">
        <v>1279</v>
      </c>
      <c r="L23" s="173"/>
      <c r="M23" s="176">
        <v>0.8</v>
      </c>
      <c r="N23" s="8"/>
      <c r="O23" s="106"/>
      <c r="P23" s="178"/>
      <c r="Q23" s="180">
        <v>1.710524962E9</v>
      </c>
      <c r="R23" s="180"/>
      <c r="S23" s="180"/>
    </row>
    <row r="24" ht="18.75" customHeight="1">
      <c r="A24" s="13" t="s">
        <v>22</v>
      </c>
      <c r="B24" s="8" t="s">
        <v>19</v>
      </c>
      <c r="C24" s="8" t="s">
        <v>876</v>
      </c>
      <c r="D24" s="169">
        <v>45590.0</v>
      </c>
      <c r="E24" s="8" t="s">
        <v>1289</v>
      </c>
      <c r="F24" s="8" t="s">
        <v>1292</v>
      </c>
      <c r="G24" s="8" t="s">
        <v>1294</v>
      </c>
      <c r="H24" s="8"/>
      <c r="I24" s="21" t="s">
        <v>918</v>
      </c>
      <c r="J24" s="8" t="s">
        <v>1296</v>
      </c>
      <c r="K24" s="33" t="s">
        <v>1297</v>
      </c>
      <c r="L24" s="173"/>
      <c r="M24" s="50"/>
      <c r="N24" s="8"/>
      <c r="O24" s="106"/>
      <c r="P24" s="178"/>
      <c r="Q24" s="180">
        <v>1.760247704E9</v>
      </c>
      <c r="R24" s="180"/>
      <c r="S24" s="180"/>
    </row>
    <row r="25" ht="18.75" customHeight="1">
      <c r="A25" s="13" t="s">
        <v>410</v>
      </c>
      <c r="B25" s="8" t="s">
        <v>1182</v>
      </c>
      <c r="C25" s="8" t="s">
        <v>876</v>
      </c>
      <c r="D25" s="169">
        <v>45855.0</v>
      </c>
      <c r="E25" s="8" t="s">
        <v>1299</v>
      </c>
      <c r="F25" s="8" t="s">
        <v>1300</v>
      </c>
      <c r="G25" s="8" t="s">
        <v>1302</v>
      </c>
      <c r="H25" s="8" t="s">
        <v>1304</v>
      </c>
      <c r="I25" s="21" t="s">
        <v>1306</v>
      </c>
      <c r="J25" s="8" t="s">
        <v>1307</v>
      </c>
      <c r="K25" s="33" t="s">
        <v>1309</v>
      </c>
      <c r="L25" s="173"/>
      <c r="M25" s="176"/>
      <c r="N25" s="8"/>
      <c r="O25" s="106"/>
      <c r="P25" s="178"/>
      <c r="Q25" s="180">
        <v>1.85144812E9</v>
      </c>
      <c r="R25" s="180"/>
      <c r="S25" s="180"/>
    </row>
    <row r="26" ht="18.75" customHeight="1">
      <c r="A26" s="8" t="s">
        <v>17</v>
      </c>
      <c r="B26" s="8" t="s">
        <v>587</v>
      </c>
      <c r="C26" s="8" t="s">
        <v>876</v>
      </c>
      <c r="D26" s="169"/>
      <c r="E26" s="8" t="s">
        <v>1316</v>
      </c>
      <c r="F26" s="8" t="s">
        <v>1317</v>
      </c>
      <c r="G26" s="8"/>
      <c r="H26" s="8"/>
      <c r="I26" s="21"/>
      <c r="J26" s="8"/>
      <c r="K26" s="33"/>
      <c r="L26" s="173"/>
      <c r="M26" s="50"/>
      <c r="N26" s="8"/>
      <c r="O26" s="106"/>
      <c r="P26" s="178"/>
      <c r="Q26" s="193">
        <v>1.881123271E9</v>
      </c>
      <c r="R26" s="193"/>
      <c r="S26" s="193"/>
    </row>
    <row r="27" ht="18.75" customHeight="1">
      <c r="A27" s="13" t="s">
        <v>22</v>
      </c>
      <c r="B27" s="8" t="s">
        <v>23</v>
      </c>
      <c r="C27" s="8" t="s">
        <v>876</v>
      </c>
      <c r="D27" s="169">
        <v>45890.0</v>
      </c>
      <c r="E27" s="8" t="s">
        <v>1324</v>
      </c>
      <c r="F27" s="8" t="s">
        <v>1325</v>
      </c>
      <c r="G27" s="8" t="s">
        <v>1326</v>
      </c>
      <c r="H27" s="8" t="s">
        <v>1327</v>
      </c>
      <c r="I27" s="21" t="s">
        <v>1328</v>
      </c>
      <c r="J27" s="8" t="s">
        <v>1329</v>
      </c>
      <c r="K27" s="33" t="s">
        <v>1330</v>
      </c>
      <c r="L27" s="173"/>
      <c r="M27" s="50"/>
      <c r="N27" s="8"/>
      <c r="O27" s="106"/>
      <c r="P27" s="178"/>
      <c r="Q27" s="180">
        <v>1.932885985E9</v>
      </c>
      <c r="R27" s="180"/>
      <c r="S27" s="180"/>
    </row>
    <row r="28" ht="18.75" customHeight="1">
      <c r="A28" s="13" t="s">
        <v>22</v>
      </c>
      <c r="B28" s="8" t="s">
        <v>23</v>
      </c>
      <c r="C28" s="8" t="s">
        <v>876</v>
      </c>
      <c r="D28" s="169">
        <v>45785.0</v>
      </c>
      <c r="E28" s="8" t="s">
        <v>1339</v>
      </c>
      <c r="F28" s="8" t="s">
        <v>1341</v>
      </c>
      <c r="G28" s="8" t="s">
        <v>1343</v>
      </c>
      <c r="H28" s="8" t="s">
        <v>1345</v>
      </c>
      <c r="I28" s="21" t="s">
        <v>1347</v>
      </c>
      <c r="J28" s="8" t="s">
        <v>1349</v>
      </c>
      <c r="K28" s="33" t="s">
        <v>1351</v>
      </c>
      <c r="L28" s="173"/>
      <c r="M28" s="176">
        <v>0.9</v>
      </c>
      <c r="N28" s="8"/>
      <c r="O28" s="106"/>
      <c r="P28" s="178"/>
      <c r="Q28" s="180">
        <v>1.982001384E9</v>
      </c>
      <c r="R28" s="180"/>
      <c r="S28" s="180"/>
    </row>
    <row r="29" ht="36.75" customHeight="1">
      <c r="A29" s="239" t="s">
        <v>1356</v>
      </c>
      <c r="B29" s="240"/>
      <c r="C29" s="240"/>
      <c r="D29" s="240"/>
      <c r="E29" s="240"/>
      <c r="F29" s="240"/>
      <c r="G29" s="240"/>
      <c r="H29" s="240"/>
      <c r="I29" s="240"/>
      <c r="J29" s="240"/>
      <c r="K29" s="240"/>
      <c r="L29" s="240"/>
      <c r="M29" s="240"/>
      <c r="N29" s="240"/>
      <c r="O29" s="240"/>
      <c r="P29" s="240"/>
      <c r="Q29" s="241"/>
      <c r="R29" s="242"/>
      <c r="S29" s="242"/>
    </row>
    <row r="30" ht="31.5" customHeight="1">
      <c r="A30" s="239" t="s">
        <v>1386</v>
      </c>
      <c r="B30" s="240"/>
      <c r="C30" s="240"/>
      <c r="D30" s="240"/>
      <c r="E30" s="240"/>
      <c r="F30" s="240"/>
      <c r="G30" s="240"/>
      <c r="H30" s="240"/>
      <c r="I30" s="240"/>
      <c r="J30" s="240"/>
      <c r="K30" s="240"/>
      <c r="L30" s="240"/>
      <c r="M30" s="240"/>
      <c r="N30" s="240"/>
      <c r="O30" s="240"/>
      <c r="P30" s="240"/>
      <c r="Q30" s="241"/>
      <c r="R30" s="242"/>
      <c r="S30" s="242"/>
    </row>
    <row r="31" ht="18.75" customHeight="1">
      <c r="A31" s="8" t="s">
        <v>17</v>
      </c>
      <c r="B31" s="8"/>
      <c r="C31" s="8" t="s">
        <v>876</v>
      </c>
      <c r="D31" s="169"/>
      <c r="E31" s="8" t="s">
        <v>1406</v>
      </c>
      <c r="F31" s="8" t="s">
        <v>1408</v>
      </c>
      <c r="G31" s="8"/>
      <c r="H31" s="8"/>
      <c r="I31" s="21"/>
      <c r="J31" s="8"/>
      <c r="K31" s="33"/>
      <c r="L31" s="173"/>
      <c r="M31" s="50"/>
      <c r="N31" s="8"/>
      <c r="O31" s="106"/>
      <c r="P31" s="178"/>
      <c r="Q31" s="180">
        <v>1.174356141E9</v>
      </c>
      <c r="R31" s="180"/>
      <c r="S31" s="180"/>
    </row>
    <row r="32" ht="18.75" customHeight="1">
      <c r="A32" s="8" t="s">
        <v>17</v>
      </c>
      <c r="B32" s="8"/>
      <c r="C32" s="8" t="s">
        <v>876</v>
      </c>
      <c r="D32" s="169"/>
      <c r="E32" s="8"/>
      <c r="F32" s="8" t="s">
        <v>1418</v>
      </c>
      <c r="G32" s="8"/>
      <c r="H32" s="8"/>
      <c r="I32" s="21"/>
      <c r="J32" s="8"/>
      <c r="K32" s="33"/>
      <c r="L32" s="173"/>
      <c r="M32" s="50"/>
      <c r="N32" s="8"/>
      <c r="O32" s="106"/>
      <c r="P32" s="178"/>
      <c r="Q32" s="178"/>
      <c r="R32" s="178"/>
      <c r="S32" s="178"/>
    </row>
    <row r="33" ht="18.75" customHeight="1">
      <c r="A33" s="8" t="s">
        <v>17</v>
      </c>
      <c r="B33" s="8"/>
      <c r="C33" s="8" t="s">
        <v>876</v>
      </c>
      <c r="D33" s="169"/>
      <c r="E33" s="8"/>
      <c r="F33" s="8" t="s">
        <v>1426</v>
      </c>
      <c r="G33" s="8"/>
      <c r="H33" s="8"/>
      <c r="I33" s="21"/>
      <c r="J33" s="8"/>
      <c r="K33" s="33"/>
      <c r="L33" s="173"/>
      <c r="M33" s="50"/>
      <c r="N33" s="8"/>
      <c r="O33" s="106"/>
      <c r="P33" s="178"/>
      <c r="Q33" s="178"/>
      <c r="R33" s="178"/>
      <c r="S33" s="178"/>
    </row>
    <row r="34" ht="18.75" customHeight="1">
      <c r="A34" s="8" t="s">
        <v>17</v>
      </c>
      <c r="B34" s="8"/>
      <c r="C34" s="8" t="s">
        <v>876</v>
      </c>
      <c r="D34" s="169"/>
      <c r="E34" s="8"/>
      <c r="F34" s="8" t="s">
        <v>1434</v>
      </c>
      <c r="G34" s="8"/>
      <c r="H34" s="8"/>
      <c r="I34" s="21"/>
      <c r="J34" s="8"/>
      <c r="K34" s="33"/>
      <c r="L34" s="173"/>
      <c r="M34" s="50"/>
      <c r="N34" s="8"/>
      <c r="O34" s="106"/>
      <c r="P34" s="178"/>
      <c r="Q34" s="178"/>
      <c r="R34" s="178"/>
      <c r="S34" s="178"/>
    </row>
    <row r="35" ht="18.75" customHeight="1">
      <c r="A35" s="8" t="s">
        <v>17</v>
      </c>
      <c r="B35" s="8"/>
      <c r="C35" s="8" t="s">
        <v>876</v>
      </c>
      <c r="D35" s="169"/>
      <c r="E35" s="8" t="s">
        <v>1406</v>
      </c>
      <c r="F35" s="8" t="s">
        <v>1257</v>
      </c>
      <c r="G35" s="8"/>
      <c r="H35" s="8"/>
      <c r="I35" s="21"/>
      <c r="J35" s="8"/>
      <c r="K35" s="33"/>
      <c r="L35" s="173"/>
      <c r="M35" s="50"/>
      <c r="N35" s="8"/>
      <c r="O35" s="106"/>
      <c r="P35" s="178"/>
      <c r="Q35" s="178"/>
      <c r="R35" s="178"/>
      <c r="S35" s="178"/>
    </row>
    <row r="36" ht="18.75" customHeight="1">
      <c r="A36" s="8" t="s">
        <v>17</v>
      </c>
      <c r="B36" s="8"/>
      <c r="C36" s="8" t="s">
        <v>876</v>
      </c>
      <c r="D36" s="169"/>
      <c r="E36" s="8" t="s">
        <v>1484</v>
      </c>
      <c r="F36" s="8" t="s">
        <v>1486</v>
      </c>
      <c r="G36" s="8"/>
      <c r="H36" s="8"/>
      <c r="I36" s="21"/>
      <c r="J36" s="8"/>
      <c r="K36" s="33"/>
      <c r="L36" s="173"/>
      <c r="M36" s="50"/>
      <c r="N36" s="8"/>
      <c r="O36" s="106"/>
      <c r="P36" s="178"/>
      <c r="Q36" s="178"/>
      <c r="R36" s="178"/>
      <c r="S36" s="178"/>
    </row>
    <row r="37" ht="18.75" customHeight="1">
      <c r="A37" s="8" t="s">
        <v>17</v>
      </c>
      <c r="B37" s="8" t="s">
        <v>19</v>
      </c>
      <c r="C37" s="8" t="s">
        <v>876</v>
      </c>
      <c r="D37" s="169"/>
      <c r="E37" s="8" t="s">
        <v>1502</v>
      </c>
      <c r="F37" s="8" t="s">
        <v>1504</v>
      </c>
      <c r="G37" s="8"/>
      <c r="H37" s="8"/>
      <c r="I37" s="21"/>
      <c r="J37" s="8"/>
      <c r="K37" s="33"/>
      <c r="L37" s="173"/>
      <c r="M37" s="50"/>
      <c r="N37" s="8"/>
      <c r="O37" s="106"/>
      <c r="P37" s="178"/>
      <c r="Q37" s="178"/>
      <c r="R37" s="178"/>
      <c r="S37" s="178"/>
    </row>
    <row r="38" ht="18.75" customHeight="1">
      <c r="A38" s="13" t="s">
        <v>17</v>
      </c>
      <c r="B38" s="8" t="s">
        <v>53</v>
      </c>
      <c r="C38" s="8" t="s">
        <v>876</v>
      </c>
      <c r="D38" s="169">
        <v>45720.0</v>
      </c>
      <c r="E38" s="8" t="s">
        <v>1517</v>
      </c>
      <c r="F38" s="8" t="s">
        <v>1518</v>
      </c>
      <c r="G38" s="8" t="s">
        <v>1519</v>
      </c>
      <c r="H38" s="8"/>
      <c r="I38" s="21" t="s">
        <v>1346</v>
      </c>
      <c r="J38" s="8" t="s">
        <v>1521</v>
      </c>
      <c r="K38" s="33" t="s">
        <v>1524</v>
      </c>
      <c r="L38" s="173"/>
      <c r="M38" s="176">
        <v>0.9</v>
      </c>
      <c r="N38" s="8"/>
      <c r="O38" s="106"/>
      <c r="P38" s="178"/>
      <c r="Q38" s="178"/>
      <c r="R38" s="178"/>
      <c r="S38" s="178"/>
    </row>
    <row r="39" ht="18.75" customHeight="1">
      <c r="A39" s="13" t="s">
        <v>410</v>
      </c>
      <c r="B39" s="8" t="s">
        <v>23</v>
      </c>
      <c r="C39" s="8" t="s">
        <v>876</v>
      </c>
      <c r="D39" s="169">
        <v>45757.0</v>
      </c>
      <c r="E39" s="8" t="s">
        <v>1559</v>
      </c>
      <c r="F39" s="8" t="s">
        <v>1563</v>
      </c>
      <c r="G39" s="8" t="s">
        <v>1565</v>
      </c>
      <c r="H39" s="8" t="s">
        <v>1566</v>
      </c>
      <c r="I39" s="21" t="s">
        <v>762</v>
      </c>
      <c r="J39" s="8" t="s">
        <v>1567</v>
      </c>
      <c r="K39" s="33" t="s">
        <v>1570</v>
      </c>
      <c r="L39" s="173"/>
      <c r="M39" s="176">
        <v>0.75</v>
      </c>
      <c r="N39" s="8"/>
      <c r="O39" s="106"/>
      <c r="P39" s="178"/>
      <c r="Q39" s="180">
        <v>1.679327365E9</v>
      </c>
      <c r="R39" s="178"/>
      <c r="S39" s="178"/>
    </row>
    <row r="40" ht="18.75" customHeight="1">
      <c r="A40" s="13" t="s">
        <v>22</v>
      </c>
      <c r="B40" s="8" t="s">
        <v>53</v>
      </c>
      <c r="C40" s="8" t="s">
        <v>876</v>
      </c>
      <c r="D40" s="169">
        <v>45761.0</v>
      </c>
      <c r="E40" s="8" t="s">
        <v>1594</v>
      </c>
      <c r="F40" s="8" t="s">
        <v>1597</v>
      </c>
      <c r="G40" s="8" t="s">
        <v>1599</v>
      </c>
      <c r="H40" s="8" t="s">
        <v>1603</v>
      </c>
      <c r="I40" s="21" t="s">
        <v>1605</v>
      </c>
      <c r="J40" s="8" t="s">
        <v>1609</v>
      </c>
      <c r="K40" s="33" t="s">
        <v>1610</v>
      </c>
      <c r="L40" s="173"/>
      <c r="M40" s="176">
        <v>0.95</v>
      </c>
      <c r="N40" s="8"/>
      <c r="O40" s="106"/>
      <c r="P40" s="178"/>
      <c r="Q40" s="178"/>
      <c r="R40" s="178"/>
      <c r="S40" s="178"/>
    </row>
    <row r="41" ht="18.75" customHeight="1">
      <c r="A41" s="13" t="s">
        <v>621</v>
      </c>
      <c r="B41" s="8" t="s">
        <v>23</v>
      </c>
      <c r="C41" s="8" t="s">
        <v>876</v>
      </c>
      <c r="D41" s="169">
        <v>45798.0</v>
      </c>
      <c r="E41" s="8" t="s">
        <v>1618</v>
      </c>
      <c r="F41" s="8" t="s">
        <v>1619</v>
      </c>
      <c r="G41" s="8" t="s">
        <v>1620</v>
      </c>
      <c r="H41" s="8" t="s">
        <v>1621</v>
      </c>
      <c r="I41" s="21" t="s">
        <v>1622</v>
      </c>
      <c r="J41" s="8" t="s">
        <v>1623</v>
      </c>
      <c r="K41" s="33" t="s">
        <v>1624</v>
      </c>
      <c r="L41" s="173"/>
      <c r="M41" s="176">
        <v>0.9</v>
      </c>
      <c r="N41" s="8"/>
      <c r="O41" s="106"/>
      <c r="P41" s="178"/>
      <c r="Q41" s="178"/>
      <c r="R41" s="178"/>
      <c r="S41" s="178"/>
    </row>
    <row r="42" ht="18.75" customHeight="1">
      <c r="A42" s="13" t="s">
        <v>621</v>
      </c>
      <c r="B42" s="8" t="s">
        <v>53</v>
      </c>
      <c r="C42" s="8" t="s">
        <v>876</v>
      </c>
      <c r="D42" s="169">
        <v>45807.0</v>
      </c>
      <c r="E42" s="8" t="s">
        <v>1634</v>
      </c>
      <c r="F42" s="8" t="s">
        <v>1635</v>
      </c>
      <c r="G42" s="8" t="s">
        <v>1636</v>
      </c>
      <c r="H42" s="8" t="s">
        <v>1637</v>
      </c>
      <c r="I42" s="21"/>
      <c r="J42" s="8" t="s">
        <v>1638</v>
      </c>
      <c r="K42" s="33" t="s">
        <v>1639</v>
      </c>
      <c r="L42" s="173"/>
      <c r="M42" s="176">
        <v>0.9</v>
      </c>
      <c r="N42" s="8"/>
      <c r="O42" s="106"/>
      <c r="P42" s="178"/>
      <c r="Q42" s="178"/>
      <c r="R42" s="178"/>
      <c r="S42" s="178"/>
    </row>
    <row r="43" ht="18.75" customHeight="1">
      <c r="A43" s="13" t="s">
        <v>621</v>
      </c>
      <c r="B43" s="8" t="s">
        <v>53</v>
      </c>
      <c r="C43" s="8" t="s">
        <v>876</v>
      </c>
      <c r="D43" s="169">
        <v>45810.0</v>
      </c>
      <c r="E43" s="8" t="s">
        <v>1645</v>
      </c>
      <c r="F43" s="8" t="s">
        <v>1647</v>
      </c>
      <c r="G43" s="8" t="s">
        <v>1649</v>
      </c>
      <c r="H43" s="8" t="s">
        <v>1651</v>
      </c>
      <c r="I43" s="21"/>
      <c r="J43" s="8" t="s">
        <v>1653</v>
      </c>
      <c r="K43" s="33" t="s">
        <v>1656</v>
      </c>
      <c r="L43" s="173"/>
      <c r="M43" s="176">
        <v>0.9</v>
      </c>
      <c r="N43" s="8"/>
      <c r="O43" s="106"/>
      <c r="P43" s="178"/>
      <c r="Q43" s="178"/>
      <c r="R43" s="178"/>
      <c r="S43" s="178"/>
    </row>
    <row r="44" ht="18.75" customHeight="1">
      <c r="A44" s="13" t="s">
        <v>410</v>
      </c>
      <c r="B44" s="8" t="s">
        <v>587</v>
      </c>
      <c r="C44" s="8" t="s">
        <v>876</v>
      </c>
      <c r="D44" s="169">
        <v>45835.0</v>
      </c>
      <c r="E44" s="8" t="s">
        <v>1662</v>
      </c>
      <c r="F44" s="8" t="s">
        <v>1663</v>
      </c>
      <c r="G44" s="8"/>
      <c r="H44" s="8" t="s">
        <v>1666</v>
      </c>
      <c r="I44" s="21"/>
      <c r="J44" s="8"/>
      <c r="K44" s="33"/>
      <c r="L44" s="173"/>
      <c r="M44" s="176"/>
      <c r="N44" s="8"/>
      <c r="O44" s="106"/>
      <c r="P44" s="178"/>
      <c r="Q44" s="178"/>
      <c r="R44" s="178"/>
      <c r="S44" s="178"/>
    </row>
    <row r="45" ht="18.75" customHeight="1">
      <c r="A45" s="13" t="s">
        <v>410</v>
      </c>
      <c r="B45" s="219" t="s">
        <v>53</v>
      </c>
      <c r="C45" s="219" t="s">
        <v>876</v>
      </c>
      <c r="D45" s="222">
        <v>45874.0</v>
      </c>
      <c r="E45" s="219" t="s">
        <v>1676</v>
      </c>
      <c r="F45" s="219" t="s">
        <v>1679</v>
      </c>
      <c r="G45" s="219" t="s">
        <v>1681</v>
      </c>
      <c r="H45" s="219" t="s">
        <v>1682</v>
      </c>
      <c r="I45" s="225" t="s">
        <v>167</v>
      </c>
      <c r="J45" s="219" t="s">
        <v>1685</v>
      </c>
      <c r="K45" s="127" t="s">
        <v>1686</v>
      </c>
      <c r="L45" s="272"/>
      <c r="M45" s="274"/>
      <c r="N45" s="219"/>
      <c r="O45" s="108"/>
      <c r="P45" s="178"/>
      <c r="Q45" s="180">
        <v>1.487129714E9</v>
      </c>
      <c r="R45" s="180"/>
      <c r="S45" s="180"/>
    </row>
    <row r="46" ht="18.75" customHeight="1">
      <c r="A46" s="13" t="s">
        <v>117</v>
      </c>
      <c r="B46" s="8" t="s">
        <v>23</v>
      </c>
      <c r="C46" s="8" t="s">
        <v>876</v>
      </c>
      <c r="D46" s="169">
        <v>45973.0</v>
      </c>
      <c r="E46" s="8" t="s">
        <v>1701</v>
      </c>
      <c r="F46" s="8" t="s">
        <v>1702</v>
      </c>
      <c r="G46" s="8" t="s">
        <v>1703</v>
      </c>
      <c r="H46" s="8" t="s">
        <v>1704</v>
      </c>
      <c r="I46" s="21" t="s">
        <v>140</v>
      </c>
      <c r="J46" s="8" t="s">
        <v>1706</v>
      </c>
      <c r="K46" s="33" t="s">
        <v>1709</v>
      </c>
      <c r="L46" s="173"/>
      <c r="M46" s="50"/>
      <c r="N46" s="8"/>
      <c r="O46" s="106"/>
      <c r="P46" s="277"/>
      <c r="Q46" s="180">
        <v>1.164831053E9</v>
      </c>
      <c r="R46" s="178"/>
      <c r="S46" s="178"/>
    </row>
    <row r="47" ht="18.75" customHeight="1">
      <c r="A47" s="13" t="s">
        <v>117</v>
      </c>
      <c r="B47" s="8" t="s">
        <v>53</v>
      </c>
      <c r="C47" s="8" t="s">
        <v>876</v>
      </c>
      <c r="D47" s="169">
        <v>45973.0</v>
      </c>
      <c r="E47" s="8" t="s">
        <v>1726</v>
      </c>
      <c r="F47" s="8" t="s">
        <v>1727</v>
      </c>
      <c r="G47" s="8" t="s">
        <v>1728</v>
      </c>
      <c r="H47" s="8" t="s">
        <v>1730</v>
      </c>
      <c r="I47" s="21" t="s">
        <v>1733</v>
      </c>
      <c r="J47" s="8" t="s">
        <v>1735</v>
      </c>
      <c r="K47" s="33" t="s">
        <v>1738</v>
      </c>
      <c r="L47" s="173"/>
      <c r="M47" s="50"/>
      <c r="N47" s="8"/>
      <c r="O47" s="106"/>
      <c r="P47" s="277"/>
      <c r="Q47" s="285">
        <v>1.942060702E9</v>
      </c>
      <c r="R47" s="180"/>
      <c r="S47" s="180"/>
    </row>
    <row r="48" ht="18.75" customHeight="1">
      <c r="A48" s="13" t="s">
        <v>22</v>
      </c>
      <c r="B48" s="8" t="s">
        <v>23</v>
      </c>
      <c r="C48" s="8" t="s">
        <v>876</v>
      </c>
      <c r="D48" s="14">
        <v>45876.0</v>
      </c>
      <c r="E48" s="11" t="s">
        <v>1753</v>
      </c>
      <c r="F48" s="11" t="s">
        <v>1758</v>
      </c>
      <c r="G48" s="11" t="s">
        <v>1765</v>
      </c>
      <c r="H48" s="11" t="s">
        <v>1768</v>
      </c>
      <c r="I48" s="21" t="s">
        <v>1769</v>
      </c>
      <c r="J48" s="11" t="s">
        <v>1770</v>
      </c>
      <c r="K48" s="25" t="s">
        <v>1772</v>
      </c>
      <c r="L48" s="27"/>
      <c r="M48" s="292">
        <v>46059.78052596065</v>
      </c>
      <c r="N48" s="50"/>
      <c r="O48" s="11" t="b">
        <v>0</v>
      </c>
      <c r="P48" s="41"/>
      <c r="Q48" s="295">
        <v>1.710871637E9</v>
      </c>
      <c r="R48" s="295"/>
      <c r="S48" s="295"/>
    </row>
    <row r="49" ht="18.75" customHeight="1">
      <c r="A49" s="8" t="s">
        <v>410</v>
      </c>
      <c r="B49" s="46" t="s">
        <v>53</v>
      </c>
      <c r="C49" s="8" t="s">
        <v>876</v>
      </c>
      <c r="D49" s="42">
        <v>46037.0</v>
      </c>
      <c r="E49" s="8" t="s">
        <v>1801</v>
      </c>
      <c r="F49" s="8" t="s">
        <v>1803</v>
      </c>
      <c r="G49" s="8" t="s">
        <v>1804</v>
      </c>
      <c r="H49" s="8" t="s">
        <v>1805</v>
      </c>
      <c r="I49" s="21" t="s">
        <v>1807</v>
      </c>
      <c r="J49" s="8" t="s">
        <v>1810</v>
      </c>
      <c r="K49" s="33" t="s">
        <v>1812</v>
      </c>
      <c r="L49" s="33"/>
      <c r="M49" s="109">
        <v>46087.84935134259</v>
      </c>
      <c r="N49" s="32"/>
      <c r="O49" s="8" t="b">
        <v>0</v>
      </c>
      <c r="P49" s="106"/>
      <c r="Q49" s="285">
        <v>1.619465689E9</v>
      </c>
      <c r="R49" s="180"/>
      <c r="S49" s="180"/>
    </row>
    <row r="50" ht="18.75" customHeight="1">
      <c r="A50" s="8" t="s">
        <v>17</v>
      </c>
      <c r="B50" s="10" t="s">
        <v>23</v>
      </c>
      <c r="C50" s="10" t="s">
        <v>876</v>
      </c>
      <c r="D50" s="12">
        <v>46043.0</v>
      </c>
      <c r="E50" s="10" t="s">
        <v>1837</v>
      </c>
      <c r="F50" s="10" t="s">
        <v>1838</v>
      </c>
      <c r="G50" s="10" t="s">
        <v>1839</v>
      </c>
      <c r="H50" s="10" t="s">
        <v>1840</v>
      </c>
      <c r="I50" s="15" t="s">
        <v>1843</v>
      </c>
      <c r="J50" s="10" t="s">
        <v>1848</v>
      </c>
      <c r="K50" s="17" t="s">
        <v>1859</v>
      </c>
      <c r="L50" s="20"/>
      <c r="M50" s="22">
        <v>46223.96622615741</v>
      </c>
      <c r="N50" s="10"/>
      <c r="O50" s="11" t="b">
        <v>0</v>
      </c>
      <c r="P50" s="24"/>
      <c r="Q50" s="36">
        <v>1.316800741E9</v>
      </c>
      <c r="R50" s="299"/>
      <c r="S50" s="299"/>
    </row>
    <row r="51" ht="18.75" customHeight="1">
      <c r="A51" s="194" t="s">
        <v>22</v>
      </c>
      <c r="B51" s="17" t="s">
        <v>19</v>
      </c>
      <c r="C51" s="10" t="s">
        <v>876</v>
      </c>
      <c r="D51" s="191">
        <v>46070.0</v>
      </c>
      <c r="E51" s="196" t="s">
        <v>1411</v>
      </c>
      <c r="F51" s="196" t="s">
        <v>1882</v>
      </c>
      <c r="G51" s="196" t="s">
        <v>1413</v>
      </c>
      <c r="H51" s="198" t="s">
        <v>1414</v>
      </c>
      <c r="I51" s="303" t="str">
        <f>HYPERLINK("https://calendar.google.com/calendar/u/0/r/eventedit/NjJpcjVrNWVoazhma2U0aG9pZW4wdGg0YTYgYzM5ZjIxNjY2YTJjNzBkNjQ0MDI0YmQyOWM3ZmM5ODM3OTY2MmY3OTJlNWEwNDdjZGIzNTdhNDJiM2M1N2QwNEBn", "Wed 18:30 PM")
</f>
        <v>Wed 18:30 PM</v>
      </c>
      <c r="J51" s="196" t="s">
        <v>1904</v>
      </c>
      <c r="K51" s="72" t="s">
        <v>1911</v>
      </c>
      <c r="L51" s="202"/>
      <c r="M51" s="203">
        <v>46139.51228256944</v>
      </c>
      <c r="N51" s="204"/>
      <c r="O51" s="302" t="b">
        <v>0</v>
      </c>
      <c r="P51" s="206"/>
      <c r="Q51" s="304">
        <v>1.972383388E9</v>
      </c>
      <c r="R51" s="305"/>
      <c r="S51" s="305"/>
    </row>
    <row r="52" ht="18.75" customHeight="1">
      <c r="A52" s="35" t="s">
        <v>17</v>
      </c>
      <c r="B52" s="10" t="s">
        <v>587</v>
      </c>
      <c r="C52" s="10" t="s">
        <v>876</v>
      </c>
      <c r="D52" s="12">
        <v>46008.0</v>
      </c>
      <c r="E52" s="10" t="s">
        <v>1948</v>
      </c>
      <c r="F52" s="10" t="s">
        <v>1951</v>
      </c>
      <c r="G52" s="10" t="s">
        <v>1952</v>
      </c>
      <c r="H52" s="10"/>
      <c r="I52" s="307"/>
      <c r="J52" s="10"/>
      <c r="K52" s="17"/>
      <c r="L52" s="90"/>
      <c r="M52" s="97"/>
      <c r="N52" s="10"/>
      <c r="O52" s="11" t="b">
        <v>0</v>
      </c>
      <c r="P52" s="139"/>
      <c r="Q52" s="308">
        <v>1.376472001E9</v>
      </c>
      <c r="R52" s="308"/>
      <c r="S52" s="308"/>
    </row>
    <row r="53" ht="18.75" customHeight="1">
      <c r="A53" s="309" t="s">
        <v>17</v>
      </c>
      <c r="B53" s="149" t="s">
        <v>225</v>
      </c>
      <c r="C53" s="310" t="s">
        <v>876</v>
      </c>
      <c r="D53" s="311">
        <v>46080.0</v>
      </c>
      <c r="E53" s="312" t="s">
        <v>2007</v>
      </c>
      <c r="F53" s="312" t="s">
        <v>2009</v>
      </c>
      <c r="G53" s="312" t="s">
        <v>2010</v>
      </c>
      <c r="H53" s="313" t="s">
        <v>2013</v>
      </c>
      <c r="I53" s="312" t="s">
        <v>2020</v>
      </c>
      <c r="J53" s="314" t="s">
        <v>2025</v>
      </c>
      <c r="K53" s="315" t="s">
        <v>2031</v>
      </c>
      <c r="L53" s="311"/>
      <c r="M53" s="316">
        <v>46132.86794521991</v>
      </c>
      <c r="N53" s="309"/>
      <c r="O53" s="315" t="b">
        <v>0</v>
      </c>
      <c r="P53" s="317"/>
      <c r="Q53" s="309">
        <v>1.841989019E9</v>
      </c>
      <c r="R53" s="318"/>
      <c r="S53" s="318"/>
    </row>
    <row r="54" ht="18.75" customHeight="1">
      <c r="A54" s="278" t="s">
        <v>22</v>
      </c>
      <c r="B54" s="10" t="s">
        <v>23</v>
      </c>
      <c r="C54" s="149" t="s">
        <v>876</v>
      </c>
      <c r="D54" s="150">
        <v>46196.0</v>
      </c>
      <c r="E54" s="149" t="s">
        <v>2081</v>
      </c>
      <c r="F54" s="149" t="s">
        <v>2082</v>
      </c>
      <c r="G54" s="149" t="s">
        <v>2083</v>
      </c>
      <c r="H54" s="149" t="s">
        <v>2084</v>
      </c>
      <c r="I54" s="152" t="s">
        <v>2088</v>
      </c>
      <c r="J54" s="149" t="s">
        <v>2094</v>
      </c>
      <c r="K54" s="149" t="s">
        <v>2099</v>
      </c>
      <c r="L54" s="282"/>
      <c r="M54" s="283">
        <v>46202.848503402776</v>
      </c>
      <c r="N54" s="286"/>
      <c r="O54" s="149"/>
      <c r="P54" s="288"/>
      <c r="Q54" s="265">
        <v>1.56839662E9</v>
      </c>
      <c r="R54" s="288"/>
      <c r="S54" s="288"/>
    </row>
    <row r="55" ht="18.75" customHeight="1">
      <c r="A55" s="278" t="s">
        <v>22</v>
      </c>
      <c r="B55" s="149" t="s">
        <v>225</v>
      </c>
      <c r="C55" s="149" t="s">
        <v>876</v>
      </c>
      <c r="D55" s="150"/>
      <c r="E55" s="149" t="s">
        <v>2126</v>
      </c>
      <c r="F55" s="149" t="s">
        <v>2128</v>
      </c>
      <c r="G55" s="149" t="s">
        <v>2130</v>
      </c>
      <c r="H55" s="149" t="s">
        <v>2131</v>
      </c>
      <c r="I55" s="152" t="s">
        <v>2133</v>
      </c>
      <c r="J55" s="149" t="s">
        <v>2134</v>
      </c>
      <c r="K55" s="149" t="s">
        <v>2138</v>
      </c>
      <c r="L55" s="282"/>
      <c r="M55" s="283">
        <v>46198.94841391203</v>
      </c>
      <c r="N55" s="286"/>
      <c r="O55" s="149"/>
      <c r="P55" s="288"/>
      <c r="Q55" s="265">
        <v>1.457288326E9</v>
      </c>
      <c r="R55" s="288"/>
      <c r="S55" s="288"/>
    </row>
    <row r="56" ht="26.25" customHeight="1">
      <c r="A56" s="219"/>
      <c r="B56" s="114"/>
      <c r="C56" s="114"/>
      <c r="D56" s="116"/>
      <c r="E56" s="114"/>
      <c r="F56" s="114"/>
      <c r="G56" s="114"/>
      <c r="H56" s="114"/>
      <c r="I56" s="321"/>
      <c r="J56" s="114"/>
      <c r="K56" s="120"/>
      <c r="L56" s="322"/>
      <c r="M56" s="323"/>
      <c r="N56" s="114"/>
      <c r="O56" s="26"/>
      <c r="P56" s="147"/>
      <c r="Q56" s="299"/>
      <c r="R56" s="299"/>
      <c r="S56" s="299"/>
    </row>
    <row r="57" ht="26.25" customHeight="1">
      <c r="A57" s="219"/>
      <c r="B57" s="114"/>
      <c r="C57" s="114"/>
      <c r="D57" s="116"/>
      <c r="E57" s="114"/>
      <c r="F57" s="114"/>
      <c r="G57" s="114"/>
      <c r="H57" s="114"/>
      <c r="I57" s="321"/>
      <c r="J57" s="114"/>
      <c r="K57" s="120"/>
      <c r="L57" s="322"/>
      <c r="M57" s="323"/>
      <c r="N57" s="114"/>
      <c r="O57" s="26"/>
      <c r="P57" s="147"/>
      <c r="Q57" s="299"/>
      <c r="R57" s="299"/>
      <c r="S57" s="299"/>
    </row>
    <row r="58" ht="26.25" customHeight="1">
      <c r="A58" s="219"/>
      <c r="B58" s="114"/>
      <c r="C58" s="114"/>
      <c r="D58" s="116"/>
      <c r="E58" s="114"/>
      <c r="F58" s="114"/>
      <c r="G58" s="114"/>
      <c r="H58" s="114"/>
      <c r="I58" s="321"/>
      <c r="J58" s="114"/>
      <c r="K58" s="120"/>
      <c r="L58" s="322"/>
      <c r="M58" s="323"/>
      <c r="N58" s="114"/>
      <c r="O58" s="26"/>
      <c r="P58" s="147"/>
      <c r="Q58" s="299"/>
      <c r="R58" s="299"/>
      <c r="S58" s="299"/>
    </row>
    <row r="59" ht="26.25" customHeight="1">
      <c r="A59" s="219"/>
      <c r="B59" s="114"/>
      <c r="C59" s="114"/>
      <c r="D59" s="116"/>
      <c r="E59" s="114"/>
      <c r="F59" s="114"/>
      <c r="G59" s="114"/>
      <c r="H59" s="114"/>
      <c r="I59" s="321"/>
      <c r="J59" s="114"/>
      <c r="K59" s="120"/>
      <c r="L59" s="322"/>
      <c r="M59" s="323"/>
      <c r="N59" s="114"/>
      <c r="O59" s="26"/>
      <c r="P59" s="147"/>
      <c r="Q59" s="299"/>
      <c r="R59" s="299"/>
      <c r="S59" s="299"/>
    </row>
    <row r="60" ht="26.25" customHeight="1">
      <c r="A60" s="219"/>
      <c r="B60" s="114"/>
      <c r="C60" s="114"/>
      <c r="D60" s="116"/>
      <c r="E60" s="114"/>
      <c r="F60" s="114"/>
      <c r="G60" s="114"/>
      <c r="H60" s="114"/>
      <c r="I60" s="321"/>
      <c r="J60" s="114"/>
      <c r="K60" s="120"/>
      <c r="L60" s="322"/>
      <c r="M60" s="323"/>
      <c r="N60" s="114"/>
      <c r="O60" s="26"/>
      <c r="P60" s="147"/>
      <c r="Q60" s="299"/>
      <c r="R60" s="299"/>
      <c r="S60" s="299"/>
    </row>
  </sheetData>
  <customSheetViews>
    <customSheetView guid="{34D72827-1C41-4DA6-AE21-43468FDAB35C}" filter="1" showAutoFilter="1">
      <autoFilter ref="$A$1:$Q$60">
        <filterColumn colId="0">
          <filters blank="1">
            <filter val="ORT"/>
            <filter val="2025 -"/>
            <filter val="2026 -"/>
            <filter val="ORT+CGM"/>
            <filter val="ORT+CGM+LYMPH W"/>
            <filter val="Lymphadema"/>
            <filter val="CGM"/>
          </filters>
        </filterColumn>
        <sortState ref="A1:Q60">
          <sortCondition ref="Q1:Q60"/>
          <sortCondition ref="E1:E60"/>
          <sortCondition ref="A1:A60"/>
          <sortCondition ref="B1:B60"/>
        </sortState>
      </autoFilter>
    </customSheetView>
  </customSheetViews>
  <mergeCells count="2">
    <mergeCell ref="A29:Q29"/>
    <mergeCell ref="A30:Q30"/>
  </mergeCells>
  <conditionalFormatting sqref="B12 B53 A55:S55">
    <cfRule type="expression" dxfId="9" priority="1" stopIfTrue="1">
      <formula>$C12="Hold"</formula>
    </cfRule>
  </conditionalFormatting>
  <conditionalFormatting sqref="B12 B53 A55:S55">
    <cfRule type="expression" dxfId="8" priority="2" stopIfTrue="1">
      <formula>OR($C12="Invoice Sent", $C12="Trial Sent")</formula>
    </cfRule>
  </conditionalFormatting>
  <conditionalFormatting sqref="B12 B53 A55:S55">
    <cfRule type="expression" dxfId="7" priority="3" stopIfTrue="1">
      <formula>$C12="Onboarded"</formula>
    </cfRule>
  </conditionalFormatting>
  <conditionalFormatting sqref="B12 B53 A55:S55">
    <cfRule type="expression" dxfId="6" priority="4" stopIfTrue="1">
      <formula>OR($C12="DNC", $C12="NI", $C12="No Medicare")</formula>
    </cfRule>
  </conditionalFormatting>
  <conditionalFormatting sqref="B12 B53 A55:S55">
    <cfRule type="expression" dxfId="5" priority="5" stopIfTrue="1">
      <formula>OR($C12="NOT READY", $C12="No - Show / Callback", $C12="Pending Medicare", $C12="Inactive License")</formula>
    </cfRule>
  </conditionalFormatting>
  <conditionalFormatting sqref="B12 B53 A55:S55">
    <cfRule type="expression" dxfId="4" priority="6" stopIfTrue="1">
      <formula>OR($C12="Follow Up", $C12="Contract Sent")</formula>
    </cfRule>
  </conditionalFormatting>
  <conditionalFormatting sqref="B12 B53 A55:P55">
    <cfRule type="expression" dxfId="4" priority="7">
      <formula>OR($C12="Follow Up", $C12="Contract Sent")</formula>
    </cfRule>
  </conditionalFormatting>
  <conditionalFormatting sqref="B12 B53 A55:P55">
    <cfRule type="expression" dxfId="5" priority="8">
      <formula>OR($C12="NOT READY", $C12="No - Show / Callback", $C12="Pending Medicare", $C12="Inactive License")</formula>
    </cfRule>
  </conditionalFormatting>
  <conditionalFormatting sqref="B12 B53 A55:P55">
    <cfRule type="expression" dxfId="6" priority="9">
      <formula>OR($C12="DNC", $C12="NI", $C12="No Medicare")</formula>
    </cfRule>
  </conditionalFormatting>
  <conditionalFormatting sqref="B12 B53 A55:P55">
    <cfRule type="expression" dxfId="7" priority="10">
      <formula>$C12="Onboarded"</formula>
    </cfRule>
  </conditionalFormatting>
  <conditionalFormatting sqref="B12 B53 A55:S55">
    <cfRule type="expression" dxfId="8" priority="11">
      <formula>OR($C12="Invoice Sent", $C12="Trial Sent")</formula>
    </cfRule>
  </conditionalFormatting>
  <conditionalFormatting sqref="B12 B53 A55:S55">
    <cfRule type="expression" dxfId="9" priority="12">
      <formula>$C12="Hold"</formula>
    </cfRule>
  </conditionalFormatting>
  <conditionalFormatting sqref="A54:S54">
    <cfRule type="expression" dxfId="9" priority="13">
      <formula>$C54="Hold"</formula>
    </cfRule>
  </conditionalFormatting>
  <conditionalFormatting sqref="A54:S54">
    <cfRule type="expression" dxfId="8" priority="14">
      <formula>OR($C54="Invoice Sent", $C54="Trial Sent")</formula>
    </cfRule>
  </conditionalFormatting>
  <conditionalFormatting sqref="A54:P54">
    <cfRule type="expression" dxfId="7" priority="15">
      <formula>$C54="Onboarded"</formula>
    </cfRule>
  </conditionalFormatting>
  <conditionalFormatting sqref="A54:P54">
    <cfRule type="expression" dxfId="6" priority="16">
      <formula>OR($C54="DNC", $C54="NI", $C54="No Medicare")</formula>
    </cfRule>
  </conditionalFormatting>
  <conditionalFormatting sqref="A54:P54">
    <cfRule type="expression" dxfId="5" priority="17">
      <formula>OR($C54="NOT READY", $C54="No - Show / Callback", $C54="Pending Medicare", $C54="Inactive License")</formula>
    </cfRule>
  </conditionalFormatting>
  <conditionalFormatting sqref="A54:P54">
    <cfRule type="expression" dxfId="4" priority="18">
      <formula>OR($C54="Follow Up", $C54="Contract Sent")</formula>
    </cfRule>
  </conditionalFormatting>
  <conditionalFormatting sqref="B12 A53:S53">
    <cfRule type="expression" dxfId="4" priority="19" stopIfTrue="1">
      <formula>OR($C12="Follow Up", $C12="Contract Sent")</formula>
    </cfRule>
  </conditionalFormatting>
  <conditionalFormatting sqref="B12 A53:S53">
    <cfRule type="expression" dxfId="5" priority="20" stopIfTrue="1">
      <formula>OR($C12="NOT READY", $C12="No - Show / Callback", $C12="Pending Medicare", $C12="Inactive License")</formula>
    </cfRule>
  </conditionalFormatting>
  <conditionalFormatting sqref="B12 A53:S53">
    <cfRule type="expression" dxfId="6" priority="21" stopIfTrue="1">
      <formula>OR($C12="DNC", $C12="NI", $C12="No Medicare")</formula>
    </cfRule>
  </conditionalFormatting>
  <conditionalFormatting sqref="B12 A53:S53">
    <cfRule type="expression" dxfId="7" priority="22" stopIfTrue="1">
      <formula>$C12="Onboarded"</formula>
    </cfRule>
  </conditionalFormatting>
  <conditionalFormatting sqref="B12 A53:S53">
    <cfRule type="expression" dxfId="8" priority="23" stopIfTrue="1">
      <formula>OR($C12="Invoice Sent", $C12="Trial Sent")</formula>
    </cfRule>
  </conditionalFormatting>
  <conditionalFormatting sqref="B12 A53:S53">
    <cfRule type="expression" dxfId="9" priority="24" stopIfTrue="1">
      <formula>$C12="Hold"</formula>
    </cfRule>
  </conditionalFormatting>
  <conditionalFormatting sqref="A1:P52 Q1:S1 Q51:S51 A54:S54 A56:P60 A62:P149">
    <cfRule type="expression" dxfId="4" priority="25" stopIfTrue="1">
      <formula>OR($C1="Follow Up", $C1="Contract Sent")</formula>
    </cfRule>
  </conditionalFormatting>
  <conditionalFormatting sqref="A1:P52 Q1:S1 Q51:S51 A54:S54 A56:P60 A62:P149">
    <cfRule type="expression" dxfId="5" priority="26" stopIfTrue="1">
      <formula>OR($C1="NOT READY", $C1="No - Show / Callback", $C1="Pending Medicare", $C1="Inactive License")</formula>
    </cfRule>
  </conditionalFormatting>
  <conditionalFormatting sqref="A1:P52 Q1:S1 Q51:S51 A54:S54 A56:P60 A62:P149">
    <cfRule type="expression" dxfId="6" priority="27" stopIfTrue="1">
      <formula>OR($C1="DNC", $C1="NI", $C1="No Medicare")</formula>
    </cfRule>
  </conditionalFormatting>
  <conditionalFormatting sqref="A1:P52 Q1:S1 Q51:S51 A54:S54 A56:P60 A62:P149">
    <cfRule type="expression" dxfId="7" priority="28" stopIfTrue="1">
      <formula>$C1="Onboarded"</formula>
    </cfRule>
  </conditionalFormatting>
  <conditionalFormatting sqref="A1:S52 A54:S54 A56:S60 A62:S149">
    <cfRule type="expression" dxfId="8" priority="29" stopIfTrue="1">
      <formula>OR($C1="Invoice Sent", $C1="Trial Sent")</formula>
    </cfRule>
  </conditionalFormatting>
  <conditionalFormatting sqref="A1:S52 A54:S54 A56:S60 A62:S149">
    <cfRule type="expression" dxfId="9" priority="30" stopIfTrue="1">
      <formula>$C1="Hold"</formula>
    </cfRule>
  </conditionalFormatting>
  <dataValidations>
    <dataValidation type="list" allowBlank="1" showErrorMessage="1" sqref="B2:B11 B13:B28 B31:B52 B54 B56:B60">
      <formula1>"Ben,George,Jane,Judy,Selene,Jasmine"</formula1>
    </dataValidation>
    <dataValidation type="list" allowBlank="1" showErrorMessage="1" sqref="A2:A11 A13:A28 A31:A47">
      <formula1>"CGM,Lymphadema,ORT,ORT+CGM,Solar,SUB"</formula1>
    </dataValidation>
    <dataValidation type="list" allowBlank="1" showErrorMessage="1" sqref="A48:A50 A56:A60">
      <formula1>"Campaigns,CGM,CGM+Lymph W,Claims,Food delivery,Home Improvement,Lymphadema,MVA Claims,ORT,ORT + Lymphedema,ORT+CGM,ORT+CGM+LYMPH W,RE,Solar,SUB,Vacation DNC Camapign"</formula1>
    </dataValidation>
    <dataValidation type="list" allowBlank="1" showErrorMessage="1" sqref="A12 A52">
      <formula1>"Auto Insurance,Campaigns,CGM,CGM+Lymph W,Home Improvement,Hospitality,IMMUNE,Logistics,Lymphadema,ORT,ORT + Lymphedema,ORT+CGM,ORT+CGM+LYMPH W,RE,SUB"</formula1>
    </dataValidation>
    <dataValidation type="list" allowBlank="1" showErrorMessage="1" sqref="C2:C28 C31:C60">
      <formula1>Settings!$A$1:$A60</formula1>
    </dataValidation>
    <dataValidation type="list" allowBlank="1" showErrorMessage="1" sqref="A54:A55">
      <formula1>"Auto Insurance,Campaigns,CGM,CGM+Lymph W,Home Improvement,Hospitality,IMMUNE,Logistics,Lymphadema,ORT,ORT + Lymphedema,ORT+CGM,ORT+CGM+LYMPH W,RE,SUB,DME &amp; LAB,PPO,DMEDESK"</formula1>
    </dataValidation>
    <dataValidation type="list" allowBlank="1" showErrorMessage="1" sqref="B12 B53 B55">
      <formula1>"Ben,George,Jane,Jimmy,Selene,Jasmine"</formula1>
    </dataValidation>
    <dataValidation type="list" allowBlank="1" showErrorMessage="1" sqref="A51 A53">
      <formula1>"Auto Insurance,Campaigns,CGM,CGM+Lymph W,Home Improvement,Hospitality,IMMUNE,Logistics,Lymphadema,ORT,ORT + Lymphedema,ORT+CGM,ORT+CGM+LYMPH W,RE,SUB,DME &amp; LAB"</formula1>
    </dataValidation>
  </dataValidations>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17.0"/>
    <col customWidth="1" min="3" max="3" width="28.13"/>
    <col customWidth="1" min="4" max="4" width="12.0"/>
    <col customWidth="1" min="5" max="5" width="42.38"/>
    <col customWidth="1" min="6" max="6" width="36.38"/>
    <col customWidth="1" min="7" max="7" width="19.38"/>
    <col customWidth="1" min="8" max="8" width="35.0"/>
    <col customWidth="1" min="9" max="9" width="22.0"/>
    <col customWidth="1" min="10" max="10" width="33.88"/>
    <col customWidth="1" min="11" max="11" width="25.75"/>
    <col customWidth="1" hidden="1" min="12" max="12" width="23.63"/>
    <col customWidth="1" min="13" max="13" width="21.13"/>
  </cols>
  <sheetData>
    <row r="1" ht="38.25" customHeight="1">
      <c r="A1" s="1" t="s">
        <v>0</v>
      </c>
      <c r="B1" s="2" t="s">
        <v>1</v>
      </c>
      <c r="C1" s="3" t="s">
        <v>2</v>
      </c>
      <c r="D1" s="3" t="s">
        <v>3</v>
      </c>
      <c r="E1" s="3" t="s">
        <v>4</v>
      </c>
      <c r="F1" s="3" t="s">
        <v>5</v>
      </c>
      <c r="G1" s="4" t="s">
        <v>6</v>
      </c>
      <c r="H1" s="3" t="s">
        <v>7</v>
      </c>
      <c r="I1" s="3" t="s">
        <v>8</v>
      </c>
      <c r="J1" s="3" t="s">
        <v>9</v>
      </c>
      <c r="K1" s="3" t="s">
        <v>10</v>
      </c>
      <c r="L1" s="5" t="s">
        <v>11</v>
      </c>
      <c r="M1" s="2" t="s">
        <v>12</v>
      </c>
      <c r="N1" s="3" t="s">
        <v>13</v>
      </c>
      <c r="O1" s="2" t="s">
        <v>14</v>
      </c>
      <c r="P1" s="3" t="s">
        <v>15</v>
      </c>
      <c r="Q1" s="3" t="s">
        <v>16</v>
      </c>
      <c r="R1" s="7"/>
      <c r="S1" s="7"/>
    </row>
    <row r="2" ht="20.25" customHeight="1">
      <c r="A2" s="190" t="s">
        <v>22</v>
      </c>
      <c r="B2" s="10" t="s">
        <v>225</v>
      </c>
      <c r="C2" s="10" t="s">
        <v>867</v>
      </c>
      <c r="D2" s="191">
        <v>46008.0</v>
      </c>
      <c r="E2" s="10" t="s">
        <v>1007</v>
      </c>
      <c r="F2" s="10" t="s">
        <v>1009</v>
      </c>
      <c r="G2" s="10" t="s">
        <v>1011</v>
      </c>
      <c r="H2" s="10" t="s">
        <v>1013</v>
      </c>
      <c r="I2" s="192" t="str">
        <f>HYPERLINK("https://calendar.google.com/calendar/u/0/r/eventedit/MTcxYmEyazk5OTJ2bG03aDAxOHZvaTRucGIgYzM5ZjIxNjY2YTJjNzBkNjQ0MDI0YmQyOWM3ZmM5ODM3OTY2MmY3OTJlNWEwNDdjZGIzNTdhNDJiM2M1N2QwNEBn", "Thu 8:30 PM")
</f>
        <v>Thu 8:30 PM</v>
      </c>
      <c r="J2" s="10" t="s">
        <v>1054</v>
      </c>
      <c r="K2" s="20"/>
      <c r="L2" s="83"/>
      <c r="M2" s="195"/>
      <c r="N2" s="10" t="b">
        <v>0</v>
      </c>
      <c r="O2" s="24"/>
      <c r="P2" s="38"/>
      <c r="Q2" s="197"/>
      <c r="R2" s="199"/>
      <c r="S2" s="199"/>
    </row>
    <row r="3" ht="20.25" customHeight="1">
      <c r="A3" s="190" t="s">
        <v>22</v>
      </c>
      <c r="B3" s="10" t="s">
        <v>53</v>
      </c>
      <c r="C3" s="10" t="s">
        <v>867</v>
      </c>
      <c r="D3" s="191">
        <v>46052.0</v>
      </c>
      <c r="E3" s="10" t="s">
        <v>1081</v>
      </c>
      <c r="F3" s="10" t="s">
        <v>1085</v>
      </c>
      <c r="G3" s="10" t="s">
        <v>1088</v>
      </c>
      <c r="H3" s="10" t="s">
        <v>1090</v>
      </c>
      <c r="I3" s="94" t="s">
        <v>1092</v>
      </c>
      <c r="J3" s="10" t="s">
        <v>1093</v>
      </c>
      <c r="K3" s="17" t="s">
        <v>1094</v>
      </c>
      <c r="L3" s="83"/>
      <c r="M3" s="205">
        <v>46063.69090973379</v>
      </c>
      <c r="N3" s="10" t="b">
        <v>0</v>
      </c>
      <c r="O3" s="24"/>
      <c r="P3" s="38"/>
      <c r="Q3" s="197"/>
      <c r="R3" s="199"/>
      <c r="S3" s="199"/>
    </row>
    <row r="4" ht="20.25" customHeight="1">
      <c r="A4" s="190" t="s">
        <v>18</v>
      </c>
      <c r="B4" s="10" t="s">
        <v>23</v>
      </c>
      <c r="C4" s="10" t="s">
        <v>867</v>
      </c>
      <c r="D4" s="191">
        <v>46049.0</v>
      </c>
      <c r="E4" s="10" t="s">
        <v>1112</v>
      </c>
      <c r="F4" s="10" t="s">
        <v>1114</v>
      </c>
      <c r="G4" s="10" t="s">
        <v>1115</v>
      </c>
      <c r="H4" s="10" t="s">
        <v>1118</v>
      </c>
      <c r="I4" s="94" t="s">
        <v>1119</v>
      </c>
      <c r="J4" s="10" t="s">
        <v>1121</v>
      </c>
      <c r="K4" s="17"/>
      <c r="L4" s="83"/>
      <c r="M4" s="195"/>
      <c r="N4" s="10" t="b">
        <v>0</v>
      </c>
      <c r="O4" s="24"/>
      <c r="P4" s="38"/>
      <c r="Q4" s="211">
        <v>1.851124671E9</v>
      </c>
      <c r="R4" s="213"/>
      <c r="S4" s="213"/>
    </row>
    <row r="5" ht="20.25" customHeight="1">
      <c r="A5" s="190" t="s">
        <v>17</v>
      </c>
      <c r="B5" s="10" t="s">
        <v>23</v>
      </c>
      <c r="C5" s="10" t="s">
        <v>867</v>
      </c>
      <c r="D5" s="191">
        <v>46045.0</v>
      </c>
      <c r="E5" s="10" t="s">
        <v>1140</v>
      </c>
      <c r="F5" s="10" t="s">
        <v>1142</v>
      </c>
      <c r="G5" s="10" t="s">
        <v>1143</v>
      </c>
      <c r="H5" s="10" t="s">
        <v>1144</v>
      </c>
      <c r="I5" s="94" t="s">
        <v>1146</v>
      </c>
      <c r="J5" s="10" t="s">
        <v>1148</v>
      </c>
      <c r="K5" s="17"/>
      <c r="L5" s="83"/>
      <c r="M5" s="195"/>
      <c r="N5" s="10" t="b">
        <v>0</v>
      </c>
      <c r="O5" s="24"/>
      <c r="P5" s="38"/>
      <c r="Q5" s="211">
        <v>1.821897471E9</v>
      </c>
      <c r="R5" s="213"/>
      <c r="S5" s="213"/>
    </row>
    <row r="6" ht="20.25" customHeight="1">
      <c r="A6" s="190" t="s">
        <v>17</v>
      </c>
      <c r="B6" s="10" t="s">
        <v>23</v>
      </c>
      <c r="C6" s="10" t="s">
        <v>867</v>
      </c>
      <c r="D6" s="191">
        <v>46041.0</v>
      </c>
      <c r="E6" s="10" t="s">
        <v>1151</v>
      </c>
      <c r="F6" s="10" t="s">
        <v>1152</v>
      </c>
      <c r="G6" s="10" t="s">
        <v>1153</v>
      </c>
      <c r="H6" s="10" t="s">
        <v>1154</v>
      </c>
      <c r="I6" s="94" t="s">
        <v>1155</v>
      </c>
      <c r="J6" s="10" t="s">
        <v>1156</v>
      </c>
      <c r="K6" s="17" t="s">
        <v>1157</v>
      </c>
      <c r="L6" s="83"/>
      <c r="M6" s="195"/>
      <c r="N6" s="10" t="b">
        <v>0</v>
      </c>
      <c r="O6" s="24"/>
      <c r="P6" s="38"/>
      <c r="Q6" s="211">
        <v>1.649807454E9</v>
      </c>
      <c r="R6" s="213"/>
      <c r="S6" s="213"/>
    </row>
    <row r="7" ht="20.25" customHeight="1">
      <c r="A7" s="190" t="s">
        <v>17</v>
      </c>
      <c r="B7" s="10" t="s">
        <v>23</v>
      </c>
      <c r="C7" s="10" t="s">
        <v>867</v>
      </c>
      <c r="D7" s="191">
        <v>46035.0</v>
      </c>
      <c r="E7" s="10" t="s">
        <v>1161</v>
      </c>
      <c r="F7" s="10" t="s">
        <v>1163</v>
      </c>
      <c r="G7" s="10" t="s">
        <v>1164</v>
      </c>
      <c r="H7" s="10" t="s">
        <v>1173</v>
      </c>
      <c r="I7" s="94" t="s">
        <v>1174</v>
      </c>
      <c r="J7" s="10" t="s">
        <v>1175</v>
      </c>
      <c r="K7" s="17" t="s">
        <v>1176</v>
      </c>
      <c r="L7" s="83"/>
      <c r="M7" s="195"/>
      <c r="N7" s="10" t="b">
        <v>0</v>
      </c>
      <c r="O7" s="24"/>
      <c r="P7" s="38"/>
      <c r="Q7" s="211">
        <v>1.922683069E9</v>
      </c>
      <c r="R7" s="213"/>
      <c r="S7" s="213"/>
    </row>
    <row r="8" ht="20.25" customHeight="1">
      <c r="A8" s="190" t="s">
        <v>22</v>
      </c>
      <c r="B8" s="10" t="s">
        <v>53</v>
      </c>
      <c r="C8" s="10" t="s">
        <v>867</v>
      </c>
      <c r="D8" s="191">
        <v>46034.0</v>
      </c>
      <c r="E8" s="10" t="s">
        <v>1189</v>
      </c>
      <c r="F8" s="10" t="s">
        <v>1191</v>
      </c>
      <c r="G8" s="10" t="s">
        <v>1194</v>
      </c>
      <c r="H8" s="10" t="s">
        <v>1196</v>
      </c>
      <c r="I8" s="94" t="s">
        <v>850</v>
      </c>
      <c r="J8" s="10" t="s">
        <v>1199</v>
      </c>
      <c r="K8" s="17" t="s">
        <v>1200</v>
      </c>
      <c r="L8" s="83"/>
      <c r="M8" s="195"/>
      <c r="N8" s="10" t="b">
        <v>0</v>
      </c>
      <c r="O8" s="24"/>
      <c r="P8" s="38"/>
      <c r="Q8" s="197"/>
      <c r="R8" s="199"/>
      <c r="S8" s="199"/>
    </row>
    <row r="9" ht="20.25" customHeight="1">
      <c r="A9" s="190" t="s">
        <v>62</v>
      </c>
      <c r="B9" s="10" t="s">
        <v>23</v>
      </c>
      <c r="C9" s="10" t="s">
        <v>867</v>
      </c>
      <c r="D9" s="191">
        <v>46028.0</v>
      </c>
      <c r="E9" s="10" t="s">
        <v>1187</v>
      </c>
      <c r="F9" s="10" t="s">
        <v>1211</v>
      </c>
      <c r="G9" s="10" t="s">
        <v>1212</v>
      </c>
      <c r="H9" s="10" t="s">
        <v>1216</v>
      </c>
      <c r="I9" s="94" t="s">
        <v>774</v>
      </c>
      <c r="J9" s="10" t="s">
        <v>1218</v>
      </c>
      <c r="K9" s="17" t="s">
        <v>1221</v>
      </c>
      <c r="L9" s="83"/>
      <c r="M9" s="205">
        <v>46224.883796458336</v>
      </c>
      <c r="N9" s="10" t="b">
        <v>0</v>
      </c>
      <c r="O9" s="24"/>
      <c r="P9" s="38"/>
      <c r="Q9" s="211">
        <v>1.053122267E9</v>
      </c>
      <c r="R9" s="213"/>
      <c r="S9" s="213"/>
    </row>
    <row r="10" ht="20.25" customHeight="1">
      <c r="A10" s="190" t="s">
        <v>22</v>
      </c>
      <c r="B10" s="10" t="s">
        <v>53</v>
      </c>
      <c r="C10" s="10" t="s">
        <v>867</v>
      </c>
      <c r="D10" s="191">
        <v>46027.0</v>
      </c>
      <c r="E10" s="10" t="s">
        <v>1236</v>
      </c>
      <c r="F10" s="10" t="s">
        <v>1238</v>
      </c>
      <c r="G10" s="10" t="s">
        <v>1240</v>
      </c>
      <c r="H10" s="10" t="s">
        <v>1242</v>
      </c>
      <c r="I10" s="94" t="s">
        <v>1244</v>
      </c>
      <c r="J10" s="10" t="s">
        <v>1246</v>
      </c>
      <c r="K10" s="17"/>
      <c r="L10" s="83"/>
      <c r="M10" s="195"/>
      <c r="N10" s="10" t="b">
        <v>0</v>
      </c>
      <c r="O10" s="24"/>
      <c r="P10" s="38"/>
      <c r="Q10" s="197"/>
      <c r="R10" s="199"/>
      <c r="S10" s="199"/>
    </row>
    <row r="11" ht="20.25" customHeight="1">
      <c r="A11" s="190" t="s">
        <v>17</v>
      </c>
      <c r="B11" s="10" t="s">
        <v>23</v>
      </c>
      <c r="C11" s="10" t="s">
        <v>867</v>
      </c>
      <c r="D11" s="191">
        <v>46007.0</v>
      </c>
      <c r="E11" s="10" t="s">
        <v>1261</v>
      </c>
      <c r="F11" s="10" t="s">
        <v>1262</v>
      </c>
      <c r="G11" s="10" t="s">
        <v>1263</v>
      </c>
      <c r="H11" s="10" t="s">
        <v>1264</v>
      </c>
      <c r="I11" s="94" t="s">
        <v>340</v>
      </c>
      <c r="J11" s="10" t="s">
        <v>1265</v>
      </c>
      <c r="K11" s="17" t="s">
        <v>1266</v>
      </c>
      <c r="L11" s="83"/>
      <c r="M11" s="195"/>
      <c r="N11" s="10" t="b">
        <v>0</v>
      </c>
      <c r="O11" s="24"/>
      <c r="P11" s="38"/>
      <c r="Q11" s="211">
        <v>1.386412153E9</v>
      </c>
      <c r="R11" s="213"/>
      <c r="S11" s="213"/>
    </row>
    <row r="12" ht="20.25" customHeight="1">
      <c r="A12" s="190" t="s">
        <v>18</v>
      </c>
      <c r="B12" s="10" t="s">
        <v>19</v>
      </c>
      <c r="C12" s="10" t="s">
        <v>867</v>
      </c>
      <c r="D12" s="191">
        <v>45985.0</v>
      </c>
      <c r="E12" s="10" t="s">
        <v>1280</v>
      </c>
      <c r="F12" s="10" t="s">
        <v>1282</v>
      </c>
      <c r="G12" s="10" t="s">
        <v>1284</v>
      </c>
      <c r="H12" s="10" t="s">
        <v>1287</v>
      </c>
      <c r="I12" s="94" t="s">
        <v>1288</v>
      </c>
      <c r="J12" s="10" t="s">
        <v>1291</v>
      </c>
      <c r="K12" s="17" t="s">
        <v>1295</v>
      </c>
      <c r="L12" s="83"/>
      <c r="M12" s="205">
        <v>46155.97873336806</v>
      </c>
      <c r="N12" s="10" t="b">
        <v>0</v>
      </c>
      <c r="O12" s="24"/>
      <c r="P12" s="38"/>
      <c r="Q12" s="197"/>
      <c r="R12" s="199"/>
      <c r="S12" s="199"/>
    </row>
    <row r="13" ht="20.25" customHeight="1">
      <c r="A13" s="35" t="s">
        <v>117</v>
      </c>
      <c r="B13" s="10" t="s">
        <v>53</v>
      </c>
      <c r="C13" s="10" t="s">
        <v>867</v>
      </c>
      <c r="D13" s="12">
        <v>45973.0</v>
      </c>
      <c r="E13" s="10" t="s">
        <v>1310</v>
      </c>
      <c r="F13" s="10" t="s">
        <v>1311</v>
      </c>
      <c r="G13" s="10" t="s">
        <v>1313</v>
      </c>
      <c r="H13" s="10" t="s">
        <v>1314</v>
      </c>
      <c r="I13" s="94" t="s">
        <v>996</v>
      </c>
      <c r="J13" s="10" t="s">
        <v>1315</v>
      </c>
      <c r="K13" s="17"/>
      <c r="L13" s="83"/>
      <c r="M13" s="195"/>
      <c r="N13" s="10" t="b">
        <v>0</v>
      </c>
      <c r="O13" s="24"/>
      <c r="P13" s="38"/>
      <c r="Q13" s="197"/>
      <c r="R13" s="199"/>
      <c r="S13" s="199"/>
    </row>
    <row r="14" ht="20.25" customHeight="1">
      <c r="A14" s="35" t="s">
        <v>633</v>
      </c>
      <c r="B14" s="10" t="s">
        <v>23</v>
      </c>
      <c r="C14" s="10" t="s">
        <v>867</v>
      </c>
      <c r="D14" s="12">
        <v>45958.0</v>
      </c>
      <c r="E14" s="10" t="s">
        <v>1318</v>
      </c>
      <c r="F14" s="10" t="s">
        <v>1319</v>
      </c>
      <c r="G14" s="10" t="s">
        <v>1320</v>
      </c>
      <c r="H14" s="10" t="s">
        <v>1321</v>
      </c>
      <c r="I14" s="94" t="s">
        <v>1322</v>
      </c>
      <c r="J14" s="10" t="s">
        <v>1323</v>
      </c>
      <c r="K14" s="17"/>
      <c r="L14" s="83"/>
      <c r="M14" s="195"/>
      <c r="N14" s="10" t="b">
        <v>0</v>
      </c>
      <c r="O14" s="24"/>
      <c r="P14" s="38"/>
      <c r="Q14" s="197"/>
      <c r="R14" s="199"/>
      <c r="S14" s="199"/>
    </row>
    <row r="15" ht="20.25" customHeight="1">
      <c r="A15" s="35" t="s">
        <v>22</v>
      </c>
      <c r="B15" s="10" t="s">
        <v>19</v>
      </c>
      <c r="C15" s="10" t="s">
        <v>867</v>
      </c>
      <c r="D15" s="12">
        <v>45897.0</v>
      </c>
      <c r="E15" s="10" t="s">
        <v>1331</v>
      </c>
      <c r="F15" s="10" t="s">
        <v>1332</v>
      </c>
      <c r="G15" s="10" t="s">
        <v>1333</v>
      </c>
      <c r="H15" s="10" t="s">
        <v>1334</v>
      </c>
      <c r="I15" s="94" t="s">
        <v>1335</v>
      </c>
      <c r="J15" s="10" t="s">
        <v>1336</v>
      </c>
      <c r="K15" s="17" t="s">
        <v>1337</v>
      </c>
      <c r="L15" s="83"/>
      <c r="M15" s="195"/>
      <c r="N15" s="10" t="b">
        <v>0</v>
      </c>
      <c r="O15" s="24"/>
      <c r="P15" s="38"/>
      <c r="Q15" s="197"/>
      <c r="R15" s="199"/>
      <c r="S15" s="199"/>
    </row>
    <row r="16" ht="20.25" customHeight="1">
      <c r="A16" s="35" t="s">
        <v>22</v>
      </c>
      <c r="B16" s="10" t="s">
        <v>23</v>
      </c>
      <c r="C16" s="10" t="s">
        <v>867</v>
      </c>
      <c r="D16" s="12">
        <v>45925.0</v>
      </c>
      <c r="E16" s="10" t="s">
        <v>1352</v>
      </c>
      <c r="F16" s="10" t="s">
        <v>1353</v>
      </c>
      <c r="G16" s="10" t="s">
        <v>1354</v>
      </c>
      <c r="H16" s="10" t="s">
        <v>1355</v>
      </c>
      <c r="I16" s="94" t="s">
        <v>655</v>
      </c>
      <c r="J16" s="10" t="s">
        <v>1357</v>
      </c>
      <c r="K16" s="17" t="s">
        <v>1358</v>
      </c>
      <c r="L16" s="83"/>
      <c r="M16" s="205">
        <v>46058.802077430555</v>
      </c>
      <c r="N16" s="10" t="b">
        <v>0</v>
      </c>
      <c r="O16" s="24"/>
      <c r="P16" s="38"/>
      <c r="Q16" s="211">
        <v>1.396635629E9</v>
      </c>
      <c r="R16" s="213"/>
      <c r="S16" s="213"/>
    </row>
    <row r="17" ht="20.25" customHeight="1">
      <c r="A17" s="35" t="s">
        <v>22</v>
      </c>
      <c r="B17" s="10" t="s">
        <v>53</v>
      </c>
      <c r="C17" s="10" t="s">
        <v>867</v>
      </c>
      <c r="D17" s="12">
        <v>45919.0</v>
      </c>
      <c r="E17" s="10" t="s">
        <v>1363</v>
      </c>
      <c r="F17" s="10" t="s">
        <v>1365</v>
      </c>
      <c r="G17" s="10" t="s">
        <v>1366</v>
      </c>
      <c r="H17" s="10" t="s">
        <v>1368</v>
      </c>
      <c r="I17" s="94" t="s">
        <v>1369</v>
      </c>
      <c r="J17" s="10" t="s">
        <v>1370</v>
      </c>
      <c r="K17" s="17" t="s">
        <v>1371</v>
      </c>
      <c r="L17" s="83"/>
      <c r="M17" s="195"/>
      <c r="N17" s="10" t="b">
        <v>0</v>
      </c>
      <c r="O17" s="24"/>
      <c r="P17" s="38"/>
      <c r="Q17" s="197"/>
      <c r="R17" s="199"/>
      <c r="S17" s="199"/>
    </row>
    <row r="18" ht="20.25" customHeight="1">
      <c r="A18" s="35" t="s">
        <v>646</v>
      </c>
      <c r="B18" s="10" t="s">
        <v>53</v>
      </c>
      <c r="C18" s="10" t="s">
        <v>867</v>
      </c>
      <c r="D18" s="12">
        <v>45916.0</v>
      </c>
      <c r="E18" s="10" t="s">
        <v>1375</v>
      </c>
      <c r="F18" s="10" t="s">
        <v>1377</v>
      </c>
      <c r="G18" s="10" t="s">
        <v>1379</v>
      </c>
      <c r="H18" s="10" t="s">
        <v>1380</v>
      </c>
      <c r="I18" s="94" t="s">
        <v>1382</v>
      </c>
      <c r="J18" s="10" t="s">
        <v>1384</v>
      </c>
      <c r="K18" s="17" t="s">
        <v>1385</v>
      </c>
      <c r="L18" s="83"/>
      <c r="M18" s="195"/>
      <c r="N18" s="10" t="b">
        <v>0</v>
      </c>
      <c r="O18" s="24"/>
      <c r="P18" s="38"/>
      <c r="Q18" s="197"/>
      <c r="R18" s="199"/>
      <c r="S18" s="199"/>
    </row>
    <row r="19" ht="20.25" customHeight="1">
      <c r="A19" s="35" t="s">
        <v>1387</v>
      </c>
      <c r="B19" s="10" t="s">
        <v>23</v>
      </c>
      <c r="C19" s="10" t="s">
        <v>867</v>
      </c>
      <c r="D19" s="12">
        <v>45882.0</v>
      </c>
      <c r="E19" s="10" t="s">
        <v>1388</v>
      </c>
      <c r="F19" s="10" t="s">
        <v>1390</v>
      </c>
      <c r="G19" s="10" t="s">
        <v>1392</v>
      </c>
      <c r="H19" s="10" t="s">
        <v>1395</v>
      </c>
      <c r="I19" s="94" t="s">
        <v>1396</v>
      </c>
      <c r="J19" s="10" t="s">
        <v>1398</v>
      </c>
      <c r="K19" s="17" t="s">
        <v>1400</v>
      </c>
      <c r="L19" s="83"/>
      <c r="M19" s="195"/>
      <c r="N19" s="10" t="b">
        <v>0</v>
      </c>
      <c r="O19" s="24"/>
      <c r="P19" s="38"/>
      <c r="Q19" s="197"/>
      <c r="R19" s="199"/>
      <c r="S19" s="199"/>
    </row>
    <row r="20" ht="20.25" customHeight="1">
      <c r="A20" s="197" t="s">
        <v>22</v>
      </c>
      <c r="B20" s="243" t="s">
        <v>23</v>
      </c>
      <c r="C20" s="10" t="s">
        <v>1410</v>
      </c>
      <c r="D20" s="12">
        <v>45897.0</v>
      </c>
      <c r="E20" s="197" t="s">
        <v>1411</v>
      </c>
      <c r="F20" s="197" t="s">
        <v>1412</v>
      </c>
      <c r="G20" s="197" t="s">
        <v>1413</v>
      </c>
      <c r="H20" s="197" t="s">
        <v>1414</v>
      </c>
      <c r="I20" s="244" t="s">
        <v>1415</v>
      </c>
      <c r="J20" s="197" t="s">
        <v>1421</v>
      </c>
      <c r="K20" s="197" t="s">
        <v>1423</v>
      </c>
      <c r="L20" s="245"/>
      <c r="M20" s="247"/>
      <c r="N20" s="248"/>
      <c r="O20" s="250" t="b">
        <v>0</v>
      </c>
      <c r="P20" s="252"/>
      <c r="Q20" s="197"/>
      <c r="R20" s="199"/>
      <c r="S20" s="199"/>
    </row>
    <row r="21" ht="20.25" customHeight="1">
      <c r="A21" s="197" t="s">
        <v>22</v>
      </c>
      <c r="B21" s="243" t="s">
        <v>53</v>
      </c>
      <c r="C21" s="10" t="s">
        <v>867</v>
      </c>
      <c r="D21" s="12">
        <v>45895.0</v>
      </c>
      <c r="E21" s="197" t="s">
        <v>1441</v>
      </c>
      <c r="F21" s="197" t="s">
        <v>1444</v>
      </c>
      <c r="G21" s="197" t="s">
        <v>1446</v>
      </c>
      <c r="H21" s="197" t="s">
        <v>1448</v>
      </c>
      <c r="I21" s="244" t="s">
        <v>1382</v>
      </c>
      <c r="J21" s="197" t="s">
        <v>1449</v>
      </c>
      <c r="K21" s="197" t="s">
        <v>1450</v>
      </c>
      <c r="L21" s="245"/>
      <c r="M21" s="247"/>
      <c r="N21" s="248"/>
      <c r="O21" s="250" t="b">
        <v>0</v>
      </c>
      <c r="P21" s="252"/>
      <c r="Q21" s="197"/>
      <c r="R21" s="199"/>
      <c r="S21" s="199"/>
    </row>
    <row r="22" ht="20.25" customHeight="1">
      <c r="A22" s="197" t="s">
        <v>22</v>
      </c>
      <c r="B22" s="243" t="s">
        <v>19</v>
      </c>
      <c r="C22" s="10" t="s">
        <v>867</v>
      </c>
      <c r="D22" s="12">
        <v>45888.0</v>
      </c>
      <c r="E22" s="197" t="s">
        <v>1452</v>
      </c>
      <c r="F22" s="197" t="s">
        <v>1453</v>
      </c>
      <c r="G22" s="197" t="s">
        <v>1455</v>
      </c>
      <c r="H22" s="197" t="s">
        <v>1457</v>
      </c>
      <c r="I22" s="244" t="s">
        <v>1459</v>
      </c>
      <c r="J22" s="197" t="s">
        <v>1460</v>
      </c>
      <c r="K22" s="197" t="s">
        <v>1000</v>
      </c>
      <c r="L22" s="245"/>
      <c r="M22" s="247"/>
      <c r="N22" s="248"/>
      <c r="O22" s="250" t="b">
        <v>0</v>
      </c>
      <c r="P22" s="252"/>
      <c r="Q22" s="197"/>
      <c r="R22" s="199"/>
      <c r="S22" s="199"/>
    </row>
    <row r="23" ht="20.25" customHeight="1">
      <c r="A23" s="197" t="s">
        <v>17</v>
      </c>
      <c r="B23" s="243" t="s">
        <v>23</v>
      </c>
      <c r="C23" s="10" t="s">
        <v>867</v>
      </c>
      <c r="D23" s="12">
        <v>45891.0</v>
      </c>
      <c r="E23" s="197" t="s">
        <v>1463</v>
      </c>
      <c r="F23" s="197" t="s">
        <v>1464</v>
      </c>
      <c r="G23" s="197" t="s">
        <v>1465</v>
      </c>
      <c r="H23" s="197" t="s">
        <v>1466</v>
      </c>
      <c r="I23" s="244" t="s">
        <v>1467</v>
      </c>
      <c r="J23" s="197" t="s">
        <v>1468</v>
      </c>
      <c r="K23" s="197" t="s">
        <v>1469</v>
      </c>
      <c r="L23" s="245"/>
      <c r="M23" s="247"/>
      <c r="N23" s="248"/>
      <c r="O23" s="250" t="b">
        <v>0</v>
      </c>
      <c r="P23" s="252"/>
      <c r="Q23" s="197">
        <v>1.033116447E9</v>
      </c>
      <c r="R23" s="199"/>
      <c r="S23" s="199"/>
    </row>
    <row r="24" ht="20.25" customHeight="1">
      <c r="A24" s="197" t="s">
        <v>17</v>
      </c>
      <c r="B24" s="243" t="s">
        <v>53</v>
      </c>
      <c r="C24" s="10" t="s">
        <v>867</v>
      </c>
      <c r="D24" s="12">
        <v>45891.0</v>
      </c>
      <c r="E24" s="197" t="s">
        <v>1472</v>
      </c>
      <c r="F24" s="197" t="s">
        <v>1474</v>
      </c>
      <c r="G24" s="197" t="s">
        <v>1476</v>
      </c>
      <c r="H24" s="197" t="s">
        <v>1477</v>
      </c>
      <c r="I24" s="244" t="s">
        <v>1478</v>
      </c>
      <c r="J24" s="197" t="s">
        <v>1480</v>
      </c>
      <c r="K24" s="197" t="s">
        <v>1483</v>
      </c>
      <c r="L24" s="245"/>
      <c r="M24" s="247"/>
      <c r="N24" s="248"/>
      <c r="O24" s="250" t="b">
        <v>0</v>
      </c>
      <c r="P24" s="252"/>
      <c r="Q24" s="197"/>
      <c r="R24" s="199"/>
      <c r="S24" s="199"/>
    </row>
    <row r="25" ht="20.25" customHeight="1">
      <c r="A25" s="197" t="s">
        <v>1387</v>
      </c>
      <c r="B25" s="243" t="s">
        <v>587</v>
      </c>
      <c r="C25" s="10" t="s">
        <v>867</v>
      </c>
      <c r="D25" s="12">
        <v>45880.0</v>
      </c>
      <c r="E25" s="197" t="s">
        <v>1487</v>
      </c>
      <c r="F25" s="197" t="s">
        <v>1488</v>
      </c>
      <c r="G25" s="197" t="s">
        <v>1489</v>
      </c>
      <c r="H25" s="197" t="s">
        <v>1491</v>
      </c>
      <c r="I25" s="244" t="s">
        <v>1494</v>
      </c>
      <c r="J25" s="197" t="s">
        <v>1495</v>
      </c>
      <c r="K25" s="197" t="s">
        <v>1496</v>
      </c>
      <c r="L25" s="245"/>
      <c r="M25" s="247"/>
      <c r="N25" s="248"/>
      <c r="O25" s="250" t="b">
        <v>0</v>
      </c>
      <c r="P25" s="252"/>
      <c r="Q25" s="197"/>
      <c r="R25" s="199"/>
      <c r="S25" s="199"/>
    </row>
    <row r="26" ht="20.25" customHeight="1">
      <c r="A26" s="197" t="s">
        <v>0</v>
      </c>
      <c r="B26" s="243" t="s">
        <v>23</v>
      </c>
      <c r="C26" s="10" t="s">
        <v>867</v>
      </c>
      <c r="D26" s="12">
        <v>45859.0</v>
      </c>
      <c r="E26" s="197" t="s">
        <v>1520</v>
      </c>
      <c r="F26" s="197" t="s">
        <v>1522</v>
      </c>
      <c r="G26" s="197"/>
      <c r="H26" s="197" t="s">
        <v>1526</v>
      </c>
      <c r="I26" s="244" t="s">
        <v>1528</v>
      </c>
      <c r="J26" s="197" t="s">
        <v>1530</v>
      </c>
      <c r="K26" s="197" t="s">
        <v>1533</v>
      </c>
      <c r="L26" s="245"/>
      <c r="M26" s="247"/>
      <c r="N26" s="248"/>
      <c r="O26" s="250" t="b">
        <v>0</v>
      </c>
      <c r="P26" s="252"/>
      <c r="Q26" s="197"/>
      <c r="R26" s="199"/>
      <c r="S26" s="199"/>
    </row>
    <row r="27" ht="20.25" customHeight="1">
      <c r="A27" s="197" t="s">
        <v>22</v>
      </c>
      <c r="B27" s="243" t="s">
        <v>19</v>
      </c>
      <c r="C27" s="10" t="s">
        <v>867</v>
      </c>
      <c r="D27" s="12">
        <v>45925.0</v>
      </c>
      <c r="E27" s="197" t="s">
        <v>1586</v>
      </c>
      <c r="F27" s="197" t="s">
        <v>1589</v>
      </c>
      <c r="G27" s="197" t="s">
        <v>1593</v>
      </c>
      <c r="H27" s="197" t="s">
        <v>1596</v>
      </c>
      <c r="I27" s="244" t="s">
        <v>1601</v>
      </c>
      <c r="J27" s="197" t="s">
        <v>1606</v>
      </c>
      <c r="K27" s="197"/>
      <c r="L27" s="245"/>
      <c r="M27" s="266"/>
      <c r="N27" s="248"/>
      <c r="O27" s="250" t="b">
        <v>0</v>
      </c>
      <c r="P27" s="252"/>
      <c r="Q27" s="197"/>
      <c r="R27" s="199"/>
      <c r="S27" s="199"/>
    </row>
    <row r="28" ht="20.25" customHeight="1">
      <c r="A28" s="197" t="s">
        <v>22</v>
      </c>
      <c r="B28" s="243" t="s">
        <v>53</v>
      </c>
      <c r="C28" s="10" t="s">
        <v>867</v>
      </c>
      <c r="D28" s="12">
        <v>45847.0</v>
      </c>
      <c r="E28" s="197" t="s">
        <v>1646</v>
      </c>
      <c r="F28" s="197" t="s">
        <v>1648</v>
      </c>
      <c r="G28" s="197" t="s">
        <v>1650</v>
      </c>
      <c r="H28" s="197" t="s">
        <v>1652</v>
      </c>
      <c r="I28" s="244" t="s">
        <v>1654</v>
      </c>
      <c r="J28" s="197" t="s">
        <v>1658</v>
      </c>
      <c r="K28" s="197" t="s">
        <v>1000</v>
      </c>
      <c r="L28" s="245"/>
      <c r="M28" s="266">
        <v>0.75</v>
      </c>
      <c r="N28" s="248"/>
      <c r="O28" s="250" t="b">
        <v>0</v>
      </c>
      <c r="P28" s="252"/>
      <c r="Q28" s="197"/>
      <c r="R28" s="199"/>
      <c r="S28" s="199"/>
    </row>
    <row r="29" ht="20.25" customHeight="1">
      <c r="A29" s="197" t="s">
        <v>646</v>
      </c>
      <c r="B29" s="243" t="s">
        <v>23</v>
      </c>
      <c r="C29" s="10" t="s">
        <v>867</v>
      </c>
      <c r="D29" s="12">
        <v>45909.0</v>
      </c>
      <c r="E29" s="197" t="s">
        <v>1669</v>
      </c>
      <c r="F29" s="197" t="s">
        <v>1670</v>
      </c>
      <c r="G29" s="197" t="s">
        <v>1671</v>
      </c>
      <c r="H29" s="197" t="s">
        <v>1672</v>
      </c>
      <c r="I29" s="244" t="s">
        <v>1673</v>
      </c>
      <c r="J29" s="197" t="s">
        <v>1674</v>
      </c>
      <c r="K29" s="197" t="s">
        <v>1675</v>
      </c>
      <c r="L29" s="245"/>
      <c r="M29" s="266"/>
      <c r="N29" s="248"/>
      <c r="O29" s="250" t="b">
        <v>0</v>
      </c>
      <c r="P29" s="252"/>
      <c r="Q29" s="197"/>
      <c r="R29" s="199"/>
      <c r="S29" s="199"/>
    </row>
    <row r="30" ht="20.25" customHeight="1">
      <c r="A30" s="197" t="s">
        <v>633</v>
      </c>
      <c r="B30" s="243" t="s">
        <v>23</v>
      </c>
      <c r="C30" s="10" t="s">
        <v>867</v>
      </c>
      <c r="D30" s="12">
        <v>45722.0</v>
      </c>
      <c r="E30" s="197" t="s">
        <v>1687</v>
      </c>
      <c r="F30" s="197" t="s">
        <v>1688</v>
      </c>
      <c r="G30" s="197" t="s">
        <v>1689</v>
      </c>
      <c r="H30" s="197"/>
      <c r="I30" s="244" t="s">
        <v>997</v>
      </c>
      <c r="J30" s="197"/>
      <c r="K30" s="197" t="s">
        <v>1690</v>
      </c>
      <c r="L30" s="245"/>
      <c r="M30" s="266"/>
      <c r="N30" s="248"/>
      <c r="O30" s="250" t="b">
        <v>0</v>
      </c>
      <c r="P30" s="252"/>
      <c r="Q30" s="197"/>
      <c r="R30" s="199"/>
      <c r="S30" s="199"/>
    </row>
    <row r="31" ht="20.25" customHeight="1">
      <c r="A31" s="159" t="s">
        <v>117</v>
      </c>
      <c r="B31" s="159" t="s">
        <v>23</v>
      </c>
      <c r="C31" s="159" t="s">
        <v>867</v>
      </c>
      <c r="D31" s="160">
        <v>45973.0</v>
      </c>
      <c r="E31" s="159" t="s">
        <v>1705</v>
      </c>
      <c r="F31" s="159" t="s">
        <v>1707</v>
      </c>
      <c r="G31" s="159" t="s">
        <v>1708</v>
      </c>
      <c r="H31" s="159" t="s">
        <v>1710</v>
      </c>
      <c r="I31" s="276" t="s">
        <v>883</v>
      </c>
      <c r="J31" s="159" t="s">
        <v>1717</v>
      </c>
      <c r="K31" s="72" t="s">
        <v>1720</v>
      </c>
      <c r="L31" s="279"/>
      <c r="M31" s="280"/>
      <c r="N31" s="166"/>
      <c r="O31" s="159" t="b">
        <v>0</v>
      </c>
      <c r="P31" s="167"/>
      <c r="Q31" s="211">
        <v>1.083367015E9</v>
      </c>
      <c r="R31" s="213"/>
      <c r="S31" s="213"/>
    </row>
    <row r="32" ht="20.25" customHeight="1">
      <c r="A32" s="284" t="s">
        <v>62</v>
      </c>
      <c r="B32" s="279" t="s">
        <v>23</v>
      </c>
      <c r="C32" s="72" t="s">
        <v>867</v>
      </c>
      <c r="D32" s="287">
        <v>45982.0</v>
      </c>
      <c r="E32" s="279" t="s">
        <v>1749</v>
      </c>
      <c r="F32" s="279" t="s">
        <v>1750</v>
      </c>
      <c r="G32" s="279" t="s">
        <v>1751</v>
      </c>
      <c r="H32" s="279" t="s">
        <v>1752</v>
      </c>
      <c r="I32" s="289" t="s">
        <v>597</v>
      </c>
      <c r="J32" s="72" t="s">
        <v>1767</v>
      </c>
      <c r="K32" s="290" t="s">
        <v>1771</v>
      </c>
      <c r="L32" s="291"/>
      <c r="M32" s="293"/>
      <c r="N32" s="294"/>
      <c r="O32" s="279" t="b">
        <v>0</v>
      </c>
      <c r="P32" s="296"/>
      <c r="Q32" s="211">
        <v>1.609692128E9</v>
      </c>
      <c r="R32" s="213"/>
      <c r="S32" s="213"/>
    </row>
    <row r="33" ht="20.25" customHeight="1">
      <c r="A33" s="159" t="s">
        <v>22</v>
      </c>
      <c r="B33" s="159" t="s">
        <v>19</v>
      </c>
      <c r="C33" s="159" t="s">
        <v>867</v>
      </c>
      <c r="D33" s="160">
        <v>45784.0</v>
      </c>
      <c r="E33" s="159" t="s">
        <v>1815</v>
      </c>
      <c r="F33" s="159" t="s">
        <v>1816</v>
      </c>
      <c r="G33" s="159" t="s">
        <v>1817</v>
      </c>
      <c r="H33" s="159" t="s">
        <v>1818</v>
      </c>
      <c r="I33" s="276" t="s">
        <v>59</v>
      </c>
      <c r="J33" s="159" t="s">
        <v>1822</v>
      </c>
      <c r="K33" s="72" t="s">
        <v>1825</v>
      </c>
      <c r="L33" s="279"/>
      <c r="M33" s="297"/>
      <c r="N33" s="298"/>
      <c r="O33" s="159" t="b">
        <v>0</v>
      </c>
      <c r="P33" s="167"/>
      <c r="Q33" s="197"/>
      <c r="R33" s="199"/>
      <c r="S33" s="199"/>
    </row>
    <row r="34" ht="20.25" customHeight="1">
      <c r="A34" s="194" t="s">
        <v>62</v>
      </c>
      <c r="B34" s="17" t="s">
        <v>23</v>
      </c>
      <c r="C34" s="10" t="s">
        <v>867</v>
      </c>
      <c r="D34" s="191">
        <v>46066.0</v>
      </c>
      <c r="E34" s="196" t="s">
        <v>1847</v>
      </c>
      <c r="F34" s="196" t="s">
        <v>1852</v>
      </c>
      <c r="G34" s="196" t="s">
        <v>1854</v>
      </c>
      <c r="H34" s="196" t="s">
        <v>1857</v>
      </c>
      <c r="I34" s="192" t="str">
        <f>HYPERLINK("https://calendar.google.com/calendar/u/0/r/eventedit/NGFwaHJwZm9nbTdjNDA0MjltY3MwNWpzZnYgYzM5ZjIxNjY2YTJjNzBkNjQ0MDI0YmQyOWM3ZmM5ODM3OTY2MmY3OTJlNWEwNDdjZGIzNTdhNDJiM2M1N2QwNEBn?pli=1", "Tues 8:00 PM")
</f>
        <v>Tues 8:00 PM</v>
      </c>
      <c r="J34" s="196" t="s">
        <v>1873</v>
      </c>
      <c r="K34" s="300"/>
      <c r="L34" s="202"/>
      <c r="M34" s="301"/>
      <c r="N34" s="204"/>
      <c r="O34" s="302" t="b">
        <v>0</v>
      </c>
      <c r="P34" s="206"/>
      <c r="Q34" s="211">
        <v>1.376371294E9</v>
      </c>
      <c r="R34" s="213"/>
      <c r="S34" s="213"/>
    </row>
    <row r="35" ht="20.25" customHeight="1">
      <c r="A35" s="190" t="s">
        <v>1387</v>
      </c>
      <c r="B35" s="10" t="s">
        <v>23</v>
      </c>
      <c r="C35" s="10" t="s">
        <v>867</v>
      </c>
      <c r="D35" s="191">
        <v>45882.0</v>
      </c>
      <c r="E35" s="10" t="s">
        <v>1388</v>
      </c>
      <c r="F35" s="10" t="s">
        <v>1390</v>
      </c>
      <c r="G35" s="10" t="s">
        <v>1392</v>
      </c>
      <c r="H35" s="10" t="s">
        <v>1395</v>
      </c>
      <c r="I35" s="15" t="s">
        <v>1396</v>
      </c>
      <c r="J35" s="10" t="s">
        <v>1398</v>
      </c>
      <c r="K35" s="17" t="s">
        <v>1400</v>
      </c>
      <c r="L35" s="20"/>
      <c r="M35" s="83"/>
      <c r="N35" s="195"/>
      <c r="O35" s="10" t="b">
        <v>0</v>
      </c>
      <c r="P35" s="24"/>
      <c r="Q35" s="197"/>
      <c r="R35" s="199"/>
      <c r="S35" s="199"/>
    </row>
    <row r="36" ht="20.25" customHeight="1">
      <c r="A36" s="35" t="s">
        <v>62</v>
      </c>
      <c r="B36" s="10" t="s">
        <v>225</v>
      </c>
      <c r="C36" s="10" t="s">
        <v>867</v>
      </c>
      <c r="D36" s="12">
        <v>46080.0</v>
      </c>
      <c r="E36" s="10" t="s">
        <v>1919</v>
      </c>
      <c r="F36" s="10" t="s">
        <v>1920</v>
      </c>
      <c r="G36" s="10" t="s">
        <v>1923</v>
      </c>
      <c r="H36" s="10" t="s">
        <v>1924</v>
      </c>
      <c r="I36" s="15" t="s">
        <v>548</v>
      </c>
      <c r="J36" s="10"/>
      <c r="K36" s="17"/>
      <c r="L36" s="20"/>
      <c r="M36" s="22"/>
      <c r="N36" s="195"/>
      <c r="O36" s="10" t="b">
        <v>0</v>
      </c>
      <c r="P36" s="24"/>
      <c r="Q36" s="197"/>
      <c r="R36" s="199"/>
      <c r="S36" s="199"/>
    </row>
    <row r="37" ht="20.25" customHeight="1">
      <c r="A37" s="35" t="s">
        <v>22</v>
      </c>
      <c r="B37" s="10" t="s">
        <v>225</v>
      </c>
      <c r="C37" s="10" t="s">
        <v>867</v>
      </c>
      <c r="D37" s="12">
        <v>46066.0</v>
      </c>
      <c r="E37" s="10" t="s">
        <v>1936</v>
      </c>
      <c r="F37" s="10" t="s">
        <v>1938</v>
      </c>
      <c r="G37" s="10" t="s">
        <v>1940</v>
      </c>
      <c r="H37" s="10" t="s">
        <v>1942</v>
      </c>
      <c r="I37" s="15" t="s">
        <v>613</v>
      </c>
      <c r="J37" s="10" t="s">
        <v>1944</v>
      </c>
      <c r="K37" s="17" t="s">
        <v>1946</v>
      </c>
      <c r="L37" s="20"/>
      <c r="M37" s="22">
        <v>46070.8782496875</v>
      </c>
      <c r="N37" s="195"/>
      <c r="O37" s="10" t="b">
        <v>0</v>
      </c>
      <c r="P37" s="24"/>
      <c r="Q37" s="197"/>
      <c r="R37" s="199"/>
      <c r="S37" s="199"/>
    </row>
    <row r="38" ht="20.25" customHeight="1">
      <c r="A38" s="35" t="s">
        <v>18</v>
      </c>
      <c r="B38" s="10" t="s">
        <v>19</v>
      </c>
      <c r="C38" s="10" t="s">
        <v>867</v>
      </c>
      <c r="D38" s="12">
        <v>45992.0</v>
      </c>
      <c r="E38" s="10" t="s">
        <v>1956</v>
      </c>
      <c r="F38" s="10" t="s">
        <v>1958</v>
      </c>
      <c r="G38" s="10" t="s">
        <v>1960</v>
      </c>
      <c r="H38" s="10" t="s">
        <v>1962</v>
      </c>
      <c r="I38" s="15" t="s">
        <v>1963</v>
      </c>
      <c r="J38" s="10" t="s">
        <v>1965</v>
      </c>
      <c r="K38" s="17" t="s">
        <v>1966</v>
      </c>
      <c r="L38" s="20"/>
      <c r="M38" s="22">
        <v>46112.90381523148</v>
      </c>
      <c r="N38" s="195"/>
      <c r="O38" s="10" t="b">
        <v>0</v>
      </c>
      <c r="P38" s="24"/>
      <c r="Q38" s="197"/>
      <c r="R38" s="199"/>
      <c r="S38" s="199"/>
    </row>
    <row r="39" ht="20.25" customHeight="1">
      <c r="A39" s="35" t="s">
        <v>22</v>
      </c>
      <c r="B39" s="10" t="s">
        <v>19</v>
      </c>
      <c r="C39" s="10" t="s">
        <v>867</v>
      </c>
      <c r="D39" s="12">
        <v>45869.0</v>
      </c>
      <c r="E39" s="10" t="s">
        <v>1977</v>
      </c>
      <c r="F39" s="10" t="s">
        <v>1979</v>
      </c>
      <c r="G39" s="10" t="s">
        <v>1980</v>
      </c>
      <c r="H39" s="10" t="s">
        <v>1981</v>
      </c>
      <c r="I39" s="15" t="s">
        <v>810</v>
      </c>
      <c r="J39" s="10" t="s">
        <v>1983</v>
      </c>
      <c r="K39" s="17" t="s">
        <v>1984</v>
      </c>
      <c r="L39" s="20"/>
      <c r="M39" s="22">
        <v>46112.93044319445</v>
      </c>
      <c r="N39" s="195"/>
      <c r="O39" s="10" t="b">
        <v>0</v>
      </c>
      <c r="P39" s="24"/>
      <c r="Q39" s="197"/>
      <c r="R39" s="199"/>
      <c r="S39" s="199"/>
    </row>
    <row r="40" ht="20.25" customHeight="1">
      <c r="A40" s="35" t="s">
        <v>17</v>
      </c>
      <c r="B40" s="10" t="s">
        <v>53</v>
      </c>
      <c r="C40" s="10" t="s">
        <v>867</v>
      </c>
      <c r="D40" s="12">
        <v>45778.0</v>
      </c>
      <c r="E40" s="10" t="s">
        <v>1993</v>
      </c>
      <c r="F40" s="10" t="s">
        <v>1995</v>
      </c>
      <c r="G40" s="10" t="s">
        <v>1997</v>
      </c>
      <c r="H40" s="10" t="s">
        <v>2000</v>
      </c>
      <c r="I40" s="15" t="s">
        <v>2003</v>
      </c>
      <c r="J40" s="10" t="s">
        <v>2005</v>
      </c>
      <c r="K40" s="17" t="s">
        <v>2008</v>
      </c>
      <c r="L40" s="20"/>
      <c r="M40" s="22">
        <v>46112.9301571875</v>
      </c>
      <c r="N40" s="195"/>
      <c r="O40" s="10" t="b">
        <v>0</v>
      </c>
      <c r="P40" s="24"/>
      <c r="Q40" s="197"/>
      <c r="R40" s="199"/>
      <c r="S40" s="199"/>
    </row>
    <row r="41" ht="20.25" customHeight="1">
      <c r="A41" s="35" t="s">
        <v>410</v>
      </c>
      <c r="B41" s="10" t="s">
        <v>19</v>
      </c>
      <c r="C41" s="10" t="s">
        <v>867</v>
      </c>
      <c r="D41" s="12">
        <v>45595.0</v>
      </c>
      <c r="E41" s="10" t="s">
        <v>2024</v>
      </c>
      <c r="F41" s="10" t="s">
        <v>2026</v>
      </c>
      <c r="G41" s="10" t="s">
        <v>2027</v>
      </c>
      <c r="H41" s="10" t="s">
        <v>2028</v>
      </c>
      <c r="I41" s="15" t="s">
        <v>359</v>
      </c>
      <c r="J41" s="10" t="s">
        <v>2029</v>
      </c>
      <c r="K41" s="17" t="s">
        <v>2030</v>
      </c>
      <c r="L41" s="20"/>
      <c r="M41" s="22">
        <v>46112.953498483796</v>
      </c>
      <c r="N41" s="195"/>
      <c r="O41" s="10" t="b">
        <v>0</v>
      </c>
      <c r="P41" s="24"/>
      <c r="Q41" s="197"/>
      <c r="R41" s="199"/>
      <c r="S41" s="199"/>
    </row>
    <row r="42" ht="20.25" customHeight="1">
      <c r="A42" s="35" t="s">
        <v>20</v>
      </c>
      <c r="B42" s="10" t="s">
        <v>19</v>
      </c>
      <c r="C42" s="10" t="s">
        <v>867</v>
      </c>
      <c r="D42" s="12">
        <v>46001.0</v>
      </c>
      <c r="E42" s="10" t="s">
        <v>2036</v>
      </c>
      <c r="F42" s="10" t="s">
        <v>2037</v>
      </c>
      <c r="G42" s="10"/>
      <c r="H42" s="10"/>
      <c r="I42" s="15" t="s">
        <v>883</v>
      </c>
      <c r="J42" s="10"/>
      <c r="K42" s="17"/>
      <c r="L42" s="20"/>
      <c r="M42" s="22"/>
      <c r="N42" s="195"/>
      <c r="O42" s="10" t="b">
        <v>0</v>
      </c>
      <c r="P42" s="24"/>
      <c r="Q42" s="197"/>
      <c r="R42" s="199"/>
      <c r="S42" s="199"/>
    </row>
    <row r="43" ht="20.25" customHeight="1">
      <c r="A43" s="35" t="s">
        <v>410</v>
      </c>
      <c r="B43" s="10" t="s">
        <v>19</v>
      </c>
      <c r="C43" s="10" t="s">
        <v>867</v>
      </c>
      <c r="D43" s="12">
        <v>46113.0</v>
      </c>
      <c r="E43" s="10" t="s">
        <v>2044</v>
      </c>
      <c r="F43" s="10" t="s">
        <v>2045</v>
      </c>
      <c r="G43" s="10" t="s">
        <v>2046</v>
      </c>
      <c r="H43" s="10" t="s">
        <v>2047</v>
      </c>
      <c r="I43" s="15" t="s">
        <v>240</v>
      </c>
      <c r="J43" s="10" t="s">
        <v>2051</v>
      </c>
      <c r="K43" s="17" t="s">
        <v>2054</v>
      </c>
      <c r="L43" s="20"/>
      <c r="M43" s="22">
        <v>46114.84939721065</v>
      </c>
      <c r="N43" s="195"/>
      <c r="O43" s="10" t="b">
        <v>0</v>
      </c>
      <c r="P43" s="24"/>
      <c r="Q43" s="197"/>
      <c r="R43" s="199"/>
      <c r="S43" s="199"/>
    </row>
    <row r="44" ht="20.25" customHeight="1">
      <c r="A44" s="35" t="s">
        <v>22</v>
      </c>
      <c r="B44" s="10" t="s">
        <v>53</v>
      </c>
      <c r="C44" s="10" t="s">
        <v>867</v>
      </c>
      <c r="D44" s="12">
        <v>46056.0</v>
      </c>
      <c r="E44" s="10" t="s">
        <v>2062</v>
      </c>
      <c r="F44" s="10" t="s">
        <v>2064</v>
      </c>
      <c r="G44" s="10" t="s">
        <v>2066</v>
      </c>
      <c r="H44" s="10" t="s">
        <v>2067</v>
      </c>
      <c r="I44" s="15" t="s">
        <v>1092</v>
      </c>
      <c r="J44" s="10" t="s">
        <v>2068</v>
      </c>
      <c r="K44" s="17" t="s">
        <v>2073</v>
      </c>
      <c r="L44" s="20"/>
      <c r="M44" s="22">
        <v>46107.76638810185</v>
      </c>
      <c r="N44" s="195"/>
      <c r="O44" s="10" t="b">
        <v>0</v>
      </c>
      <c r="P44" s="24"/>
      <c r="Q44" s="197"/>
      <c r="R44" s="199"/>
      <c r="S44" s="199"/>
    </row>
    <row r="45" ht="20.25" customHeight="1">
      <c r="A45" s="35" t="s">
        <v>22</v>
      </c>
      <c r="B45" s="10" t="s">
        <v>53</v>
      </c>
      <c r="C45" s="10" t="s">
        <v>867</v>
      </c>
      <c r="D45" s="12">
        <v>46105.0</v>
      </c>
      <c r="E45" s="10" t="s">
        <v>2085</v>
      </c>
      <c r="F45" s="10" t="s">
        <v>2086</v>
      </c>
      <c r="G45" s="10" t="s">
        <v>2087</v>
      </c>
      <c r="H45" s="10" t="s">
        <v>2089</v>
      </c>
      <c r="I45" s="15" t="s">
        <v>269</v>
      </c>
      <c r="J45" s="10" t="s">
        <v>2092</v>
      </c>
      <c r="K45" s="17" t="s">
        <v>2097</v>
      </c>
      <c r="L45" s="20"/>
      <c r="M45" s="22">
        <v>46106.715583819445</v>
      </c>
      <c r="N45" s="195"/>
      <c r="O45" s="10" t="b">
        <v>0</v>
      </c>
      <c r="P45" s="24"/>
      <c r="Q45" s="197"/>
      <c r="R45" s="199"/>
      <c r="S45" s="199"/>
    </row>
    <row r="46" ht="20.25" customHeight="1">
      <c r="A46" s="194" t="s">
        <v>17</v>
      </c>
      <c r="B46" s="17" t="s">
        <v>23</v>
      </c>
      <c r="C46" s="10" t="s">
        <v>867</v>
      </c>
      <c r="D46" s="191">
        <v>46105.0</v>
      </c>
      <c r="E46" s="196" t="s">
        <v>2107</v>
      </c>
      <c r="F46" s="196" t="s">
        <v>2109</v>
      </c>
      <c r="G46" s="196" t="s">
        <v>2111</v>
      </c>
      <c r="H46" s="196" t="s">
        <v>2113</v>
      </c>
      <c r="I46" s="303" t="str">
        <f>HYPERLINK("https://calendar.google.com/calendar/u/0/r/eventedit/NmY4MDQwMHFlZGI2YXJqN2xnYjFhMjVldWYgYzM5ZjIxNjY2YTJjNzBkNjQ0MDI0YmQyOWM3ZmM5ODM3OTY2MmY3OTJlNWEwNDdjZGIzNTdhNDJiM2M1N2QwNEBn?pli=1", "WED 8:00 PM")
</f>
        <v>WED 8:00 PM</v>
      </c>
      <c r="J46" s="196" t="s">
        <v>2132</v>
      </c>
      <c r="K46" s="319" t="s">
        <v>2135</v>
      </c>
      <c r="L46" s="202"/>
      <c r="M46" s="320">
        <v>46134.705871053244</v>
      </c>
      <c r="N46" s="204"/>
      <c r="O46" s="302" t="b">
        <v>0</v>
      </c>
      <c r="P46" s="206"/>
      <c r="Q46" s="211">
        <v>1.679345375E9</v>
      </c>
      <c r="R46" s="213"/>
      <c r="S46" s="213"/>
    </row>
    <row r="47" ht="20.25" customHeight="1">
      <c r="A47" s="194" t="s">
        <v>62</v>
      </c>
      <c r="B47" s="17" t="s">
        <v>23</v>
      </c>
      <c r="C47" s="10" t="s">
        <v>867</v>
      </c>
      <c r="D47" s="191">
        <v>46108.0</v>
      </c>
      <c r="E47" s="196" t="s">
        <v>2152</v>
      </c>
      <c r="F47" s="196" t="s">
        <v>2155</v>
      </c>
      <c r="G47" s="196" t="s">
        <v>2157</v>
      </c>
      <c r="H47" s="196" t="s">
        <v>2159</v>
      </c>
      <c r="I47" s="303" t="str">
        <f>HYPERLINK("https://calendar.google.com/calendar/u/0/r/eventedit/MjFyZTg3dGk5aG5qYWx1NnZmdGNuNzdlYzIgYzM5ZjIxNjY2YTJjNzBkNjQ0MDI0YmQyOWM3ZmM5ODM3OTY2MmY3OTJlNWEwNDdjZGIzNTdhNDJiM2M1N2QwNEBn?pli=1", "MON 4:00 PM")
</f>
        <v>MON 4:00 PM</v>
      </c>
      <c r="J47" s="196" t="s">
        <v>2171</v>
      </c>
      <c r="K47" s="319" t="s">
        <v>2173</v>
      </c>
      <c r="L47" s="202"/>
      <c r="M47" s="320">
        <v>46134.705923553236</v>
      </c>
      <c r="N47" s="204"/>
      <c r="O47" s="302" t="b">
        <v>0</v>
      </c>
      <c r="P47" s="206"/>
      <c r="Q47" s="211">
        <v>1.720800188E9</v>
      </c>
      <c r="R47" s="213"/>
      <c r="S47" s="213"/>
    </row>
    <row r="48" ht="20.25" customHeight="1">
      <c r="A48" s="194" t="s">
        <v>22</v>
      </c>
      <c r="B48" s="17" t="s">
        <v>23</v>
      </c>
      <c r="C48" s="10" t="s">
        <v>867</v>
      </c>
      <c r="D48" s="191">
        <v>46108.0</v>
      </c>
      <c r="E48" s="196" t="s">
        <v>2181</v>
      </c>
      <c r="F48" s="196" t="s">
        <v>2182</v>
      </c>
      <c r="G48" s="196" t="s">
        <v>2184</v>
      </c>
      <c r="H48" s="196" t="s">
        <v>2186</v>
      </c>
      <c r="I48" s="65" t="str">
        <f>HYPERLINK("https://calendar.google.com/calendar/u/0/r/eventedit/M25pZWFlbjdqZ2xiaGFwN29pc3BrajVkZTggYzM5ZjIxNjY2YTJjNzBkNjQ0MDI0YmQyOWM3ZmM5ODM3OTY2MmY3OTJlNWEwNDdjZGIzNTdhNDJiM2M1N2QwNEBn?pli=1", "TUE 8:00 PM")
</f>
        <v>TUE 8:00 PM</v>
      </c>
      <c r="J48" s="196" t="s">
        <v>2201</v>
      </c>
      <c r="K48" s="319" t="s">
        <v>2173</v>
      </c>
      <c r="L48" s="202"/>
      <c r="M48" s="320">
        <v>46134.705989699076</v>
      </c>
      <c r="N48" s="204"/>
      <c r="O48" s="302" t="b">
        <v>0</v>
      </c>
      <c r="P48" s="206"/>
      <c r="Q48" s="197">
        <v>1.952024077E9</v>
      </c>
      <c r="R48" s="199"/>
      <c r="S48" s="199"/>
    </row>
    <row r="49" ht="20.25" customHeight="1">
      <c r="A49" s="194" t="s">
        <v>17</v>
      </c>
      <c r="B49" s="17" t="s">
        <v>23</v>
      </c>
      <c r="C49" s="10" t="s">
        <v>867</v>
      </c>
      <c r="D49" s="191">
        <v>46115.0</v>
      </c>
      <c r="E49" s="196" t="s">
        <v>2213</v>
      </c>
      <c r="F49" s="196" t="s">
        <v>2215</v>
      </c>
      <c r="G49" s="196" t="s">
        <v>2217</v>
      </c>
      <c r="H49" s="196" t="s">
        <v>2219</v>
      </c>
      <c r="I49" s="65" t="str">
        <f>HYPERLINK("https://calendar.google.com/calendar/u/0/r/eventedit/M25pZWFlbjdqZ2xiaGFwN29pc3BrajVkZTggYzM5ZjIxNjY2YTJjNzBkNjQ0MDI0YmQyOWM3ZmM5ODM3OTY2MmY3OTJlNWEwNDdjZGIzNTdhNDJiM2M1N2QwNEBn?pli=1", "MON 5:30 PM")
</f>
        <v>MON 5:30 PM</v>
      </c>
      <c r="J49" s="196" t="s">
        <v>2231</v>
      </c>
      <c r="K49" s="319" t="s">
        <v>2173</v>
      </c>
      <c r="L49" s="202"/>
      <c r="M49" s="320">
        <v>46134.706103379634</v>
      </c>
      <c r="N49" s="204"/>
      <c r="O49" s="302" t="b">
        <v>0</v>
      </c>
      <c r="P49" s="206"/>
      <c r="Q49" s="197">
        <v>1.053114413E9</v>
      </c>
      <c r="R49" s="199"/>
      <c r="S49" s="199"/>
    </row>
    <row r="50" ht="20.25" customHeight="1">
      <c r="A50" s="194" t="s">
        <v>62</v>
      </c>
      <c r="B50" s="17" t="s">
        <v>23</v>
      </c>
      <c r="C50" s="10" t="s">
        <v>867</v>
      </c>
      <c r="D50" s="191">
        <v>46092.0</v>
      </c>
      <c r="E50" s="196" t="s">
        <v>2242</v>
      </c>
      <c r="F50" s="196" t="s">
        <v>2243</v>
      </c>
      <c r="G50" s="196" t="s">
        <v>2245</v>
      </c>
      <c r="H50" s="196" t="s">
        <v>2248</v>
      </c>
      <c r="I50" s="303" t="str">
        <f>HYPERLINK("https://calendar.google.com/calendar/u/0/r/eventedit/MDc2aDQ5YXNvZGdkNDNtbWM3bTJmcDF1OTEgYzM5ZjIxNjY2YTJjNzBkNjQ0MDI0YmQyOWM3ZmM5ODM3OTY2MmY3OTJlNWEwNDdjZGIzNTdhNDJiM2M1N2QwNEBn?pli=1", "Fri 9:00 PM")
</f>
        <v>Fri 9:00 PM</v>
      </c>
      <c r="J50" s="196" t="s">
        <v>2262</v>
      </c>
      <c r="K50" s="319" t="s">
        <v>2264</v>
      </c>
      <c r="L50" s="202"/>
      <c r="M50" s="320">
        <v>46094.91776049769</v>
      </c>
      <c r="N50" s="204"/>
      <c r="O50" s="302" t="b">
        <v>0</v>
      </c>
      <c r="P50" s="206"/>
      <c r="Q50" s="211">
        <v>1.134070212E9</v>
      </c>
      <c r="R50" s="213"/>
      <c r="S50" s="213"/>
    </row>
    <row r="51" ht="20.25" customHeight="1">
      <c r="A51" s="194" t="s">
        <v>62</v>
      </c>
      <c r="B51" s="17" t="s">
        <v>53</v>
      </c>
      <c r="C51" s="10" t="s">
        <v>867</v>
      </c>
      <c r="D51" s="12">
        <v>46121.0</v>
      </c>
      <c r="E51" s="196" t="s">
        <v>2272</v>
      </c>
      <c r="F51" s="196" t="s">
        <v>2275</v>
      </c>
      <c r="G51" s="196" t="s">
        <v>2277</v>
      </c>
      <c r="H51" s="196" t="s">
        <v>2279</v>
      </c>
      <c r="I51" s="201" t="s">
        <v>69</v>
      </c>
      <c r="J51" s="196" t="s">
        <v>2282</v>
      </c>
      <c r="K51" s="319" t="s">
        <v>2283</v>
      </c>
      <c r="L51" s="202"/>
      <c r="M51" s="324">
        <v>46125.88138979167</v>
      </c>
      <c r="N51" s="204"/>
      <c r="O51" s="196" t="b">
        <v>0</v>
      </c>
      <c r="P51" s="206"/>
      <c r="Q51" s="197"/>
      <c r="R51" s="199"/>
      <c r="S51" s="199"/>
    </row>
    <row r="52" ht="20.25" customHeight="1">
      <c r="A52" s="194" t="s">
        <v>62</v>
      </c>
      <c r="B52" s="17" t="s">
        <v>53</v>
      </c>
      <c r="C52" s="10" t="s">
        <v>867</v>
      </c>
      <c r="D52" s="12">
        <v>46122.0</v>
      </c>
      <c r="E52" s="196" t="s">
        <v>2296</v>
      </c>
      <c r="F52" s="196" t="s">
        <v>2298</v>
      </c>
      <c r="G52" s="196" t="s">
        <v>2300</v>
      </c>
      <c r="H52" s="196" t="s">
        <v>2301</v>
      </c>
      <c r="I52" s="201" t="s">
        <v>2302</v>
      </c>
      <c r="J52" s="196" t="s">
        <v>2304</v>
      </c>
      <c r="K52" s="319"/>
      <c r="L52" s="202"/>
      <c r="M52" s="324"/>
      <c r="N52" s="204"/>
      <c r="O52" s="196" t="b">
        <v>0</v>
      </c>
      <c r="P52" s="206"/>
      <c r="Q52" s="197"/>
      <c r="R52" s="199"/>
      <c r="S52" s="199"/>
    </row>
    <row r="53" ht="20.25" customHeight="1">
      <c r="A53" s="194" t="s">
        <v>62</v>
      </c>
      <c r="B53" s="17" t="s">
        <v>225</v>
      </c>
      <c r="C53" s="10" t="s">
        <v>867</v>
      </c>
      <c r="D53" s="12">
        <v>46122.0</v>
      </c>
      <c r="E53" s="196" t="s">
        <v>2313</v>
      </c>
      <c r="F53" s="196" t="s">
        <v>2314</v>
      </c>
      <c r="G53" s="196" t="s">
        <v>2315</v>
      </c>
      <c r="H53" s="196" t="s">
        <v>2316</v>
      </c>
      <c r="I53" s="201" t="s">
        <v>2317</v>
      </c>
      <c r="J53" s="196" t="s">
        <v>2320</v>
      </c>
      <c r="K53" s="319"/>
      <c r="L53" s="202"/>
      <c r="M53" s="324"/>
      <c r="N53" s="204"/>
      <c r="O53" s="196" t="b">
        <v>0</v>
      </c>
      <c r="P53" s="206"/>
      <c r="Q53" s="197"/>
      <c r="R53" s="199"/>
      <c r="S53" s="199"/>
    </row>
    <row r="54" ht="20.25" customHeight="1">
      <c r="A54" s="194" t="s">
        <v>62</v>
      </c>
      <c r="B54" s="17" t="s">
        <v>225</v>
      </c>
      <c r="C54" s="10" t="s">
        <v>867</v>
      </c>
      <c r="D54" s="12">
        <v>46141.0</v>
      </c>
      <c r="E54" s="196" t="s">
        <v>2330</v>
      </c>
      <c r="F54" s="196" t="s">
        <v>2331</v>
      </c>
      <c r="G54" s="196" t="s">
        <v>2332</v>
      </c>
      <c r="H54" s="196" t="s">
        <v>2333</v>
      </c>
      <c r="I54" s="201" t="s">
        <v>686</v>
      </c>
      <c r="J54" s="196" t="s">
        <v>2338</v>
      </c>
      <c r="K54" s="319" t="s">
        <v>2340</v>
      </c>
      <c r="L54" s="202"/>
      <c r="M54" s="324">
        <v>46146.74301153935</v>
      </c>
      <c r="N54" s="204"/>
      <c r="O54" s="196" t="b">
        <v>0</v>
      </c>
      <c r="P54" s="206"/>
      <c r="Q54" s="197"/>
      <c r="R54" s="199"/>
      <c r="S54" s="199"/>
    </row>
    <row r="55" ht="20.25" customHeight="1">
      <c r="A55" s="194" t="s">
        <v>22</v>
      </c>
      <c r="B55" s="17" t="s">
        <v>53</v>
      </c>
      <c r="C55" s="10" t="s">
        <v>867</v>
      </c>
      <c r="D55" s="12">
        <v>46141.0</v>
      </c>
      <c r="E55" s="196" t="s">
        <v>2347</v>
      </c>
      <c r="F55" s="196" t="s">
        <v>2349</v>
      </c>
      <c r="G55" s="196" t="s">
        <v>2351</v>
      </c>
      <c r="H55" s="196" t="s">
        <v>2353</v>
      </c>
      <c r="I55" s="201" t="s">
        <v>1643</v>
      </c>
      <c r="J55" s="196" t="s">
        <v>2356</v>
      </c>
      <c r="K55" s="319"/>
      <c r="L55" s="202"/>
      <c r="M55" s="324"/>
      <c r="N55" s="204"/>
      <c r="O55" s="196" t="b">
        <v>0</v>
      </c>
      <c r="P55" s="206"/>
      <c r="Q55" s="197"/>
      <c r="R55" s="199"/>
      <c r="S55" s="199"/>
    </row>
    <row r="56" ht="20.25" customHeight="1">
      <c r="A56" s="56" t="s">
        <v>22</v>
      </c>
      <c r="B56" s="10" t="s">
        <v>23</v>
      </c>
      <c r="C56" s="10" t="s">
        <v>867</v>
      </c>
      <c r="D56" s="191">
        <v>46157.0</v>
      </c>
      <c r="E56" s="67" t="s">
        <v>2371</v>
      </c>
      <c r="F56" s="67" t="s">
        <v>2372</v>
      </c>
      <c r="G56" s="67" t="s">
        <v>2373</v>
      </c>
      <c r="H56" s="67" t="s">
        <v>2374</v>
      </c>
      <c r="I56" s="15" t="s">
        <v>1807</v>
      </c>
      <c r="J56" s="67" t="s">
        <v>2375</v>
      </c>
      <c r="K56" s="67" t="s">
        <v>2376</v>
      </c>
      <c r="L56" s="268"/>
      <c r="M56" s="269">
        <v>46136.814597476856</v>
      </c>
      <c r="N56" s="195"/>
      <c r="O56" s="270" t="b">
        <v>0</v>
      </c>
      <c r="P56" s="271"/>
      <c r="Q56" s="197">
        <v>1.720819006E9</v>
      </c>
      <c r="R56" s="199"/>
      <c r="S56" s="199"/>
    </row>
    <row r="57" ht="20.25" customHeight="1">
      <c r="A57" s="56" t="s">
        <v>22</v>
      </c>
      <c r="B57" s="10" t="s">
        <v>23</v>
      </c>
      <c r="C57" s="10" t="s">
        <v>867</v>
      </c>
      <c r="D57" s="191">
        <v>46141.0</v>
      </c>
      <c r="E57" s="67" t="s">
        <v>2398</v>
      </c>
      <c r="F57" s="67" t="s">
        <v>2400</v>
      </c>
      <c r="G57" s="67" t="s">
        <v>2403</v>
      </c>
      <c r="H57" s="67" t="s">
        <v>2406</v>
      </c>
      <c r="I57" s="65" t="str">
        <f>HYPERLINK("https://calendar.google.com/calendar/u/0/r/eventedit/N2loODVkbnNnOXA1ZWVoMXU1dXFoMTgydWUgYzM5ZjIxNjY2YTJjNzBkNjQ0MDI0YmQyOWM3ZmM5ODM3OTY2MmY3OTJlNWEwNDdjZGIzNTdhNDJiM2M1N2QwNEBn?pli=1", "TUE 9:00 PM")
</f>
        <v>TUE 9:00 PM</v>
      </c>
      <c r="J57" s="67" t="s">
        <v>2420</v>
      </c>
      <c r="K57" s="270"/>
      <c r="L57" s="268"/>
      <c r="M57" s="326"/>
      <c r="N57" s="195"/>
      <c r="O57" s="270" t="b">
        <v>0</v>
      </c>
      <c r="P57" s="271"/>
      <c r="Q57" s="197">
        <v>1.316968381E9</v>
      </c>
      <c r="R57" s="199"/>
      <c r="S57" s="199"/>
    </row>
    <row r="58" ht="20.25" customHeight="1">
      <c r="A58" s="194" t="s">
        <v>62</v>
      </c>
      <c r="B58" s="17" t="s">
        <v>23</v>
      </c>
      <c r="C58" s="10" t="s">
        <v>867</v>
      </c>
      <c r="D58" s="12">
        <v>46146.0</v>
      </c>
      <c r="E58" s="196" t="s">
        <v>2437</v>
      </c>
      <c r="F58" s="196" t="s">
        <v>2439</v>
      </c>
      <c r="G58" s="196" t="s">
        <v>2440</v>
      </c>
      <c r="H58" s="196" t="s">
        <v>2441</v>
      </c>
      <c r="I58" s="201" t="s">
        <v>1831</v>
      </c>
      <c r="J58" s="196" t="s">
        <v>2442</v>
      </c>
      <c r="K58" s="319" t="s">
        <v>2443</v>
      </c>
      <c r="L58" s="202"/>
      <c r="M58" s="324">
        <v>46147.9219225</v>
      </c>
      <c r="N58" s="204"/>
      <c r="O58" s="196" t="b">
        <v>0</v>
      </c>
      <c r="P58" s="206"/>
      <c r="Q58" s="197">
        <v>1.073326211E9</v>
      </c>
      <c r="R58" s="199"/>
      <c r="S58" s="199"/>
    </row>
    <row r="59" ht="20.25" customHeight="1">
      <c r="A59" s="56" t="s">
        <v>906</v>
      </c>
      <c r="B59" s="10" t="s">
        <v>225</v>
      </c>
      <c r="C59" s="10" t="s">
        <v>867</v>
      </c>
      <c r="D59" s="191">
        <v>46149.0</v>
      </c>
      <c r="E59" s="11" t="s">
        <v>868</v>
      </c>
      <c r="F59" s="11" t="s">
        <v>869</v>
      </c>
      <c r="G59" s="11" t="s">
        <v>870</v>
      </c>
      <c r="H59" s="11" t="s">
        <v>871</v>
      </c>
      <c r="I59" s="65" t="str">
        <f>HYPERLINK("https://calendar.google.com/calendar/u/0/r/eventedit/MzA0MjkwdGtscmRwYnY3aDgwdWhyanVwbWcgYzM5ZjIxNjY2YTJjNzBkNjQ0MDI0YmQyOWM3ZmM5ODM3OTY2MmY3OTJlNWEwNDdjZGIzNTdhNDJiM2M1N2QwNEBn", "WED 9:30 PM 05/13/26")
</f>
        <v>WED 9:30 PM 05/13/26</v>
      </c>
      <c r="J59" s="67" t="s">
        <v>2474</v>
      </c>
      <c r="K59" s="327"/>
      <c r="L59" s="69"/>
      <c r="M59" s="328"/>
      <c r="N59" s="50"/>
      <c r="O59" s="327"/>
      <c r="P59" s="34"/>
      <c r="Q59" s="197"/>
      <c r="R59" s="199"/>
      <c r="S59" s="199"/>
    </row>
    <row r="60" ht="20.25" customHeight="1">
      <c r="A60" s="56" t="s">
        <v>22</v>
      </c>
      <c r="B60" s="10" t="s">
        <v>53</v>
      </c>
      <c r="C60" s="10" t="s">
        <v>867</v>
      </c>
      <c r="D60" s="12">
        <v>46164.0</v>
      </c>
      <c r="E60" s="11" t="s">
        <v>2503</v>
      </c>
      <c r="F60" s="11" t="s">
        <v>2504</v>
      </c>
      <c r="G60" s="11" t="s">
        <v>2505</v>
      </c>
      <c r="H60" s="11" t="s">
        <v>2506</v>
      </c>
      <c r="I60" s="94" t="s">
        <v>590</v>
      </c>
      <c r="J60" s="67" t="s">
        <v>2507</v>
      </c>
      <c r="K60" s="327"/>
      <c r="L60" s="69"/>
      <c r="M60" s="328"/>
      <c r="N60" s="50"/>
      <c r="O60" s="327"/>
      <c r="P60" s="34"/>
      <c r="Q60" s="197"/>
      <c r="R60" s="199"/>
      <c r="S60" s="199"/>
    </row>
    <row r="61" ht="20.25" customHeight="1">
      <c r="A61" s="56" t="s">
        <v>62</v>
      </c>
      <c r="B61" s="10" t="s">
        <v>225</v>
      </c>
      <c r="C61" s="10" t="s">
        <v>867</v>
      </c>
      <c r="D61" s="12">
        <v>46177.0</v>
      </c>
      <c r="E61" s="11" t="s">
        <v>2522</v>
      </c>
      <c r="F61" s="11" t="s">
        <v>2523</v>
      </c>
      <c r="G61" s="11" t="s">
        <v>2524</v>
      </c>
      <c r="H61" s="11" t="s">
        <v>2525</v>
      </c>
      <c r="I61" s="94" t="s">
        <v>2526</v>
      </c>
      <c r="J61" s="67" t="s">
        <v>2527</v>
      </c>
      <c r="K61" s="11"/>
      <c r="L61" s="69"/>
      <c r="M61" s="70"/>
      <c r="N61" s="50"/>
      <c r="O61" s="327"/>
      <c r="P61" s="34"/>
      <c r="Q61" s="197"/>
      <c r="R61" s="199"/>
      <c r="S61" s="199"/>
    </row>
    <row r="62" ht="20.25" customHeight="1">
      <c r="A62" s="56" t="s">
        <v>17</v>
      </c>
      <c r="B62" s="10" t="s">
        <v>53</v>
      </c>
      <c r="C62" s="10" t="s">
        <v>867</v>
      </c>
      <c r="D62" s="12">
        <v>46188.0</v>
      </c>
      <c r="E62" s="11" t="s">
        <v>2539</v>
      </c>
      <c r="F62" s="11" t="s">
        <v>2542</v>
      </c>
      <c r="G62" s="11">
        <v>2.816105387E9</v>
      </c>
      <c r="H62" s="11" t="s">
        <v>2543</v>
      </c>
      <c r="I62" s="94" t="s">
        <v>590</v>
      </c>
      <c r="J62" s="67" t="s">
        <v>2544</v>
      </c>
      <c r="K62" s="11" t="s">
        <v>1176</v>
      </c>
      <c r="L62" s="69"/>
      <c r="M62" s="70">
        <v>46189.77298902778</v>
      </c>
      <c r="N62" s="50"/>
      <c r="O62" s="327"/>
      <c r="P62" s="34"/>
      <c r="Q62" s="197"/>
      <c r="R62" s="199"/>
      <c r="S62" s="199"/>
    </row>
    <row r="63" ht="20.25" customHeight="1">
      <c r="A63" s="56" t="s">
        <v>22</v>
      </c>
      <c r="B63" s="10" t="s">
        <v>23</v>
      </c>
      <c r="C63" s="10" t="s">
        <v>867</v>
      </c>
      <c r="D63" s="12">
        <v>46184.0</v>
      </c>
      <c r="E63" s="11" t="s">
        <v>2555</v>
      </c>
      <c r="F63" s="11" t="s">
        <v>2556</v>
      </c>
      <c r="G63" s="11" t="s">
        <v>2557</v>
      </c>
      <c r="H63" s="11" t="s">
        <v>2559</v>
      </c>
      <c r="I63" s="94" t="s">
        <v>1146</v>
      </c>
      <c r="J63" s="67" t="s">
        <v>2560</v>
      </c>
      <c r="K63" s="11" t="s">
        <v>2561</v>
      </c>
      <c r="L63" s="69"/>
      <c r="M63" s="70">
        <v>46188.86773376157</v>
      </c>
      <c r="N63" s="50"/>
      <c r="O63" s="327"/>
      <c r="P63" s="34"/>
      <c r="Q63" s="197">
        <v>1.164355863E9</v>
      </c>
      <c r="R63" s="199"/>
      <c r="S63" s="199"/>
    </row>
    <row r="64" ht="20.25" customHeight="1">
      <c r="A64" s="56" t="s">
        <v>906</v>
      </c>
      <c r="B64" s="10" t="s">
        <v>23</v>
      </c>
      <c r="C64" s="10" t="s">
        <v>867</v>
      </c>
      <c r="D64" s="12">
        <v>46183.0</v>
      </c>
      <c r="E64" s="11" t="s">
        <v>2571</v>
      </c>
      <c r="F64" s="11" t="s">
        <v>2572</v>
      </c>
      <c r="G64" s="11" t="s">
        <v>2573</v>
      </c>
      <c r="H64" s="11" t="s">
        <v>2575</v>
      </c>
      <c r="I64" s="94" t="s">
        <v>2579</v>
      </c>
      <c r="J64" s="67" t="s">
        <v>2581</v>
      </c>
      <c r="K64" s="11"/>
      <c r="L64" s="69"/>
      <c r="M64" s="70"/>
      <c r="N64" s="50"/>
      <c r="O64" s="327"/>
      <c r="P64" s="34"/>
      <c r="Q64" s="211">
        <v>1.659149417E9</v>
      </c>
      <c r="R64" s="213"/>
      <c r="S64" s="213"/>
    </row>
    <row r="65" ht="20.25" customHeight="1">
      <c r="A65" s="56" t="s">
        <v>410</v>
      </c>
      <c r="B65" s="10" t="s">
        <v>23</v>
      </c>
      <c r="C65" s="10" t="s">
        <v>867</v>
      </c>
      <c r="D65" s="12">
        <v>46168.0</v>
      </c>
      <c r="E65" s="11" t="s">
        <v>2594</v>
      </c>
      <c r="F65" s="11" t="s">
        <v>2595</v>
      </c>
      <c r="G65" s="11" t="s">
        <v>2596</v>
      </c>
      <c r="H65" s="11" t="s">
        <v>2597</v>
      </c>
      <c r="I65" s="94" t="s">
        <v>301</v>
      </c>
      <c r="J65" s="67" t="s">
        <v>2599</v>
      </c>
      <c r="K65" s="11" t="s">
        <v>2600</v>
      </c>
      <c r="L65" s="69"/>
      <c r="M65" s="70">
        <v>46176.787723622685</v>
      </c>
      <c r="N65" s="50"/>
      <c r="O65" s="327"/>
      <c r="P65" s="34"/>
      <c r="Q65" s="211">
        <v>1.235297094E9</v>
      </c>
      <c r="R65" s="213"/>
      <c r="S65" s="213"/>
    </row>
    <row r="66" ht="20.25" customHeight="1">
      <c r="A66" s="56" t="s">
        <v>18</v>
      </c>
      <c r="B66" s="10" t="s">
        <v>23</v>
      </c>
      <c r="C66" s="10" t="s">
        <v>867</v>
      </c>
      <c r="D66" s="12">
        <v>46183.0</v>
      </c>
      <c r="E66" s="11" t="s">
        <v>2616</v>
      </c>
      <c r="F66" s="11" t="s">
        <v>2618</v>
      </c>
      <c r="G66" s="11" t="s">
        <v>2619</v>
      </c>
      <c r="H66" s="11" t="s">
        <v>2620</v>
      </c>
      <c r="I66" s="94" t="s">
        <v>613</v>
      </c>
      <c r="J66" s="67" t="s">
        <v>2621</v>
      </c>
      <c r="K66" s="11" t="s">
        <v>2622</v>
      </c>
      <c r="L66" s="69"/>
      <c r="M66" s="70">
        <v>46185.876888750005</v>
      </c>
      <c r="N66" s="50"/>
      <c r="O66" s="327"/>
      <c r="P66" s="34"/>
      <c r="Q66" s="211">
        <v>1.114861861E9</v>
      </c>
      <c r="R66" s="213"/>
      <c r="S66" s="213"/>
    </row>
    <row r="67" ht="20.25" customHeight="1">
      <c r="A67" s="56" t="s">
        <v>22</v>
      </c>
      <c r="B67" s="10" t="s">
        <v>19</v>
      </c>
      <c r="C67" s="10" t="s">
        <v>867</v>
      </c>
      <c r="D67" s="12">
        <v>46190.0</v>
      </c>
      <c r="E67" s="11" t="s">
        <v>2634</v>
      </c>
      <c r="F67" s="11" t="s">
        <v>2636</v>
      </c>
      <c r="G67" s="11" t="s">
        <v>2639</v>
      </c>
      <c r="H67" s="11" t="s">
        <v>2640</v>
      </c>
      <c r="I67" s="94" t="s">
        <v>2643</v>
      </c>
      <c r="J67" s="67" t="s">
        <v>2645</v>
      </c>
      <c r="K67" s="11"/>
      <c r="L67" s="69"/>
      <c r="M67" s="70"/>
      <c r="N67" s="50"/>
      <c r="O67" s="327"/>
      <c r="P67" s="34"/>
      <c r="Q67" s="197"/>
      <c r="R67" s="199"/>
      <c r="S67" s="199"/>
    </row>
    <row r="68" ht="20.25" customHeight="1">
      <c r="A68" s="56" t="s">
        <v>906</v>
      </c>
      <c r="B68" s="10" t="s">
        <v>19</v>
      </c>
      <c r="C68" s="10" t="s">
        <v>867</v>
      </c>
      <c r="D68" s="12">
        <v>46178.0</v>
      </c>
      <c r="E68" s="11" t="s">
        <v>2652</v>
      </c>
      <c r="F68" s="11" t="s">
        <v>2654</v>
      </c>
      <c r="G68" s="11" t="s">
        <v>2658</v>
      </c>
      <c r="H68" s="11" t="s">
        <v>2659</v>
      </c>
      <c r="I68" s="94" t="s">
        <v>340</v>
      </c>
      <c r="J68" s="67" t="s">
        <v>2661</v>
      </c>
      <c r="K68" s="11"/>
      <c r="L68" s="69"/>
      <c r="M68" s="70"/>
      <c r="N68" s="50"/>
      <c r="O68" s="327"/>
      <c r="P68" s="34"/>
      <c r="Q68" s="197"/>
      <c r="R68" s="199"/>
      <c r="S68" s="199"/>
    </row>
    <row r="69" ht="20.25" customHeight="1">
      <c r="A69" s="56" t="s">
        <v>22</v>
      </c>
      <c r="B69" s="10" t="s">
        <v>225</v>
      </c>
      <c r="C69" s="10" t="s">
        <v>867</v>
      </c>
      <c r="D69" s="12">
        <v>46184.0</v>
      </c>
      <c r="E69" s="11" t="s">
        <v>2667</v>
      </c>
      <c r="F69" s="11" t="s">
        <v>2669</v>
      </c>
      <c r="G69" s="11" t="s">
        <v>2670</v>
      </c>
      <c r="H69" s="11" t="s">
        <v>2671</v>
      </c>
      <c r="I69" s="94" t="s">
        <v>268</v>
      </c>
      <c r="J69" s="67" t="s">
        <v>2672</v>
      </c>
      <c r="K69" s="11"/>
      <c r="L69" s="69"/>
      <c r="M69" s="70"/>
      <c r="N69" s="50"/>
      <c r="O69" s="11" t="b">
        <v>0</v>
      </c>
      <c r="P69" s="34"/>
      <c r="Q69" s="197"/>
      <c r="R69" s="199"/>
      <c r="S69" s="199"/>
    </row>
    <row r="70" ht="20.25" customHeight="1">
      <c r="A70" s="56" t="s">
        <v>18</v>
      </c>
      <c r="B70" s="10" t="s">
        <v>19</v>
      </c>
      <c r="C70" s="10" t="s">
        <v>867</v>
      </c>
      <c r="D70" s="12">
        <v>46197.0</v>
      </c>
      <c r="E70" s="11" t="s">
        <v>2677</v>
      </c>
      <c r="F70" s="11" t="s">
        <v>2678</v>
      </c>
      <c r="G70" s="11" t="s">
        <v>2679</v>
      </c>
      <c r="H70" s="11" t="s">
        <v>2680</v>
      </c>
      <c r="I70" s="94" t="s">
        <v>401</v>
      </c>
      <c r="J70" s="67" t="s">
        <v>2682</v>
      </c>
      <c r="K70" s="11"/>
      <c r="L70" s="69"/>
      <c r="M70" s="70"/>
      <c r="N70" s="50"/>
      <c r="O70" s="11"/>
      <c r="P70" s="34"/>
      <c r="Q70" s="197"/>
      <c r="R70" s="199"/>
      <c r="S70" s="199"/>
    </row>
    <row r="71" ht="20.25" customHeight="1">
      <c r="A71" s="56" t="s">
        <v>62</v>
      </c>
      <c r="B71" s="10" t="s">
        <v>225</v>
      </c>
      <c r="C71" s="10" t="s">
        <v>867</v>
      </c>
      <c r="D71" s="12">
        <v>46191.0</v>
      </c>
      <c r="E71" s="11" t="s">
        <v>2685</v>
      </c>
      <c r="F71" s="11" t="s">
        <v>2686</v>
      </c>
      <c r="G71" s="11" t="s">
        <v>2687</v>
      </c>
      <c r="H71" s="11" t="s">
        <v>2688</v>
      </c>
      <c r="I71" s="94" t="s">
        <v>1791</v>
      </c>
      <c r="J71" s="67" t="s">
        <v>2689</v>
      </c>
      <c r="K71" s="11"/>
      <c r="L71" s="69"/>
      <c r="M71" s="70"/>
      <c r="N71" s="50"/>
      <c r="O71" s="11"/>
      <c r="P71" s="34"/>
      <c r="Q71" s="197"/>
      <c r="R71" s="199"/>
      <c r="S71" s="199"/>
    </row>
    <row r="72" ht="20.25" customHeight="1">
      <c r="A72" s="56" t="s">
        <v>22</v>
      </c>
      <c r="B72" s="10" t="s">
        <v>53</v>
      </c>
      <c r="C72" s="10" t="s">
        <v>867</v>
      </c>
      <c r="D72" s="12">
        <v>46190.0</v>
      </c>
      <c r="E72" s="11" t="s">
        <v>2696</v>
      </c>
      <c r="F72" s="11" t="s">
        <v>2697</v>
      </c>
      <c r="G72" s="11" t="s">
        <v>2698</v>
      </c>
      <c r="H72" s="11" t="s">
        <v>2699</v>
      </c>
      <c r="I72" s="94" t="s">
        <v>1020</v>
      </c>
      <c r="J72" s="67" t="s">
        <v>2700</v>
      </c>
      <c r="K72" s="11" t="s">
        <v>2701</v>
      </c>
      <c r="L72" s="69"/>
      <c r="M72" s="70">
        <v>46196.81690178241</v>
      </c>
      <c r="N72" s="50"/>
      <c r="O72" s="11"/>
      <c r="P72" s="34"/>
      <c r="Q72" s="197"/>
      <c r="R72" s="199"/>
      <c r="S72" s="199"/>
    </row>
    <row r="73" ht="20.25" customHeight="1">
      <c r="A73" s="56" t="s">
        <v>135</v>
      </c>
      <c r="B73" s="10" t="s">
        <v>225</v>
      </c>
      <c r="C73" s="10" t="s">
        <v>867</v>
      </c>
      <c r="D73" s="12">
        <v>45662.0</v>
      </c>
      <c r="E73" s="11" t="s">
        <v>2707</v>
      </c>
      <c r="F73" s="11" t="s">
        <v>2708</v>
      </c>
      <c r="G73" s="11" t="s">
        <v>2709</v>
      </c>
      <c r="H73" s="11" t="s">
        <v>2710</v>
      </c>
      <c r="I73" s="94" t="s">
        <v>2554</v>
      </c>
      <c r="J73" s="67" t="s">
        <v>2713</v>
      </c>
      <c r="K73" s="11" t="s">
        <v>2716</v>
      </c>
      <c r="L73" s="69"/>
      <c r="M73" s="70">
        <v>46099.90632902778</v>
      </c>
      <c r="N73" s="32" t="b">
        <v>0</v>
      </c>
      <c r="O73" s="11"/>
      <c r="P73" s="34"/>
      <c r="Q73" s="197"/>
      <c r="R73" s="199"/>
      <c r="S73" s="199"/>
    </row>
    <row r="74" ht="20.25" customHeight="1">
      <c r="A74" s="331" t="s">
        <v>17</v>
      </c>
      <c r="B74" s="114" t="s">
        <v>53</v>
      </c>
      <c r="C74" s="114" t="s">
        <v>867</v>
      </c>
      <c r="D74" s="116">
        <v>46203.0</v>
      </c>
      <c r="E74" s="26" t="s">
        <v>2724</v>
      </c>
      <c r="F74" s="26" t="s">
        <v>2725</v>
      </c>
      <c r="G74" s="26" t="s">
        <v>2726</v>
      </c>
      <c r="H74" s="26" t="s">
        <v>2727</v>
      </c>
      <c r="I74" s="332" t="s">
        <v>2731</v>
      </c>
      <c r="J74" s="333" t="s">
        <v>2735</v>
      </c>
      <c r="K74" s="26" t="s">
        <v>2736</v>
      </c>
      <c r="L74" s="334"/>
      <c r="M74" s="335">
        <v>46210.88608644676</v>
      </c>
      <c r="N74" s="101"/>
      <c r="O74" s="26"/>
      <c r="P74" s="41"/>
      <c r="Q74" s="197"/>
      <c r="R74" s="199"/>
      <c r="S74" s="199"/>
    </row>
    <row r="75" ht="20.25" customHeight="1">
      <c r="A75" s="331" t="s">
        <v>18</v>
      </c>
      <c r="B75" s="114" t="s">
        <v>19</v>
      </c>
      <c r="C75" s="114" t="s">
        <v>867</v>
      </c>
      <c r="D75" s="116">
        <v>46198.0</v>
      </c>
      <c r="E75" s="26" t="s">
        <v>2748</v>
      </c>
      <c r="F75" s="26" t="s">
        <v>2750</v>
      </c>
      <c r="G75" s="26" t="s">
        <v>2752</v>
      </c>
      <c r="H75" s="26" t="s">
        <v>2753</v>
      </c>
      <c r="I75" s="332" t="s">
        <v>2754</v>
      </c>
      <c r="J75" s="333" t="s">
        <v>2755</v>
      </c>
      <c r="K75" s="26" t="s">
        <v>2756</v>
      </c>
      <c r="L75" s="334"/>
      <c r="M75" s="335">
        <v>46211.70390663194</v>
      </c>
      <c r="N75" s="101"/>
      <c r="O75" s="26"/>
      <c r="P75" s="41"/>
      <c r="Q75" s="197"/>
      <c r="R75" s="199"/>
      <c r="S75" s="199"/>
    </row>
    <row r="76" ht="20.25" customHeight="1">
      <c r="A76" s="331" t="s">
        <v>22</v>
      </c>
      <c r="B76" s="114" t="s">
        <v>225</v>
      </c>
      <c r="C76" s="114" t="s">
        <v>867</v>
      </c>
      <c r="D76" s="116">
        <v>46209.0</v>
      </c>
      <c r="E76" s="26" t="s">
        <v>2764</v>
      </c>
      <c r="F76" s="26" t="s">
        <v>2766</v>
      </c>
      <c r="G76" s="26" t="s">
        <v>2768</v>
      </c>
      <c r="H76" s="26" t="s">
        <v>2770</v>
      </c>
      <c r="I76" s="332" t="s">
        <v>2317</v>
      </c>
      <c r="J76" s="333" t="s">
        <v>2773</v>
      </c>
      <c r="K76" s="26"/>
      <c r="L76" s="334"/>
      <c r="M76" s="335"/>
      <c r="N76" s="101"/>
      <c r="O76" s="26"/>
      <c r="P76" s="41"/>
      <c r="Q76" s="197"/>
      <c r="R76" s="199"/>
      <c r="S76" s="199"/>
    </row>
    <row r="77" ht="20.25" customHeight="1">
      <c r="A77" s="331" t="s">
        <v>18</v>
      </c>
      <c r="B77" s="114" t="s">
        <v>53</v>
      </c>
      <c r="C77" s="114" t="s">
        <v>867</v>
      </c>
      <c r="D77" s="116">
        <v>46211.0</v>
      </c>
      <c r="E77" s="26" t="s">
        <v>2778</v>
      </c>
      <c r="F77" s="26" t="s">
        <v>2780</v>
      </c>
      <c r="G77" s="26" t="s">
        <v>2783</v>
      </c>
      <c r="H77" s="26" t="s">
        <v>2785</v>
      </c>
      <c r="I77" s="332" t="s">
        <v>1155</v>
      </c>
      <c r="J77" s="333" t="s">
        <v>2786</v>
      </c>
      <c r="K77" s="26" t="s">
        <v>2787</v>
      </c>
      <c r="L77" s="334"/>
      <c r="M77" s="335">
        <v>46217.81526452546</v>
      </c>
      <c r="N77" s="101"/>
      <c r="O77" s="26"/>
      <c r="P77" s="41"/>
      <c r="Q77" s="199">
        <v>1.740800176E9</v>
      </c>
      <c r="R77" s="199"/>
      <c r="S77" s="199"/>
    </row>
    <row r="78" ht="21.0" customHeight="1">
      <c r="A78" s="11" t="s">
        <v>22</v>
      </c>
      <c r="B78" s="11" t="s">
        <v>225</v>
      </c>
      <c r="C78" s="11" t="s">
        <v>867</v>
      </c>
      <c r="D78" s="84">
        <v>46223.0</v>
      </c>
      <c r="E78" s="11" t="s">
        <v>1523</v>
      </c>
      <c r="F78" s="11" t="s">
        <v>1525</v>
      </c>
      <c r="G78" s="11" t="s">
        <v>1529</v>
      </c>
      <c r="H78" s="11" t="s">
        <v>1532</v>
      </c>
      <c r="I78" s="11" t="s">
        <v>2795</v>
      </c>
      <c r="J78" s="11" t="s">
        <v>2798</v>
      </c>
      <c r="K78" s="11"/>
      <c r="L78" s="11"/>
      <c r="M78" s="11"/>
      <c r="N78" s="11"/>
      <c r="O78" s="11"/>
      <c r="P78" s="11"/>
      <c r="Q78" s="11">
        <v>1.265249098E9</v>
      </c>
      <c r="R78" s="26"/>
      <c r="S78" s="26"/>
    </row>
    <row r="79" ht="21.0" customHeight="1">
      <c r="A79" s="11" t="s">
        <v>22</v>
      </c>
      <c r="B79" s="11" t="s">
        <v>23</v>
      </c>
      <c r="C79" s="11" t="s">
        <v>867</v>
      </c>
      <c r="D79" s="14">
        <v>46210.0</v>
      </c>
      <c r="E79" s="11" t="s">
        <v>2802</v>
      </c>
      <c r="F79" s="11" t="s">
        <v>2803</v>
      </c>
      <c r="G79" s="11" t="s">
        <v>2804</v>
      </c>
      <c r="H79" s="11" t="s">
        <v>2805</v>
      </c>
      <c r="I79" s="65" t="str">
        <f>HYPERLINK("https://calendar.google.com/calendar/u/0/r/eventedit/MXFrc2JiYXA1MTY1aWppOG5qZG0xbW44ZzQgYzM5ZjIxNjY2YTJjNzBkNjQ0MDI0YmQyOWM3ZmM5ODM3OTY2MmY3OTJlNWEwNDdjZGIzNTdhNDJiM2M1N2QwNEBn?pli=1", "THU 10:00 PM")
</f>
        <v>THU 10:00 PM</v>
      </c>
      <c r="J79" s="11" t="s">
        <v>2812</v>
      </c>
      <c r="K79" s="11"/>
      <c r="L79" s="11"/>
      <c r="M79" s="11"/>
      <c r="N79" s="11"/>
      <c r="O79" s="11"/>
      <c r="P79" s="11"/>
      <c r="Q79" s="11">
        <v>1.730034315E9</v>
      </c>
      <c r="R79" s="26"/>
      <c r="S79" s="26"/>
    </row>
    <row r="80" ht="20.25" customHeight="1">
      <c r="A80" s="331" t="s">
        <v>62</v>
      </c>
      <c r="B80" s="114" t="s">
        <v>225</v>
      </c>
      <c r="C80" s="114" t="s">
        <v>867</v>
      </c>
      <c r="D80" s="116">
        <v>46094.0</v>
      </c>
      <c r="E80" s="26" t="s">
        <v>2819</v>
      </c>
      <c r="F80" s="26" t="s">
        <v>2821</v>
      </c>
      <c r="G80" s="26" t="s">
        <v>2822</v>
      </c>
      <c r="H80" s="26" t="s">
        <v>2823</v>
      </c>
      <c r="I80" s="332" t="s">
        <v>210</v>
      </c>
      <c r="J80" s="333" t="s">
        <v>2824</v>
      </c>
      <c r="K80" s="26" t="s">
        <v>2787</v>
      </c>
      <c r="L80" s="334"/>
      <c r="M80" s="335">
        <v>46099.799459560185</v>
      </c>
      <c r="N80" s="101"/>
      <c r="O80" s="26" t="b">
        <v>0</v>
      </c>
      <c r="P80" s="41"/>
      <c r="Q80" s="199">
        <v>1.154089241E9</v>
      </c>
      <c r="R80" s="199"/>
      <c r="S80" s="199"/>
    </row>
    <row r="81" ht="20.25" customHeight="1">
      <c r="A81" s="331"/>
      <c r="B81" s="114"/>
      <c r="C81" s="114"/>
      <c r="D81" s="116"/>
      <c r="E81" s="26"/>
      <c r="F81" s="26"/>
      <c r="G81" s="26"/>
      <c r="H81" s="26"/>
      <c r="I81" s="332"/>
      <c r="J81" s="333"/>
      <c r="K81" s="26"/>
      <c r="L81" s="334"/>
      <c r="M81" s="335"/>
      <c r="N81" s="101"/>
      <c r="O81" s="26"/>
      <c r="P81" s="41"/>
      <c r="Q81" s="199"/>
      <c r="R81" s="199"/>
      <c r="S81" s="199"/>
    </row>
    <row r="82" ht="20.25" customHeight="1">
      <c r="A82" s="331"/>
      <c r="B82" s="114"/>
      <c r="C82" s="114"/>
      <c r="D82" s="116"/>
      <c r="E82" s="26"/>
      <c r="F82" s="26"/>
      <c r="G82" s="26"/>
      <c r="H82" s="26"/>
      <c r="I82" s="332"/>
      <c r="J82" s="333"/>
      <c r="K82" s="26"/>
      <c r="L82" s="334"/>
      <c r="M82" s="335"/>
      <c r="N82" s="101"/>
      <c r="O82" s="26"/>
      <c r="P82" s="41"/>
      <c r="Q82" s="199"/>
      <c r="R82" s="199"/>
      <c r="S82" s="199"/>
    </row>
    <row r="83" ht="20.25" customHeight="1">
      <c r="A83" s="331"/>
      <c r="B83" s="114"/>
      <c r="C83" s="114"/>
      <c r="D83" s="116"/>
      <c r="E83" s="26"/>
      <c r="F83" s="26"/>
      <c r="G83" s="26"/>
      <c r="H83" s="26"/>
      <c r="I83" s="332"/>
      <c r="J83" s="333"/>
      <c r="K83" s="26"/>
      <c r="L83" s="334"/>
      <c r="M83" s="335"/>
      <c r="N83" s="101"/>
      <c r="O83" s="26"/>
      <c r="P83" s="41"/>
      <c r="Q83" s="199"/>
      <c r="R83" s="199"/>
      <c r="S83" s="199"/>
    </row>
    <row r="84" ht="20.25" customHeight="1">
      <c r="A84" s="331"/>
      <c r="B84" s="114"/>
      <c r="C84" s="114"/>
      <c r="D84" s="116"/>
      <c r="E84" s="26"/>
      <c r="F84" s="26"/>
      <c r="G84" s="26"/>
      <c r="H84" s="26"/>
      <c r="I84" s="332"/>
      <c r="J84" s="333"/>
      <c r="K84" s="26"/>
      <c r="L84" s="334"/>
      <c r="M84" s="335"/>
      <c r="N84" s="101"/>
      <c r="O84" s="26"/>
      <c r="P84" s="41"/>
      <c r="Q84" s="199"/>
      <c r="R84" s="199"/>
      <c r="S84" s="199"/>
    </row>
    <row r="85" ht="20.25" customHeight="1">
      <c r="A85" s="331"/>
      <c r="B85" s="114"/>
      <c r="C85" s="114"/>
      <c r="D85" s="116"/>
      <c r="E85" s="26"/>
      <c r="F85" s="26"/>
      <c r="G85" s="26"/>
      <c r="H85" s="26"/>
      <c r="I85" s="332"/>
      <c r="J85" s="333"/>
      <c r="K85" s="26"/>
      <c r="L85" s="334"/>
      <c r="M85" s="335"/>
      <c r="N85" s="101"/>
      <c r="O85" s="26"/>
      <c r="P85" s="41"/>
      <c r="Q85" s="199"/>
      <c r="R85" s="199"/>
      <c r="S85" s="199"/>
    </row>
    <row r="86" ht="20.25" customHeight="1">
      <c r="A86" s="331"/>
      <c r="B86" s="114"/>
      <c r="C86" s="114"/>
      <c r="D86" s="116"/>
      <c r="E86" s="26"/>
      <c r="F86" s="26"/>
      <c r="G86" s="26"/>
      <c r="H86" s="26"/>
      <c r="I86" s="332"/>
      <c r="J86" s="333"/>
      <c r="K86" s="26"/>
      <c r="L86" s="334"/>
      <c r="M86" s="335"/>
      <c r="N86" s="101"/>
      <c r="O86" s="26"/>
      <c r="P86" s="41"/>
      <c r="Q86" s="199"/>
      <c r="R86" s="199"/>
      <c r="S86" s="199"/>
    </row>
    <row r="87" ht="20.25" customHeight="1">
      <c r="A87" s="331"/>
      <c r="B87" s="114"/>
      <c r="C87" s="114"/>
      <c r="D87" s="116"/>
      <c r="E87" s="26"/>
      <c r="F87" s="26"/>
      <c r="G87" s="26"/>
      <c r="H87" s="26"/>
      <c r="I87" s="332"/>
      <c r="J87" s="333"/>
      <c r="K87" s="26"/>
      <c r="L87" s="334"/>
      <c r="M87" s="335"/>
      <c r="N87" s="101"/>
      <c r="O87" s="26"/>
      <c r="P87" s="41"/>
      <c r="Q87" s="199"/>
      <c r="R87" s="199"/>
      <c r="S87" s="199"/>
    </row>
  </sheetData>
  <customSheetViews>
    <customSheetView guid="{3A276F3E-375B-4047-8362-7BC8706380F8}" filter="1" showAutoFilter="1">
      <autoFilter ref="$A$1:$Q$32">
        <filterColumn colId="1">
          <filters>
            <filter val="Ben"/>
          </filters>
        </filterColumn>
      </autoFilter>
    </customSheetView>
    <customSheetView guid="{AA11B3EB-7166-429A-9C9E-A7F2D10587B6}" filter="1" showAutoFilter="1">
      <autoFilter ref="$A$1:$Q$2">
        <filterColumn colId="1">
          <filters/>
        </filterColumn>
      </autoFilter>
    </customSheetView>
    <customSheetView guid="{EFB21323-95C1-45BD-9E8A-755BDF45AF62}" filter="1" showAutoFilter="1">
      <autoFilter ref="$A$1:$Q$2">
        <filterColumn colId="1">
          <filters/>
        </filterColumn>
      </autoFilter>
    </customSheetView>
    <customSheetView guid="{34D72827-1C41-4DA6-AE21-43468FDAB35C}" filter="1" showAutoFilter="1">
      <autoFilter ref="$A$1:$Q$2">
        <filterColumn colId="1">
          <filters/>
        </filterColumn>
      </autoFilter>
    </customSheetView>
    <customSheetView guid="{7640BF70-1596-47DD-944E-658DB4B9989D}" filter="1" showAutoFilter="1">
      <autoFilter ref="$A$1:$Q$2">
        <filterColumn colId="1">
          <filters/>
        </filterColumn>
      </autoFilter>
    </customSheetView>
  </customSheetViews>
  <conditionalFormatting sqref="A79:S79">
    <cfRule type="expression" dxfId="4" priority="1">
      <formula>OR($C79="Follow Up", $C79="Contract Sent")</formula>
    </cfRule>
  </conditionalFormatting>
  <conditionalFormatting sqref="A79:S79">
    <cfRule type="expression" dxfId="5" priority="2">
      <formula>OR($C79="NOT READY", $C79="No - Show / Callback", $C79="Pending Medicare", $C79="Inactive License")</formula>
    </cfRule>
  </conditionalFormatting>
  <conditionalFormatting sqref="A79:S79">
    <cfRule type="expression" dxfId="6" priority="3">
      <formula>OR($C79="DNC", $C79="NI", $C79="No Medicare")</formula>
    </cfRule>
  </conditionalFormatting>
  <conditionalFormatting sqref="A79:S79">
    <cfRule type="expression" dxfId="7" priority="4">
      <formula>$C79="Onboarded"</formula>
    </cfRule>
  </conditionalFormatting>
  <conditionalFormatting sqref="A79:S79">
    <cfRule type="expression" dxfId="8" priority="5">
      <formula>OR($C79="Invoice Sent", $C79="Trial Sent")</formula>
    </cfRule>
  </conditionalFormatting>
  <conditionalFormatting sqref="A79:S79">
    <cfRule type="expression" dxfId="9" priority="6">
      <formula>$C79="Hold"</formula>
    </cfRule>
  </conditionalFormatting>
  <conditionalFormatting sqref="A78:S78">
    <cfRule type="expression" dxfId="4" priority="7">
      <formula>OR($C78="Follow Up", $C78="Contract Sent")</formula>
    </cfRule>
  </conditionalFormatting>
  <conditionalFormatting sqref="A78:S78">
    <cfRule type="expression" dxfId="5" priority="8">
      <formula>OR($C78="NOT READY", $C78="No - Show / Callback", $C78="Pending Medicare", $C78="Inactive License")</formula>
    </cfRule>
  </conditionalFormatting>
  <conditionalFormatting sqref="A78:S78">
    <cfRule type="expression" dxfId="6" priority="9">
      <formula>OR($C78="DNC", $C78="NI", $C78="No Medicare")</formula>
    </cfRule>
  </conditionalFormatting>
  <conditionalFormatting sqref="A78:S78">
    <cfRule type="expression" dxfId="7" priority="10">
      <formula>$C78="Onboarded"</formula>
    </cfRule>
  </conditionalFormatting>
  <conditionalFormatting sqref="A78:S78">
    <cfRule type="expression" dxfId="8" priority="11">
      <formula>OR($C78="Invoice Sent", $C78="Trial Sent")</formula>
    </cfRule>
  </conditionalFormatting>
  <conditionalFormatting sqref="A78:S78">
    <cfRule type="expression" dxfId="9" priority="12">
      <formula>$C78="Hold"</formula>
    </cfRule>
  </conditionalFormatting>
  <conditionalFormatting sqref="A59:P77 A80:P87">
    <cfRule type="expression" dxfId="4" priority="13">
      <formula>OR($C59="Follow Up", $C59="Contract Sent")</formula>
    </cfRule>
  </conditionalFormatting>
  <conditionalFormatting sqref="A59:P77 A80:P87">
    <cfRule type="expression" dxfId="5" priority="14">
      <formula>OR($C59="NOT READY", $C59="No - Show / Callback", $C59="Pending Medicare", $C59="Inactive License")</formula>
    </cfRule>
  </conditionalFormatting>
  <conditionalFormatting sqref="A59:P77 A80:P87">
    <cfRule type="expression" dxfId="6" priority="15">
      <formula>OR($C59="DNC", $C59="NI", $C59="No Medicare")</formula>
    </cfRule>
  </conditionalFormatting>
  <conditionalFormatting sqref="A59:P77 A80:P87">
    <cfRule type="expression" dxfId="7" priority="16">
      <formula>$C59="Onboarded"</formula>
    </cfRule>
  </conditionalFormatting>
  <conditionalFormatting sqref="A59:S77 A80:S87">
    <cfRule type="expression" dxfId="8" priority="17">
      <formula>OR($C59="Invoice Sent", $C59="Trial Sent")</formula>
    </cfRule>
  </conditionalFormatting>
  <conditionalFormatting sqref="A59:S77 A80:S87">
    <cfRule type="expression" dxfId="9" priority="18">
      <formula>$C59="Hold"</formula>
    </cfRule>
  </conditionalFormatting>
  <conditionalFormatting sqref="A57:S57">
    <cfRule type="expression" dxfId="9" priority="19">
      <formula>$C57="Hold"</formula>
    </cfRule>
  </conditionalFormatting>
  <conditionalFormatting sqref="A57:S57">
    <cfRule type="expression" dxfId="8" priority="20">
      <formula>OR($C57="Invoice Sent", $C57="Trial Sent")</formula>
    </cfRule>
  </conditionalFormatting>
  <conditionalFormatting sqref="A57:P57">
    <cfRule type="expression" dxfId="7" priority="21">
      <formula>$C57="Onboarded"</formula>
    </cfRule>
  </conditionalFormatting>
  <conditionalFormatting sqref="A57:P57">
    <cfRule type="expression" dxfId="6" priority="22">
      <formula>OR($C57="DNC", $C57="NI", $C57="No Medicare")</formula>
    </cfRule>
  </conditionalFormatting>
  <conditionalFormatting sqref="A57:P57">
    <cfRule type="expression" dxfId="5" priority="23">
      <formula>OR($C57="NOT READY", $C57="No - Show / Callback", $C57="Pending Medicare", $C57="Inactive License")</formula>
    </cfRule>
  </conditionalFormatting>
  <conditionalFormatting sqref="A57:P57">
    <cfRule type="expression" dxfId="4" priority="24">
      <formula>OR($C57="Follow Up", $C57="Contract Sent")</formula>
    </cfRule>
  </conditionalFormatting>
  <conditionalFormatting sqref="I56">
    <cfRule type="expression" dxfId="4" priority="25" stopIfTrue="1">
      <formula>OR($C56="Follow Up", $C56="Contract Sent")</formula>
    </cfRule>
  </conditionalFormatting>
  <conditionalFormatting sqref="I56">
    <cfRule type="expression" dxfId="5" priority="26" stopIfTrue="1">
      <formula>OR($C56="NOT READY", $C56="No - Show / Callback", $C56="Pending Medicare", $C56="Inactive License")</formula>
    </cfRule>
  </conditionalFormatting>
  <conditionalFormatting sqref="I56">
    <cfRule type="expression" dxfId="6" priority="27" stopIfTrue="1">
      <formula>OR($C56="DNC", $C56="NI", $C56="No Medicare")</formula>
    </cfRule>
  </conditionalFormatting>
  <conditionalFormatting sqref="I56">
    <cfRule type="expression" dxfId="7" priority="28" stopIfTrue="1">
      <formula>$C56="Onboarded"</formula>
    </cfRule>
  </conditionalFormatting>
  <conditionalFormatting sqref="I56">
    <cfRule type="expression" dxfId="8" priority="29" stopIfTrue="1">
      <formula>OR($C56="Invoice Sent", $C56="Trial Sent")</formula>
    </cfRule>
  </conditionalFormatting>
  <conditionalFormatting sqref="I56">
    <cfRule type="expression" dxfId="9" priority="30" stopIfTrue="1">
      <formula>$C56="Hold"</formula>
    </cfRule>
  </conditionalFormatting>
  <conditionalFormatting sqref="A56:P56">
    <cfRule type="expression" dxfId="4" priority="31">
      <formula>OR($C56="Follow Up", $C56="Contract Sent")</formula>
    </cfRule>
  </conditionalFormatting>
  <conditionalFormatting sqref="A56:P56">
    <cfRule type="expression" dxfId="5" priority="32">
      <formula>OR($C56="NOT READY", $C56="No - Show / Callback", $C56="Pending Medicare", $C56="Inactive License")</formula>
    </cfRule>
  </conditionalFormatting>
  <conditionalFormatting sqref="A56:P56">
    <cfRule type="expression" dxfId="6" priority="33">
      <formula>OR($C56="DNC", $C56="NI", $C56="No Medicare")</formula>
    </cfRule>
  </conditionalFormatting>
  <conditionalFormatting sqref="A56:P56">
    <cfRule type="expression" dxfId="7" priority="34">
      <formula>$C56="Onboarded"</formula>
    </cfRule>
  </conditionalFormatting>
  <conditionalFormatting sqref="A56:S56">
    <cfRule type="expression" dxfId="8" priority="35">
      <formula>OR($C56="Invoice Sent", $C56="Trial Sent")</formula>
    </cfRule>
  </conditionalFormatting>
  <conditionalFormatting sqref="A56:S56">
    <cfRule type="expression" dxfId="9" priority="36">
      <formula>$C56="Hold"</formula>
    </cfRule>
  </conditionalFormatting>
  <conditionalFormatting sqref="Q32:S32 A50:S55 A58:S58">
    <cfRule type="expression" dxfId="9" priority="37">
      <formula>$C32="Hold"</formula>
    </cfRule>
  </conditionalFormatting>
  <conditionalFormatting sqref="Q32:S32 A50:S55 A58:S58">
    <cfRule type="expression" dxfId="8" priority="38">
      <formula>OR($C32="Invoice Sent", $C32="Trial Sent")</formula>
    </cfRule>
  </conditionalFormatting>
  <conditionalFormatting sqref="A50:P55 A58:P58">
    <cfRule type="expression" dxfId="7" priority="39">
      <formula>$C50="Onboarded"</formula>
    </cfRule>
  </conditionalFormatting>
  <conditionalFormatting sqref="A50:P55 A58:P58">
    <cfRule type="expression" dxfId="6" priority="40">
      <formula>OR($C50="DNC", $C50="NI", $C50="No Medicare")</formula>
    </cfRule>
  </conditionalFormatting>
  <conditionalFormatting sqref="A50:P55 A58:P58">
    <cfRule type="expression" dxfId="5" priority="41">
      <formula>OR($C50="NOT READY", $C50="No - Show / Callback", $C50="Pending Medicare", $C50="Inactive License")</formula>
    </cfRule>
  </conditionalFormatting>
  <conditionalFormatting sqref="A50:P55 A58:P58">
    <cfRule type="expression" dxfId="4" priority="42">
      <formula>OR($C50="Follow Up", $C50="Contract Sent")</formula>
    </cfRule>
  </conditionalFormatting>
  <conditionalFormatting sqref="Q6:S9 Q31:S31 A46:P49 Q46:S50 Q65:S66">
    <cfRule type="expression" dxfId="9" priority="43">
      <formula>$C6="Hold"</formula>
    </cfRule>
  </conditionalFormatting>
  <conditionalFormatting sqref="Q6:S9 Q31:S31 A46:P49 Q46:S50 Q65:S66">
    <cfRule type="expression" dxfId="8" priority="44">
      <formula>OR($C6="Invoice Sent", $C6="Trial Sent")</formula>
    </cfRule>
  </conditionalFormatting>
  <conditionalFormatting sqref="A46:P49">
    <cfRule type="expression" dxfId="7" priority="45">
      <formula>$C46="Onboarded"</formula>
    </cfRule>
  </conditionalFormatting>
  <conditionalFormatting sqref="A46:P49">
    <cfRule type="expression" dxfId="6" priority="46">
      <formula>OR($C46="DNC", $C46="NI", $C46="No Medicare")</formula>
    </cfRule>
  </conditionalFormatting>
  <conditionalFormatting sqref="A46:P49">
    <cfRule type="expression" dxfId="5" priority="47">
      <formula>OR($C46="NOT READY", $C46="No - Show / Callback", $C46="Pending Medicare", $C46="Inactive License")</formula>
    </cfRule>
  </conditionalFormatting>
  <conditionalFormatting sqref="A46:P49">
    <cfRule type="expression" dxfId="4" priority="48">
      <formula>OR($C46="Follow Up", $C46="Contract Sent")</formula>
    </cfRule>
  </conditionalFormatting>
  <conditionalFormatting sqref="A1:P45 Q1:S1 Q6:S9 Q19:S19 Q23:S23 Q31:S31 Q49:S50 A51:P55 A58:P58 A60:P77 Q65:S66 Q76:S77 A80:P175 Q80:S87">
    <cfRule type="expression" dxfId="4" priority="49" stopIfTrue="1">
      <formula>OR($C1="Follow Up", $C1="Contract Sent")</formula>
    </cfRule>
  </conditionalFormatting>
  <conditionalFormatting sqref="A1:P45 Q1:S1 Q6:S9 Q19:S19 Q23:S23 Q31:S31 Q49:S50 A51:P55 A58:P58 A60:P77 Q65:S66 Q76:S77 A80:P175 Q80:S87">
    <cfRule type="expression" dxfId="5" priority="50" stopIfTrue="1">
      <formula>OR($C1="NOT READY", $C1="No - Show / Callback", $C1="Pending Medicare", $C1="Inactive License")</formula>
    </cfRule>
  </conditionalFormatting>
  <conditionalFormatting sqref="A1:P45 Q1:S1 Q6:S9 Q19:S19 Q23:S23 Q31:S31 Q49:S50 A51:P55 A58:P58 A60:P77 Q65:S66 Q76:S77 A80:P175 Q80:S87">
    <cfRule type="expression" dxfId="6" priority="51" stopIfTrue="1">
      <formula>OR($C1="DNC", $C1="NI", $C1="No Medicare")</formula>
    </cfRule>
  </conditionalFormatting>
  <conditionalFormatting sqref="A1:P45 Q1:S1 Q6:S9 Q19:S19 Q23:S23 Q31:S31 Q49:S50 A51:P55 A58:P58 A60:P77 Q65:S66 Q76:S77 A80:P175 Q80:S87">
    <cfRule type="expression" dxfId="7" priority="52" stopIfTrue="1">
      <formula>$C1="Onboarded"</formula>
    </cfRule>
  </conditionalFormatting>
  <conditionalFormatting sqref="A1:S45 Q49:S55 A51:P55 A58:S58 A60:S77 A80:S175">
    <cfRule type="expression" dxfId="8" priority="53" stopIfTrue="1">
      <formula>OR($C1="Invoice Sent", $C1="Trial Sent")</formula>
    </cfRule>
  </conditionalFormatting>
  <conditionalFormatting sqref="A1:S45 Q49:S55 A51:P55 A58:S58 A60:S77 A80:S175">
    <cfRule type="expression" dxfId="9" priority="54" stopIfTrue="1">
      <formula>$C1="Hold"</formula>
    </cfRule>
  </conditionalFormatting>
  <dataValidations>
    <dataValidation type="list" allowBlank="1" showErrorMessage="1" sqref="B78">
      <formula1>"Ben,George,Jane,Jimmy,Selene,Jasmine"</formula1>
    </dataValidation>
    <dataValidation type="list" allowBlank="1" showErrorMessage="1" sqref="B79">
      <formula1>"Ben,George,Jane,Jimmy,Selene,Jasmine,Nora"</formula1>
    </dataValidation>
    <dataValidation type="list" allowBlank="1" showErrorMessage="1" sqref="A46:A55 A58">
      <formula1>"Auto Insurance,Campaigns,CGM,CGM+Lymph W,Home Improvement,Hospitality,IMMUNE,Logistics,Lymphadema,ORT,ORT + Lymphedema,ORT+CGM,ORT+CGM+LYMPH W,RE,SUB,DME &amp; LAB,PPO"</formula1>
    </dataValidation>
    <dataValidation type="list" allowBlank="1" showErrorMessage="1" sqref="A31 A33">
      <formula1>"Campaigns,CGM,CGM+Lymph W,Claims,Food delivery,Home Improvement,Lymphadema,MVA Claims,ORT,ORT + Lymphedema,ORT+CGM,ORT+CGM+LYMPH W,RE,Solar,SUB,Vacation DNC Camapign"</formula1>
    </dataValidation>
    <dataValidation type="list" allowBlank="1" showErrorMessage="1" sqref="A2:A30 A32">
      <formula1>"Auto Insurance,Campaigns,CGM,CGM+Lymph W,Home Improvement,Hospitality,IMMUNE,Logistics,Lymphadema,ORT,ORT + Lymphedema,ORT+CGM,ORT+CGM+LYMPH W,RE,SUB"</formula1>
    </dataValidation>
    <dataValidation type="list" allowBlank="1" showErrorMessage="1" sqref="A78:A79">
      <formula1>"Auto Insurance,Campaigns,CGM,CGM+Lymph W,Home Improvement,Hospitality,IMMUNE,Logistics,Lymphadema,ORT,ORT + Lymphedema,ORT+CGM,ORT+CGM+LYMPH W,RE,SUB,DME &amp; LAB,PPO,DMEDESK,Lab,MLA"</formula1>
    </dataValidation>
    <dataValidation type="list" allowBlank="1" showErrorMessage="1" sqref="C2:C77 C80:C87">
      <formula1>Settings!$A$1:$A87</formula1>
    </dataValidation>
    <dataValidation type="list" allowBlank="1" showErrorMessage="1" sqref="C78:C79">
      <formula1>Settings!$A$1:$A87</formula1>
    </dataValidation>
    <dataValidation type="list" allowBlank="1" showErrorMessage="1" sqref="A56:A57 A59:A77 A80:A87">
      <formula1>"Auto Insurance,Campaigns,CGM,CGM+Lymph W,Home Improvement,Hospitality,IMMUNE,Logistics,Lymphadema,ORT,ORT + Lymphedema,ORT+CGM,ORT+CGM+LYMPH W,RE,SUB,DME &amp; LAB,PPO,DMEDESK"</formula1>
    </dataValidation>
    <dataValidation type="list" allowBlank="1" showErrorMessage="1" sqref="B2:B77 B80:B87">
      <formula1>"Ben,George,Jane,Jimmy,Selene,Jasmine"</formula1>
    </dataValidation>
    <dataValidation type="list" allowBlank="1" showErrorMessage="1" sqref="A34:A45">
      <formula1>"Auto Insurance,Campaigns,CGM,CGM+Lymph W,Home Improvement,Hospitality,IMMUNE,Logistics,Lymphadema,ORT,ORT + Lymphedema,ORT+CGM,ORT+CGM+LYMPH W,RE,SUB,DME &amp; LAB"</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17.0"/>
    <col customWidth="1" min="3" max="3" width="28.13"/>
    <col customWidth="1" min="4" max="4" width="12.75"/>
    <col customWidth="1" min="5" max="5" width="42.38"/>
    <col customWidth="1" min="6" max="6" width="39.13"/>
    <col customWidth="1" min="7" max="7" width="22.63"/>
    <col customWidth="1" min="8" max="8" width="26.5"/>
    <col customWidth="1" min="9" max="9" width="15.25"/>
    <col customWidth="1" min="10" max="10" width="33.88"/>
    <col customWidth="1" min="11" max="11" width="25.75"/>
    <col customWidth="1" min="12" max="12" width="23.63"/>
    <col customWidth="1" min="13" max="13" width="25.0"/>
  </cols>
  <sheetData>
    <row r="1" ht="38.25" customHeight="1">
      <c r="A1" s="246"/>
      <c r="B1" s="246" t="s">
        <v>1</v>
      </c>
      <c r="C1" s="246" t="s">
        <v>2</v>
      </c>
      <c r="D1" s="249" t="s">
        <v>3</v>
      </c>
      <c r="E1" s="249" t="s">
        <v>4</v>
      </c>
      <c r="F1" s="249" t="s">
        <v>5</v>
      </c>
      <c r="G1" s="251" t="s">
        <v>6</v>
      </c>
      <c r="H1" s="249" t="s">
        <v>7</v>
      </c>
      <c r="I1" s="249" t="s">
        <v>8</v>
      </c>
      <c r="J1" s="249" t="s">
        <v>9</v>
      </c>
      <c r="K1" s="249" t="s">
        <v>10</v>
      </c>
      <c r="L1" s="253" t="s">
        <v>11</v>
      </c>
      <c r="M1" s="246" t="s">
        <v>12</v>
      </c>
      <c r="N1" s="249" t="s">
        <v>13</v>
      </c>
      <c r="O1" s="246" t="s">
        <v>14</v>
      </c>
      <c r="P1" s="249" t="s">
        <v>15</v>
      </c>
      <c r="Q1" s="246" t="s">
        <v>16</v>
      </c>
      <c r="R1" s="254"/>
      <c r="S1" s="254"/>
    </row>
    <row r="2" ht="20.25" customHeight="1">
      <c r="A2" s="255" t="s">
        <v>22</v>
      </c>
      <c r="B2" s="256" t="s">
        <v>19</v>
      </c>
      <c r="C2" s="256" t="s">
        <v>1451</v>
      </c>
      <c r="D2" s="257">
        <v>45593.0</v>
      </c>
      <c r="E2" s="256" t="s">
        <v>1454</v>
      </c>
      <c r="F2" s="256" t="s">
        <v>1456</v>
      </c>
      <c r="G2" s="256" t="s">
        <v>1458</v>
      </c>
      <c r="H2" s="258"/>
      <c r="I2" s="259" t="s">
        <v>973</v>
      </c>
      <c r="J2" s="256" t="s">
        <v>1461</v>
      </c>
      <c r="K2" s="256" t="s">
        <v>1462</v>
      </c>
      <c r="L2" s="256" t="s">
        <v>1462</v>
      </c>
      <c r="M2" s="260"/>
      <c r="N2" s="261"/>
      <c r="O2" s="256" t="b">
        <v>0</v>
      </c>
      <c r="P2" s="260"/>
      <c r="Q2" s="260"/>
      <c r="R2" s="262"/>
      <c r="S2" s="262"/>
    </row>
    <row r="3" ht="20.25" customHeight="1">
      <c r="A3" s="255" t="s">
        <v>17</v>
      </c>
      <c r="B3" s="256" t="s">
        <v>19</v>
      </c>
      <c r="C3" s="256" t="s">
        <v>1451</v>
      </c>
      <c r="D3" s="257">
        <v>45610.0</v>
      </c>
      <c r="E3" s="256" t="s">
        <v>1471</v>
      </c>
      <c r="F3" s="256" t="s">
        <v>1473</v>
      </c>
      <c r="G3" s="256" t="s">
        <v>1475</v>
      </c>
      <c r="H3" s="258"/>
      <c r="I3" s="259" t="s">
        <v>1244</v>
      </c>
      <c r="J3" s="256" t="s">
        <v>1479</v>
      </c>
      <c r="K3" s="256" t="s">
        <v>1482</v>
      </c>
      <c r="L3" s="256" t="s">
        <v>1482</v>
      </c>
      <c r="M3" s="263" t="s">
        <v>1485</v>
      </c>
      <c r="N3" s="261"/>
      <c r="O3" s="256" t="b">
        <v>0</v>
      </c>
      <c r="P3" s="260"/>
      <c r="Q3" s="260"/>
      <c r="R3" s="262"/>
      <c r="S3" s="262"/>
    </row>
    <row r="4" ht="20.25" customHeight="1">
      <c r="A4" s="255" t="s">
        <v>17</v>
      </c>
      <c r="B4" s="256" t="s">
        <v>19</v>
      </c>
      <c r="C4" s="256" t="s">
        <v>1451</v>
      </c>
      <c r="D4" s="257">
        <v>45616.0</v>
      </c>
      <c r="E4" s="256" t="s">
        <v>1490</v>
      </c>
      <c r="F4" s="256" t="s">
        <v>1492</v>
      </c>
      <c r="G4" s="256" t="s">
        <v>1493</v>
      </c>
      <c r="H4" s="256" t="s">
        <v>1497</v>
      </c>
      <c r="I4" s="259" t="s">
        <v>1498</v>
      </c>
      <c r="J4" s="256" t="s">
        <v>1499</v>
      </c>
      <c r="K4" s="256" t="s">
        <v>1500</v>
      </c>
      <c r="L4" s="256" t="s">
        <v>1500</v>
      </c>
      <c r="M4" s="263" t="s">
        <v>1501</v>
      </c>
      <c r="N4" s="261"/>
      <c r="O4" s="256" t="b">
        <v>0</v>
      </c>
      <c r="P4" s="260"/>
      <c r="Q4" s="260"/>
      <c r="R4" s="262"/>
      <c r="S4" s="262"/>
    </row>
    <row r="5" ht="20.25" customHeight="1">
      <c r="A5" s="255" t="s">
        <v>22</v>
      </c>
      <c r="B5" s="256" t="s">
        <v>19</v>
      </c>
      <c r="C5" s="256" t="s">
        <v>1410</v>
      </c>
      <c r="D5" s="257">
        <v>45622.0</v>
      </c>
      <c r="E5" s="256" t="s">
        <v>1511</v>
      </c>
      <c r="F5" s="256" t="s">
        <v>1512</v>
      </c>
      <c r="G5" s="256" t="s">
        <v>1514</v>
      </c>
      <c r="H5" s="258"/>
      <c r="I5" s="259" t="s">
        <v>1515</v>
      </c>
      <c r="J5" s="256" t="s">
        <v>1516</v>
      </c>
      <c r="K5" s="256"/>
      <c r="L5" s="256"/>
      <c r="M5" s="260"/>
      <c r="N5" s="261"/>
      <c r="O5" s="256" t="b">
        <v>0</v>
      </c>
      <c r="P5" s="260"/>
      <c r="Q5" s="260"/>
      <c r="R5" s="262"/>
      <c r="S5" s="262"/>
    </row>
    <row r="6" ht="20.25" customHeight="1">
      <c r="A6" s="255" t="s">
        <v>22</v>
      </c>
      <c r="B6" s="256" t="s">
        <v>19</v>
      </c>
      <c r="C6" s="256" t="s">
        <v>1527</v>
      </c>
      <c r="D6" s="257">
        <v>45631.0</v>
      </c>
      <c r="E6" s="256" t="s">
        <v>1531</v>
      </c>
      <c r="F6" s="256" t="s">
        <v>1534</v>
      </c>
      <c r="G6" s="256" t="s">
        <v>1535</v>
      </c>
      <c r="H6" s="258"/>
      <c r="I6" s="259" t="s">
        <v>581</v>
      </c>
      <c r="J6" s="256" t="s">
        <v>1550</v>
      </c>
      <c r="K6" s="256" t="s">
        <v>1551</v>
      </c>
      <c r="L6" s="256" t="s">
        <v>1551</v>
      </c>
      <c r="M6" s="260"/>
      <c r="N6" s="261"/>
      <c r="O6" s="256" t="b">
        <v>0</v>
      </c>
      <c r="P6" s="260"/>
      <c r="Q6" s="260"/>
      <c r="R6" s="262"/>
      <c r="S6" s="262"/>
    </row>
    <row r="7" ht="20.25" customHeight="1">
      <c r="A7" s="255" t="s">
        <v>22</v>
      </c>
      <c r="B7" s="256" t="s">
        <v>19</v>
      </c>
      <c r="C7" s="256" t="s">
        <v>1451</v>
      </c>
      <c r="D7" s="257">
        <v>45635.0</v>
      </c>
      <c r="E7" s="256" t="s">
        <v>1552</v>
      </c>
      <c r="F7" s="256" t="s">
        <v>1554</v>
      </c>
      <c r="G7" s="256" t="s">
        <v>1555</v>
      </c>
      <c r="H7" s="258"/>
      <c r="I7" s="259" t="s">
        <v>1557</v>
      </c>
      <c r="J7" s="256" t="s">
        <v>1560</v>
      </c>
      <c r="K7" s="256" t="s">
        <v>1561</v>
      </c>
      <c r="L7" s="256" t="s">
        <v>1561</v>
      </c>
      <c r="M7" s="260"/>
      <c r="N7" s="261"/>
      <c r="O7" s="256" t="b">
        <v>0</v>
      </c>
      <c r="P7" s="260"/>
      <c r="Q7" s="260"/>
      <c r="R7" s="262"/>
      <c r="S7" s="262"/>
    </row>
    <row r="8" ht="20.25" customHeight="1">
      <c r="A8" s="255" t="s">
        <v>22</v>
      </c>
      <c r="B8" s="256" t="s">
        <v>19</v>
      </c>
      <c r="C8" s="256" t="s">
        <v>1451</v>
      </c>
      <c r="D8" s="257">
        <v>45639.0</v>
      </c>
      <c r="E8" s="256" t="s">
        <v>1568</v>
      </c>
      <c r="F8" s="256" t="s">
        <v>1571</v>
      </c>
      <c r="G8" s="256" t="s">
        <v>1573</v>
      </c>
      <c r="H8" s="258"/>
      <c r="I8" s="259" t="s">
        <v>1174</v>
      </c>
      <c r="J8" s="256" t="s">
        <v>1576</v>
      </c>
      <c r="K8" s="256" t="s">
        <v>1577</v>
      </c>
      <c r="L8" s="256" t="s">
        <v>1577</v>
      </c>
      <c r="M8" s="260"/>
      <c r="N8" s="261"/>
      <c r="O8" s="256" t="b">
        <v>0</v>
      </c>
      <c r="P8" s="260"/>
      <c r="Q8" s="260"/>
      <c r="R8" s="262"/>
      <c r="S8" s="262"/>
    </row>
    <row r="9" ht="20.25" customHeight="1">
      <c r="A9" s="255" t="s">
        <v>22</v>
      </c>
      <c r="B9" s="256" t="s">
        <v>19</v>
      </c>
      <c r="C9" s="256" t="s">
        <v>1451</v>
      </c>
      <c r="D9" s="256" t="s">
        <v>1580</v>
      </c>
      <c r="E9" s="256" t="s">
        <v>1581</v>
      </c>
      <c r="F9" s="256" t="s">
        <v>1582</v>
      </c>
      <c r="G9" s="256" t="s">
        <v>1583</v>
      </c>
      <c r="H9" s="258"/>
      <c r="I9" s="259" t="s">
        <v>1584</v>
      </c>
      <c r="J9" s="256" t="s">
        <v>1585</v>
      </c>
      <c r="K9" s="256"/>
      <c r="L9" s="256"/>
      <c r="M9" s="260"/>
      <c r="N9" s="261"/>
      <c r="O9" s="256" t="b">
        <v>0</v>
      </c>
      <c r="P9" s="260"/>
      <c r="Q9" s="260"/>
      <c r="R9" s="262"/>
      <c r="S9" s="262"/>
    </row>
    <row r="10" ht="20.25" customHeight="1">
      <c r="A10" s="255" t="s">
        <v>22</v>
      </c>
      <c r="B10" s="256" t="s">
        <v>19</v>
      </c>
      <c r="C10" s="256" t="s">
        <v>1451</v>
      </c>
      <c r="D10" s="257">
        <v>45684.0</v>
      </c>
      <c r="E10" s="256" t="s">
        <v>1600</v>
      </c>
      <c r="F10" s="256" t="s">
        <v>1602</v>
      </c>
      <c r="G10" s="256" t="s">
        <v>1604</v>
      </c>
      <c r="H10" s="258"/>
      <c r="I10" s="259" t="s">
        <v>1607</v>
      </c>
      <c r="J10" s="256" t="s">
        <v>1608</v>
      </c>
      <c r="K10" s="256"/>
      <c r="L10" s="256"/>
      <c r="M10" s="260"/>
      <c r="N10" s="261"/>
      <c r="O10" s="256" t="b">
        <v>0</v>
      </c>
      <c r="P10" s="260"/>
      <c r="Q10" s="260"/>
      <c r="R10" s="262"/>
      <c r="S10" s="262"/>
    </row>
    <row r="11" ht="20.25" customHeight="1">
      <c r="A11" s="255" t="s">
        <v>22</v>
      </c>
      <c r="B11" s="256" t="s">
        <v>19</v>
      </c>
      <c r="C11" s="256" t="s">
        <v>1451</v>
      </c>
      <c r="D11" s="257">
        <v>45674.0</v>
      </c>
      <c r="E11" s="256" t="s">
        <v>1611</v>
      </c>
      <c r="F11" s="256" t="s">
        <v>1612</v>
      </c>
      <c r="G11" s="256" t="s">
        <v>1613</v>
      </c>
      <c r="H11" s="256" t="s">
        <v>1614</v>
      </c>
      <c r="I11" s="259" t="s">
        <v>1615</v>
      </c>
      <c r="J11" s="256" t="s">
        <v>1616</v>
      </c>
      <c r="K11" s="256" t="s">
        <v>1617</v>
      </c>
      <c r="L11" s="256" t="s">
        <v>1617</v>
      </c>
      <c r="M11" s="260"/>
      <c r="N11" s="261"/>
      <c r="O11" s="256" t="b">
        <v>0</v>
      </c>
      <c r="P11" s="260"/>
      <c r="Q11" s="260"/>
      <c r="R11" s="262"/>
      <c r="S11" s="262"/>
    </row>
    <row r="12" ht="20.25" customHeight="1">
      <c r="A12" s="255" t="s">
        <v>17</v>
      </c>
      <c r="B12" s="256" t="s">
        <v>23</v>
      </c>
      <c r="C12" s="256" t="s">
        <v>1451</v>
      </c>
      <c r="D12" s="257">
        <v>45693.0</v>
      </c>
      <c r="E12" s="256" t="s">
        <v>1625</v>
      </c>
      <c r="F12" s="256" t="s">
        <v>1626</v>
      </c>
      <c r="G12" s="256" t="s">
        <v>1628</v>
      </c>
      <c r="H12" s="258"/>
      <c r="I12" s="259" t="s">
        <v>1630</v>
      </c>
      <c r="J12" s="256" t="s">
        <v>1633</v>
      </c>
      <c r="K12" s="261"/>
      <c r="L12" s="267"/>
      <c r="M12" s="260"/>
      <c r="N12" s="261"/>
      <c r="O12" s="256" t="b">
        <v>0</v>
      </c>
      <c r="P12" s="260"/>
      <c r="Q12" s="263">
        <v>1.164355863E9</v>
      </c>
      <c r="R12" s="262"/>
      <c r="S12" s="262"/>
    </row>
    <row r="13" ht="20.25" customHeight="1">
      <c r="A13" s="255" t="s">
        <v>17</v>
      </c>
      <c r="B13" s="256" t="s">
        <v>23</v>
      </c>
      <c r="C13" s="256" t="s">
        <v>1451</v>
      </c>
      <c r="D13" s="257">
        <v>45693.0</v>
      </c>
      <c r="E13" s="256" t="s">
        <v>1640</v>
      </c>
      <c r="F13" s="256" t="s">
        <v>1641</v>
      </c>
      <c r="G13" s="256" t="s">
        <v>1642</v>
      </c>
      <c r="H13" s="258"/>
      <c r="I13" s="259" t="s">
        <v>1643</v>
      </c>
      <c r="J13" s="256" t="s">
        <v>1644</v>
      </c>
      <c r="K13" s="261"/>
      <c r="L13" s="267"/>
      <c r="M13" s="260"/>
      <c r="N13" s="261"/>
      <c r="O13" s="256" t="b">
        <v>0</v>
      </c>
      <c r="P13" s="260"/>
      <c r="Q13" s="263">
        <v>1.689409575E9</v>
      </c>
      <c r="R13" s="262"/>
      <c r="S13" s="262"/>
    </row>
    <row r="14" ht="20.25" customHeight="1">
      <c r="A14" s="255" t="s">
        <v>17</v>
      </c>
      <c r="B14" s="256" t="s">
        <v>19</v>
      </c>
      <c r="C14" s="256" t="s">
        <v>1451</v>
      </c>
      <c r="D14" s="257">
        <v>45694.0</v>
      </c>
      <c r="E14" s="256" t="s">
        <v>1655</v>
      </c>
      <c r="F14" s="256" t="s">
        <v>1657</v>
      </c>
      <c r="G14" s="256" t="s">
        <v>1179</v>
      </c>
      <c r="H14" s="256" t="s">
        <v>1180</v>
      </c>
      <c r="I14" s="259" t="s">
        <v>69</v>
      </c>
      <c r="J14" s="256" t="s">
        <v>1659</v>
      </c>
      <c r="K14" s="256"/>
      <c r="L14" s="256"/>
      <c r="M14" s="260"/>
      <c r="N14" s="261"/>
      <c r="O14" s="256" t="b">
        <v>0</v>
      </c>
      <c r="P14" s="260"/>
      <c r="Q14" s="260"/>
      <c r="R14" s="262"/>
      <c r="S14" s="262"/>
    </row>
    <row r="15" ht="20.25" customHeight="1">
      <c r="A15" s="255" t="s">
        <v>22</v>
      </c>
      <c r="B15" s="256" t="s">
        <v>19</v>
      </c>
      <c r="C15" s="256" t="s">
        <v>1451</v>
      </c>
      <c r="D15" s="257">
        <v>45695.0</v>
      </c>
      <c r="E15" s="256" t="s">
        <v>1664</v>
      </c>
      <c r="F15" s="256" t="s">
        <v>1665</v>
      </c>
      <c r="G15" s="256" t="s">
        <v>1667</v>
      </c>
      <c r="H15" s="258"/>
      <c r="I15" s="259" t="s">
        <v>513</v>
      </c>
      <c r="J15" s="256" t="s">
        <v>1668</v>
      </c>
      <c r="K15" s="256"/>
      <c r="L15" s="256"/>
      <c r="M15" s="260"/>
      <c r="N15" s="261"/>
      <c r="O15" s="256" t="b">
        <v>0</v>
      </c>
      <c r="P15" s="260"/>
      <c r="Q15" s="260"/>
      <c r="R15" s="262"/>
      <c r="S15" s="262"/>
    </row>
    <row r="16" ht="20.25" customHeight="1">
      <c r="A16" s="255" t="s">
        <v>17</v>
      </c>
      <c r="B16" s="256" t="s">
        <v>23</v>
      </c>
      <c r="C16" s="256" t="s">
        <v>1451</v>
      </c>
      <c r="D16" s="257">
        <v>45695.0</v>
      </c>
      <c r="E16" s="256" t="s">
        <v>1677</v>
      </c>
      <c r="F16" s="256" t="s">
        <v>1678</v>
      </c>
      <c r="G16" s="256" t="s">
        <v>1680</v>
      </c>
      <c r="H16" s="258"/>
      <c r="I16" s="259" t="s">
        <v>1683</v>
      </c>
      <c r="J16" s="256" t="s">
        <v>1684</v>
      </c>
      <c r="K16" s="261"/>
      <c r="L16" s="267"/>
      <c r="M16" s="260"/>
      <c r="N16" s="261"/>
      <c r="O16" s="256" t="b">
        <v>0</v>
      </c>
      <c r="P16" s="260"/>
      <c r="Q16" s="263">
        <v>1.619716743E9</v>
      </c>
      <c r="R16" s="262"/>
      <c r="S16" s="262"/>
    </row>
    <row r="17" ht="20.25" customHeight="1">
      <c r="A17" s="255" t="s">
        <v>17</v>
      </c>
      <c r="B17" s="256" t="s">
        <v>23</v>
      </c>
      <c r="C17" s="256" t="s">
        <v>1451</v>
      </c>
      <c r="D17" s="257">
        <v>45699.0</v>
      </c>
      <c r="E17" s="256" t="s">
        <v>1691</v>
      </c>
      <c r="F17" s="256" t="s">
        <v>1692</v>
      </c>
      <c r="G17" s="256" t="s">
        <v>1693</v>
      </c>
      <c r="H17" s="258"/>
      <c r="I17" s="259" t="s">
        <v>1694</v>
      </c>
      <c r="J17" s="256" t="s">
        <v>1695</v>
      </c>
      <c r="K17" s="263" t="s">
        <v>1697</v>
      </c>
      <c r="L17" s="275" t="s">
        <v>1697</v>
      </c>
      <c r="M17" s="260"/>
      <c r="N17" s="261"/>
      <c r="O17" s="256" t="b">
        <v>0</v>
      </c>
      <c r="P17" s="260"/>
      <c r="Q17" s="263">
        <v>1.316181654E9</v>
      </c>
      <c r="R17" s="262"/>
      <c r="S17" s="262"/>
    </row>
    <row r="18" ht="20.25" customHeight="1">
      <c r="A18" s="255" t="s">
        <v>17</v>
      </c>
      <c r="B18" s="256" t="s">
        <v>23</v>
      </c>
      <c r="C18" s="256" t="s">
        <v>1451</v>
      </c>
      <c r="D18" s="257">
        <v>45699.0</v>
      </c>
      <c r="E18" s="256" t="s">
        <v>1713</v>
      </c>
      <c r="F18" s="256" t="s">
        <v>1714</v>
      </c>
      <c r="G18" s="256" t="s">
        <v>1715</v>
      </c>
      <c r="H18" s="258"/>
      <c r="I18" s="259" t="s">
        <v>1716</v>
      </c>
      <c r="J18" s="256" t="s">
        <v>1718</v>
      </c>
      <c r="K18" s="263" t="s">
        <v>1719</v>
      </c>
      <c r="L18" s="275" t="s">
        <v>1719</v>
      </c>
      <c r="M18" s="260"/>
      <c r="N18" s="261"/>
      <c r="O18" s="256" t="b">
        <v>0</v>
      </c>
      <c r="P18" s="260"/>
      <c r="Q18" s="263">
        <v>1.023856515E9</v>
      </c>
      <c r="R18" s="262"/>
      <c r="S18" s="262"/>
    </row>
    <row r="19" ht="20.25" customHeight="1">
      <c r="A19" s="255" t="s">
        <v>17</v>
      </c>
      <c r="B19" s="256" t="s">
        <v>23</v>
      </c>
      <c r="C19" s="256" t="s">
        <v>1451</v>
      </c>
      <c r="D19" s="257">
        <v>45701.0</v>
      </c>
      <c r="E19" s="256" t="s">
        <v>1721</v>
      </c>
      <c r="F19" s="256" t="s">
        <v>1723</v>
      </c>
      <c r="G19" s="256" t="s">
        <v>1724</v>
      </c>
      <c r="H19" s="258"/>
      <c r="I19" s="259" t="s">
        <v>445</v>
      </c>
      <c r="J19" s="256" t="s">
        <v>1725</v>
      </c>
      <c r="K19" s="261"/>
      <c r="L19" s="267"/>
      <c r="M19" s="260"/>
      <c r="N19" s="261"/>
      <c r="O19" s="256" t="b">
        <v>0</v>
      </c>
      <c r="P19" s="260"/>
      <c r="Q19" s="263">
        <v>1.417682998E9</v>
      </c>
      <c r="R19" s="262"/>
      <c r="S19" s="262"/>
    </row>
    <row r="20" ht="20.25" customHeight="1">
      <c r="A20" s="255" t="s">
        <v>17</v>
      </c>
      <c r="B20" s="256" t="s">
        <v>53</v>
      </c>
      <c r="C20" s="256" t="s">
        <v>1451</v>
      </c>
      <c r="D20" s="257">
        <v>45695.0</v>
      </c>
      <c r="E20" s="256" t="s">
        <v>1739</v>
      </c>
      <c r="F20" s="256" t="s">
        <v>1740</v>
      </c>
      <c r="G20" s="256" t="s">
        <v>1741</v>
      </c>
      <c r="H20" s="258"/>
      <c r="I20" s="259" t="s">
        <v>1630</v>
      </c>
      <c r="J20" s="256" t="s">
        <v>1742</v>
      </c>
      <c r="K20" s="263" t="s">
        <v>1743</v>
      </c>
      <c r="L20" s="275" t="s">
        <v>1743</v>
      </c>
      <c r="M20" s="260"/>
      <c r="N20" s="261"/>
      <c r="O20" s="256" t="b">
        <v>0</v>
      </c>
      <c r="P20" s="260"/>
      <c r="Q20" s="260"/>
      <c r="R20" s="262"/>
      <c r="S20" s="262"/>
    </row>
    <row r="21" ht="20.25" customHeight="1">
      <c r="A21" s="255" t="s">
        <v>17</v>
      </c>
      <c r="B21" s="256" t="s">
        <v>53</v>
      </c>
      <c r="C21" s="256" t="s">
        <v>1451</v>
      </c>
      <c r="D21" s="257">
        <v>45706.0</v>
      </c>
      <c r="E21" s="256" t="s">
        <v>1744</v>
      </c>
      <c r="F21" s="256" t="s">
        <v>1745</v>
      </c>
      <c r="G21" s="256" t="s">
        <v>1746</v>
      </c>
      <c r="H21" s="258"/>
      <c r="I21" s="259" t="s">
        <v>1146</v>
      </c>
      <c r="J21" s="256" t="s">
        <v>1747</v>
      </c>
      <c r="K21" s="263" t="s">
        <v>1748</v>
      </c>
      <c r="L21" s="275" t="s">
        <v>1748</v>
      </c>
      <c r="M21" s="260"/>
      <c r="N21" s="261"/>
      <c r="O21" s="256" t="b">
        <v>0</v>
      </c>
      <c r="P21" s="260"/>
      <c r="Q21" s="260"/>
      <c r="R21" s="262"/>
      <c r="S21" s="262"/>
    </row>
    <row r="22" ht="20.25" customHeight="1">
      <c r="A22" s="255" t="s">
        <v>17</v>
      </c>
      <c r="B22" s="256" t="s">
        <v>53</v>
      </c>
      <c r="C22" s="256" t="s">
        <v>1527</v>
      </c>
      <c r="D22" s="257">
        <v>45707.0</v>
      </c>
      <c r="E22" s="256" t="s">
        <v>1754</v>
      </c>
      <c r="F22" s="256" t="s">
        <v>1755</v>
      </c>
      <c r="G22" s="256" t="s">
        <v>1756</v>
      </c>
      <c r="H22" s="258"/>
      <c r="I22" s="259" t="s">
        <v>1760</v>
      </c>
      <c r="J22" s="256" t="s">
        <v>1763</v>
      </c>
      <c r="K22" s="263" t="s">
        <v>64</v>
      </c>
      <c r="L22" s="275" t="s">
        <v>64</v>
      </c>
      <c r="M22" s="260"/>
      <c r="N22" s="261"/>
      <c r="O22" s="256" t="b">
        <v>0</v>
      </c>
      <c r="P22" s="260"/>
      <c r="Q22" s="260"/>
      <c r="R22" s="262"/>
      <c r="S22" s="262"/>
    </row>
    <row r="23" ht="20.25" customHeight="1">
      <c r="A23" s="255" t="s">
        <v>17</v>
      </c>
      <c r="B23" s="256" t="s">
        <v>53</v>
      </c>
      <c r="C23" s="256" t="s">
        <v>1451</v>
      </c>
      <c r="D23" s="257">
        <v>45707.0</v>
      </c>
      <c r="E23" s="256" t="s">
        <v>1776</v>
      </c>
      <c r="F23" s="256" t="s">
        <v>1778</v>
      </c>
      <c r="G23" s="256" t="s">
        <v>1779</v>
      </c>
      <c r="H23" s="258"/>
      <c r="I23" s="259" t="s">
        <v>1780</v>
      </c>
      <c r="J23" s="256" t="s">
        <v>1782</v>
      </c>
      <c r="K23" s="261"/>
      <c r="L23" s="267"/>
      <c r="M23" s="260"/>
      <c r="N23" s="261"/>
      <c r="O23" s="256" t="b">
        <v>0</v>
      </c>
      <c r="P23" s="260"/>
      <c r="Q23" s="260"/>
      <c r="R23" s="262"/>
      <c r="S23" s="262"/>
    </row>
    <row r="24" ht="20.25" customHeight="1">
      <c r="A24" s="255" t="s">
        <v>17</v>
      </c>
      <c r="B24" s="256" t="s">
        <v>23</v>
      </c>
      <c r="C24" s="256" t="s">
        <v>1451</v>
      </c>
      <c r="D24" s="257">
        <v>45707.0</v>
      </c>
      <c r="E24" s="256" t="s">
        <v>1786</v>
      </c>
      <c r="F24" s="256" t="s">
        <v>1788</v>
      </c>
      <c r="G24" s="256" t="s">
        <v>1790</v>
      </c>
      <c r="H24" s="258"/>
      <c r="I24" s="259" t="s">
        <v>1630</v>
      </c>
      <c r="J24" s="256" t="s">
        <v>1794</v>
      </c>
      <c r="K24" s="263" t="s">
        <v>1795</v>
      </c>
      <c r="L24" s="275" t="s">
        <v>1795</v>
      </c>
      <c r="M24" s="260"/>
      <c r="N24" s="261"/>
      <c r="O24" s="256" t="b">
        <v>0</v>
      </c>
      <c r="P24" s="260"/>
      <c r="Q24" s="263">
        <v>1.69954804E9</v>
      </c>
      <c r="R24" s="262"/>
      <c r="S24" s="262"/>
    </row>
    <row r="25" ht="20.25" customHeight="1">
      <c r="A25" s="255" t="s">
        <v>17</v>
      </c>
      <c r="B25" s="256" t="s">
        <v>53</v>
      </c>
      <c r="C25" s="256" t="s">
        <v>1451</v>
      </c>
      <c r="D25" s="257">
        <v>45707.0</v>
      </c>
      <c r="E25" s="256" t="s">
        <v>1797</v>
      </c>
      <c r="F25" s="256" t="s">
        <v>1798</v>
      </c>
      <c r="G25" s="256" t="s">
        <v>1799</v>
      </c>
      <c r="H25" s="258"/>
      <c r="I25" s="259" t="s">
        <v>445</v>
      </c>
      <c r="J25" s="256" t="s">
        <v>1800</v>
      </c>
      <c r="K25" s="263" t="s">
        <v>1802</v>
      </c>
      <c r="L25" s="275" t="s">
        <v>1802</v>
      </c>
      <c r="M25" s="260"/>
      <c r="N25" s="261"/>
      <c r="O25" s="256" t="b">
        <v>0</v>
      </c>
      <c r="P25" s="260"/>
      <c r="Q25" s="260"/>
      <c r="R25" s="262"/>
      <c r="S25" s="262"/>
    </row>
    <row r="26" ht="20.25" customHeight="1">
      <c r="A26" s="255" t="s">
        <v>17</v>
      </c>
      <c r="B26" s="256" t="s">
        <v>23</v>
      </c>
      <c r="C26" s="256" t="s">
        <v>1451</v>
      </c>
      <c r="D26" s="257">
        <v>45707.0</v>
      </c>
      <c r="E26" s="256" t="s">
        <v>1819</v>
      </c>
      <c r="F26" s="256" t="s">
        <v>1820</v>
      </c>
      <c r="G26" s="256" t="s">
        <v>1821</v>
      </c>
      <c r="H26" s="256" t="s">
        <v>1823</v>
      </c>
      <c r="I26" s="259" t="s">
        <v>1824</v>
      </c>
      <c r="J26" s="256" t="s">
        <v>1826</v>
      </c>
      <c r="K26" s="263" t="s">
        <v>1827</v>
      </c>
      <c r="L26" s="275" t="s">
        <v>1827</v>
      </c>
      <c r="M26" s="260"/>
      <c r="N26" s="261"/>
      <c r="O26" s="256" t="b">
        <v>0</v>
      </c>
      <c r="P26" s="260"/>
      <c r="Q26" s="263">
        <v>1.568222644E9</v>
      </c>
      <c r="R26" s="262"/>
      <c r="S26" s="262"/>
    </row>
    <row r="27" ht="20.25" customHeight="1">
      <c r="A27" s="255" t="s">
        <v>17</v>
      </c>
      <c r="B27" s="256" t="s">
        <v>23</v>
      </c>
      <c r="C27" s="256" t="s">
        <v>1451</v>
      </c>
      <c r="D27" s="257">
        <v>45707.0</v>
      </c>
      <c r="E27" s="256" t="s">
        <v>1833</v>
      </c>
      <c r="F27" s="256" t="s">
        <v>1833</v>
      </c>
      <c r="G27" s="256" t="s">
        <v>1834</v>
      </c>
      <c r="H27" s="258"/>
      <c r="I27" s="259" t="s">
        <v>1716</v>
      </c>
      <c r="J27" s="256" t="s">
        <v>1835</v>
      </c>
      <c r="K27" s="263" t="s">
        <v>1836</v>
      </c>
      <c r="L27" s="275" t="s">
        <v>1836</v>
      </c>
      <c r="M27" s="260"/>
      <c r="N27" s="261"/>
      <c r="O27" s="256" t="b">
        <v>0</v>
      </c>
      <c r="P27" s="260"/>
      <c r="Q27" s="260"/>
      <c r="R27" s="262"/>
      <c r="S27" s="262"/>
    </row>
    <row r="28" ht="20.25" customHeight="1">
      <c r="A28" s="255" t="s">
        <v>17</v>
      </c>
      <c r="B28" s="256" t="s">
        <v>53</v>
      </c>
      <c r="C28" s="256" t="s">
        <v>1451</v>
      </c>
      <c r="D28" s="257">
        <v>45708.0</v>
      </c>
      <c r="E28" s="256" t="s">
        <v>1844</v>
      </c>
      <c r="F28" s="256" t="s">
        <v>1846</v>
      </c>
      <c r="G28" s="256" t="s">
        <v>1849</v>
      </c>
      <c r="H28" s="258"/>
      <c r="I28" s="259" t="s">
        <v>1851</v>
      </c>
      <c r="J28" s="256" t="s">
        <v>1853</v>
      </c>
      <c r="K28" s="263" t="s">
        <v>1855</v>
      </c>
      <c r="L28" s="275" t="s">
        <v>1855</v>
      </c>
      <c r="M28" s="260"/>
      <c r="N28" s="261"/>
      <c r="O28" s="256" t="b">
        <v>0</v>
      </c>
      <c r="P28" s="260"/>
      <c r="Q28" s="260"/>
      <c r="R28" s="262"/>
      <c r="S28" s="262"/>
    </row>
    <row r="29" ht="20.25" customHeight="1">
      <c r="A29" s="255" t="s">
        <v>17</v>
      </c>
      <c r="B29" s="256" t="s">
        <v>23</v>
      </c>
      <c r="C29" s="256" t="s">
        <v>1451</v>
      </c>
      <c r="D29" s="257">
        <v>45709.0</v>
      </c>
      <c r="E29" s="256" t="s">
        <v>1860</v>
      </c>
      <c r="F29" s="256" t="s">
        <v>1861</v>
      </c>
      <c r="G29" s="256" t="s">
        <v>1862</v>
      </c>
      <c r="H29" s="258"/>
      <c r="I29" s="259" t="s">
        <v>131</v>
      </c>
      <c r="J29" s="256" t="s">
        <v>1863</v>
      </c>
      <c r="K29" s="263" t="s">
        <v>1865</v>
      </c>
      <c r="L29" s="275" t="s">
        <v>1865</v>
      </c>
      <c r="M29" s="260"/>
      <c r="N29" s="261"/>
      <c r="O29" s="256" t="b">
        <v>0</v>
      </c>
      <c r="P29" s="260"/>
      <c r="Q29" s="263">
        <v>1.24508053E9</v>
      </c>
      <c r="R29" s="262"/>
      <c r="S29" s="262"/>
    </row>
    <row r="30" ht="20.25" customHeight="1">
      <c r="A30" s="255" t="s">
        <v>17</v>
      </c>
      <c r="B30" s="256" t="s">
        <v>23</v>
      </c>
      <c r="C30" s="256" t="s">
        <v>1451</v>
      </c>
      <c r="D30" s="257">
        <v>45712.0</v>
      </c>
      <c r="E30" s="256" t="s">
        <v>1869</v>
      </c>
      <c r="F30" s="256" t="s">
        <v>1870</v>
      </c>
      <c r="G30" s="256" t="s">
        <v>1871</v>
      </c>
      <c r="H30" s="256" t="s">
        <v>1872</v>
      </c>
      <c r="I30" s="259" t="s">
        <v>1874</v>
      </c>
      <c r="J30" s="256" t="s">
        <v>1875</v>
      </c>
      <c r="K30" s="263" t="s">
        <v>1876</v>
      </c>
      <c r="L30" s="275" t="s">
        <v>1876</v>
      </c>
      <c r="M30" s="260"/>
      <c r="N30" s="261"/>
      <c r="O30" s="256" t="b">
        <v>0</v>
      </c>
      <c r="P30" s="260"/>
      <c r="Q30" s="263">
        <v>1.104633437E9</v>
      </c>
      <c r="R30" s="262"/>
      <c r="S30" s="262"/>
    </row>
    <row r="31" ht="20.25" customHeight="1">
      <c r="A31" s="255" t="s">
        <v>17</v>
      </c>
      <c r="B31" s="256" t="s">
        <v>53</v>
      </c>
      <c r="C31" s="256" t="s">
        <v>1451</v>
      </c>
      <c r="D31" s="257">
        <v>45713.0</v>
      </c>
      <c r="E31" s="256" t="s">
        <v>1884</v>
      </c>
      <c r="F31" s="256" t="s">
        <v>1885</v>
      </c>
      <c r="G31" s="256" t="s">
        <v>1886</v>
      </c>
      <c r="H31" s="258"/>
      <c r="I31" s="259" t="s">
        <v>1887</v>
      </c>
      <c r="J31" s="256" t="s">
        <v>1888</v>
      </c>
      <c r="K31" s="263" t="s">
        <v>1889</v>
      </c>
      <c r="L31" s="275" t="s">
        <v>1889</v>
      </c>
      <c r="M31" s="260"/>
      <c r="N31" s="261"/>
      <c r="O31" s="256" t="b">
        <v>0</v>
      </c>
      <c r="P31" s="260"/>
      <c r="Q31" s="260"/>
      <c r="R31" s="262"/>
      <c r="S31" s="262"/>
    </row>
    <row r="32" ht="20.25" customHeight="1">
      <c r="A32" s="255" t="s">
        <v>17</v>
      </c>
      <c r="B32" s="256" t="s">
        <v>23</v>
      </c>
      <c r="C32" s="256" t="s">
        <v>1527</v>
      </c>
      <c r="D32" s="257">
        <v>45714.0</v>
      </c>
      <c r="E32" s="256" t="s">
        <v>1894</v>
      </c>
      <c r="F32" s="256" t="s">
        <v>1895</v>
      </c>
      <c r="G32" s="256" t="s">
        <v>1896</v>
      </c>
      <c r="H32" s="258"/>
      <c r="I32" s="259" t="s">
        <v>1898</v>
      </c>
      <c r="J32" s="256" t="s">
        <v>1899</v>
      </c>
      <c r="K32" s="263" t="s">
        <v>1900</v>
      </c>
      <c r="L32" s="275" t="s">
        <v>1900</v>
      </c>
      <c r="M32" s="260"/>
      <c r="N32" s="261"/>
      <c r="O32" s="256" t="b">
        <v>0</v>
      </c>
      <c r="P32" s="260"/>
      <c r="Q32" s="263">
        <v>1.124865647E9</v>
      </c>
      <c r="R32" s="262"/>
      <c r="S32" s="262"/>
    </row>
    <row r="33" ht="20.25" customHeight="1">
      <c r="A33" s="255" t="s">
        <v>17</v>
      </c>
      <c r="B33" s="256" t="s">
        <v>23</v>
      </c>
      <c r="C33" s="256" t="s">
        <v>1451</v>
      </c>
      <c r="D33" s="257">
        <v>45715.0</v>
      </c>
      <c r="E33" s="256" t="s">
        <v>1901</v>
      </c>
      <c r="F33" s="256" t="s">
        <v>1903</v>
      </c>
      <c r="G33" s="256" t="s">
        <v>1906</v>
      </c>
      <c r="H33" s="256" t="s">
        <v>1908</v>
      </c>
      <c r="I33" s="259" t="s">
        <v>973</v>
      </c>
      <c r="J33" s="256" t="s">
        <v>1912</v>
      </c>
      <c r="K33" s="261"/>
      <c r="L33" s="267"/>
      <c r="M33" s="260"/>
      <c r="N33" s="261"/>
      <c r="O33" s="256" t="b">
        <v>0</v>
      </c>
      <c r="P33" s="260"/>
      <c r="Q33" s="263">
        <v>1.457931792E9</v>
      </c>
      <c r="R33" s="262"/>
      <c r="S33" s="262"/>
    </row>
    <row r="34" ht="20.25" customHeight="1">
      <c r="A34" s="255" t="s">
        <v>17</v>
      </c>
      <c r="B34" s="256" t="s">
        <v>53</v>
      </c>
      <c r="C34" s="256" t="s">
        <v>1527</v>
      </c>
      <c r="D34" s="257">
        <v>45720.0</v>
      </c>
      <c r="E34" s="256" t="s">
        <v>1915</v>
      </c>
      <c r="F34" s="256" t="s">
        <v>1916</v>
      </c>
      <c r="G34" s="256" t="s">
        <v>1917</v>
      </c>
      <c r="H34" s="258"/>
      <c r="I34" s="259" t="s">
        <v>1918</v>
      </c>
      <c r="J34" s="256" t="s">
        <v>1921</v>
      </c>
      <c r="K34" s="263" t="s">
        <v>1922</v>
      </c>
      <c r="L34" s="275" t="s">
        <v>1922</v>
      </c>
      <c r="M34" s="260"/>
      <c r="N34" s="261"/>
      <c r="O34" s="256" t="b">
        <v>0</v>
      </c>
      <c r="P34" s="260"/>
      <c r="Q34" s="260"/>
      <c r="R34" s="262"/>
      <c r="S34" s="262"/>
    </row>
    <row r="35" ht="20.25" customHeight="1">
      <c r="A35" s="255" t="s">
        <v>17</v>
      </c>
      <c r="B35" s="256" t="s">
        <v>23</v>
      </c>
      <c r="C35" s="256" t="s">
        <v>1451</v>
      </c>
      <c r="D35" s="257">
        <v>45720.0</v>
      </c>
      <c r="E35" s="256" t="s">
        <v>1931</v>
      </c>
      <c r="F35" s="256" t="s">
        <v>1932</v>
      </c>
      <c r="G35" s="256" t="s">
        <v>1933</v>
      </c>
      <c r="H35" s="258"/>
      <c r="I35" s="259" t="s">
        <v>1807</v>
      </c>
      <c r="J35" s="256" t="s">
        <v>1934</v>
      </c>
      <c r="K35" s="263" t="s">
        <v>1935</v>
      </c>
      <c r="L35" s="275" t="s">
        <v>1935</v>
      </c>
      <c r="M35" s="306">
        <v>0.75</v>
      </c>
      <c r="N35" s="261"/>
      <c r="O35" s="256" t="b">
        <v>0</v>
      </c>
      <c r="P35" s="260"/>
      <c r="Q35" s="263">
        <v>1.457931792E9</v>
      </c>
      <c r="R35" s="262"/>
      <c r="S35" s="262"/>
    </row>
    <row r="36" ht="20.25" customHeight="1">
      <c r="A36" s="255" t="s">
        <v>17</v>
      </c>
      <c r="B36" s="256" t="s">
        <v>53</v>
      </c>
      <c r="C36" s="256" t="s">
        <v>1451</v>
      </c>
      <c r="D36" s="257">
        <v>45720.0</v>
      </c>
      <c r="E36" s="256" t="s">
        <v>1947</v>
      </c>
      <c r="F36" s="256" t="s">
        <v>1949</v>
      </c>
      <c r="G36" s="256" t="s">
        <v>1950</v>
      </c>
      <c r="H36" s="258"/>
      <c r="I36" s="259" t="s">
        <v>497</v>
      </c>
      <c r="J36" s="256" t="s">
        <v>1953</v>
      </c>
      <c r="K36" s="263" t="s">
        <v>1954</v>
      </c>
      <c r="L36" s="275" t="s">
        <v>1954</v>
      </c>
      <c r="M36" s="306">
        <v>0.4</v>
      </c>
      <c r="N36" s="261"/>
      <c r="O36" s="256" t="b">
        <v>0</v>
      </c>
      <c r="P36" s="260"/>
      <c r="Q36" s="260"/>
      <c r="R36" s="262"/>
      <c r="S36" s="262"/>
    </row>
    <row r="37" ht="20.25" customHeight="1">
      <c r="A37" s="255" t="s">
        <v>17</v>
      </c>
      <c r="B37" s="256" t="s">
        <v>23</v>
      </c>
      <c r="C37" s="256" t="s">
        <v>1451</v>
      </c>
      <c r="D37" s="257">
        <v>45720.0</v>
      </c>
      <c r="E37" s="256" t="s">
        <v>1967</v>
      </c>
      <c r="F37" s="256" t="s">
        <v>1968</v>
      </c>
      <c r="G37" s="256" t="s">
        <v>1969</v>
      </c>
      <c r="H37" s="256" t="s">
        <v>1970</v>
      </c>
      <c r="I37" s="259" t="s">
        <v>1971</v>
      </c>
      <c r="J37" s="256" t="s">
        <v>1972</v>
      </c>
      <c r="K37" s="263" t="s">
        <v>1973</v>
      </c>
      <c r="L37" s="275" t="s">
        <v>1973</v>
      </c>
      <c r="M37" s="306">
        <v>0.8</v>
      </c>
      <c r="N37" s="261"/>
      <c r="O37" s="256" t="b">
        <v>0</v>
      </c>
      <c r="P37" s="260"/>
      <c r="Q37" s="263">
        <v>1.26529557E9</v>
      </c>
      <c r="R37" s="262"/>
      <c r="S37" s="262"/>
    </row>
    <row r="38" ht="20.25" customHeight="1">
      <c r="A38" s="255" t="s">
        <v>17</v>
      </c>
      <c r="B38" s="256" t="s">
        <v>23</v>
      </c>
      <c r="C38" s="256" t="s">
        <v>1451</v>
      </c>
      <c r="D38" s="257">
        <v>45721.0</v>
      </c>
      <c r="E38" s="256" t="s">
        <v>1985</v>
      </c>
      <c r="F38" s="256" t="s">
        <v>1986</v>
      </c>
      <c r="G38" s="256" t="s">
        <v>1987</v>
      </c>
      <c r="H38" s="258"/>
      <c r="I38" s="259" t="s">
        <v>409</v>
      </c>
      <c r="J38" s="256" t="s">
        <v>1988</v>
      </c>
      <c r="K38" s="263" t="s">
        <v>1989</v>
      </c>
      <c r="L38" s="275" t="s">
        <v>1989</v>
      </c>
      <c r="M38" s="306">
        <v>0.8</v>
      </c>
      <c r="N38" s="261"/>
      <c r="O38" s="256" t="b">
        <v>0</v>
      </c>
      <c r="P38" s="260"/>
      <c r="Q38" s="263">
        <v>1.124855473E9</v>
      </c>
      <c r="R38" s="262"/>
      <c r="S38" s="262"/>
    </row>
    <row r="39" ht="20.25" customHeight="1">
      <c r="A39" s="255" t="s">
        <v>17</v>
      </c>
      <c r="B39" s="256" t="s">
        <v>23</v>
      </c>
      <c r="C39" s="256" t="s">
        <v>1451</v>
      </c>
      <c r="D39" s="257">
        <v>45721.0</v>
      </c>
      <c r="E39" s="256" t="s">
        <v>1996</v>
      </c>
      <c r="F39" s="256" t="s">
        <v>1998</v>
      </c>
      <c r="G39" s="256" t="s">
        <v>2001</v>
      </c>
      <c r="H39" s="258"/>
      <c r="I39" s="259" t="s">
        <v>2004</v>
      </c>
      <c r="J39" s="256" t="s">
        <v>2006</v>
      </c>
      <c r="K39" s="261"/>
      <c r="L39" s="267"/>
      <c r="M39" s="260"/>
      <c r="N39" s="261"/>
      <c r="O39" s="256" t="b">
        <v>0</v>
      </c>
      <c r="P39" s="260"/>
      <c r="Q39" s="263">
        <v>1.508674375E9</v>
      </c>
      <c r="R39" s="262"/>
      <c r="S39" s="262"/>
    </row>
    <row r="40" ht="20.25" customHeight="1">
      <c r="A40" s="255" t="s">
        <v>17</v>
      </c>
      <c r="B40" s="256" t="s">
        <v>53</v>
      </c>
      <c r="C40" s="256" t="s">
        <v>1451</v>
      </c>
      <c r="D40" s="257">
        <v>45722.0</v>
      </c>
      <c r="E40" s="256" t="s">
        <v>2011</v>
      </c>
      <c r="F40" s="256" t="s">
        <v>2014</v>
      </c>
      <c r="G40" s="256" t="s">
        <v>2016</v>
      </c>
      <c r="H40" s="258"/>
      <c r="I40" s="259" t="s">
        <v>445</v>
      </c>
      <c r="J40" s="256" t="s">
        <v>2019</v>
      </c>
      <c r="K40" s="263" t="s">
        <v>2022</v>
      </c>
      <c r="L40" s="275" t="s">
        <v>2022</v>
      </c>
      <c r="M40" s="306">
        <v>0.3</v>
      </c>
      <c r="N40" s="261"/>
      <c r="O40" s="256" t="b">
        <v>0</v>
      </c>
      <c r="P40" s="260"/>
      <c r="Q40" s="260"/>
      <c r="R40" s="262"/>
      <c r="S40" s="262"/>
    </row>
    <row r="41" ht="20.25" customHeight="1">
      <c r="A41" s="255" t="s">
        <v>22</v>
      </c>
      <c r="B41" s="256" t="s">
        <v>53</v>
      </c>
      <c r="C41" s="256" t="s">
        <v>1451</v>
      </c>
      <c r="D41" s="257">
        <v>45723.0</v>
      </c>
      <c r="E41" s="256" t="s">
        <v>2032</v>
      </c>
      <c r="F41" s="256" t="s">
        <v>2033</v>
      </c>
      <c r="G41" s="256" t="s">
        <v>2034</v>
      </c>
      <c r="H41" s="258"/>
      <c r="I41" s="259" t="s">
        <v>1824</v>
      </c>
      <c r="J41" s="256" t="s">
        <v>2038</v>
      </c>
      <c r="K41" s="263" t="s">
        <v>2039</v>
      </c>
      <c r="L41" s="275" t="s">
        <v>2039</v>
      </c>
      <c r="M41" s="260"/>
      <c r="N41" s="261"/>
      <c r="O41" s="256" t="b">
        <v>0</v>
      </c>
      <c r="P41" s="260"/>
      <c r="Q41" s="260"/>
      <c r="R41" s="262"/>
      <c r="S41" s="262"/>
    </row>
    <row r="42" ht="20.25" customHeight="1">
      <c r="A42" s="255" t="s">
        <v>633</v>
      </c>
      <c r="B42" s="256" t="s">
        <v>23</v>
      </c>
      <c r="C42" s="256" t="s">
        <v>1451</v>
      </c>
      <c r="D42" s="257">
        <v>45726.0</v>
      </c>
      <c r="E42" s="256" t="s">
        <v>2041</v>
      </c>
      <c r="F42" s="256" t="s">
        <v>2042</v>
      </c>
      <c r="G42" s="256" t="s">
        <v>2043</v>
      </c>
      <c r="H42" s="258"/>
      <c r="I42" s="259" t="s">
        <v>2048</v>
      </c>
      <c r="J42" s="256" t="s">
        <v>2049</v>
      </c>
      <c r="K42" s="263" t="s">
        <v>2052</v>
      </c>
      <c r="L42" s="275" t="s">
        <v>2052</v>
      </c>
      <c r="M42" s="260"/>
      <c r="N42" s="261"/>
      <c r="O42" s="256" t="b">
        <v>0</v>
      </c>
      <c r="P42" s="260"/>
      <c r="Q42" s="260"/>
      <c r="R42" s="262"/>
      <c r="S42" s="262"/>
    </row>
    <row r="43" ht="20.25" customHeight="1">
      <c r="A43" s="255" t="s">
        <v>17</v>
      </c>
      <c r="B43" s="256" t="s">
        <v>23</v>
      </c>
      <c r="C43" s="256" t="s">
        <v>1451</v>
      </c>
      <c r="D43" s="257">
        <v>45726.0</v>
      </c>
      <c r="E43" s="256" t="s">
        <v>2059</v>
      </c>
      <c r="F43" s="256" t="s">
        <v>2060</v>
      </c>
      <c r="G43" s="256" t="s">
        <v>2061</v>
      </c>
      <c r="H43" s="258"/>
      <c r="I43" s="259" t="s">
        <v>290</v>
      </c>
      <c r="J43" s="256" t="s">
        <v>2063</v>
      </c>
      <c r="K43" s="263" t="s">
        <v>2065</v>
      </c>
      <c r="L43" s="275" t="s">
        <v>2065</v>
      </c>
      <c r="M43" s="306">
        <v>0.2</v>
      </c>
      <c r="N43" s="261"/>
      <c r="O43" s="256" t="b">
        <v>0</v>
      </c>
      <c r="P43" s="260"/>
      <c r="Q43" s="263">
        <v>1.396821583E9</v>
      </c>
      <c r="R43" s="262"/>
      <c r="S43" s="262"/>
    </row>
    <row r="44" ht="20.25" customHeight="1">
      <c r="A44" s="255" t="s">
        <v>17</v>
      </c>
      <c r="B44" s="256" t="s">
        <v>53</v>
      </c>
      <c r="C44" s="256" t="s">
        <v>1451</v>
      </c>
      <c r="D44" s="257">
        <v>45726.0</v>
      </c>
      <c r="E44" s="256" t="s">
        <v>2075</v>
      </c>
      <c r="F44" s="256" t="s">
        <v>2076</v>
      </c>
      <c r="G44" s="256" t="s">
        <v>2078</v>
      </c>
      <c r="H44" s="258"/>
      <c r="I44" s="259" t="s">
        <v>2079</v>
      </c>
      <c r="J44" s="256" t="s">
        <v>2080</v>
      </c>
      <c r="K44" s="261"/>
      <c r="L44" s="267"/>
      <c r="M44" s="260"/>
      <c r="N44" s="261"/>
      <c r="O44" s="256" t="b">
        <v>0</v>
      </c>
      <c r="P44" s="260"/>
      <c r="Q44" s="260"/>
      <c r="R44" s="262"/>
      <c r="S44" s="262"/>
    </row>
    <row r="45" ht="20.25" customHeight="1">
      <c r="A45" s="255" t="s">
        <v>17</v>
      </c>
      <c r="B45" s="256" t="s">
        <v>53</v>
      </c>
      <c r="C45" s="256" t="s">
        <v>1451</v>
      </c>
      <c r="D45" s="257">
        <v>45727.0</v>
      </c>
      <c r="E45" s="256" t="s">
        <v>2090</v>
      </c>
      <c r="F45" s="256" t="s">
        <v>2091</v>
      </c>
      <c r="G45" s="256" t="s">
        <v>2093</v>
      </c>
      <c r="H45" s="258"/>
      <c r="I45" s="259" t="s">
        <v>2096</v>
      </c>
      <c r="J45" s="256" t="s">
        <v>2101</v>
      </c>
      <c r="K45" s="263" t="s">
        <v>2103</v>
      </c>
      <c r="L45" s="275" t="s">
        <v>2103</v>
      </c>
      <c r="M45" s="306">
        <v>0.5</v>
      </c>
      <c r="N45" s="261"/>
      <c r="O45" s="256" t="b">
        <v>0</v>
      </c>
      <c r="P45" s="260"/>
      <c r="Q45" s="260"/>
      <c r="R45" s="262"/>
      <c r="S45" s="262"/>
    </row>
    <row r="46" ht="20.25" customHeight="1">
      <c r="A46" s="255" t="s">
        <v>17</v>
      </c>
      <c r="B46" s="256" t="s">
        <v>23</v>
      </c>
      <c r="C46" s="256" t="s">
        <v>1451</v>
      </c>
      <c r="D46" s="257">
        <v>45727.0</v>
      </c>
      <c r="E46" s="256" t="s">
        <v>2108</v>
      </c>
      <c r="F46" s="256" t="s">
        <v>2110</v>
      </c>
      <c r="G46" s="256" t="s">
        <v>2112</v>
      </c>
      <c r="H46" s="258"/>
      <c r="I46" s="259" t="s">
        <v>2114</v>
      </c>
      <c r="J46" s="256" t="s">
        <v>2115</v>
      </c>
      <c r="K46" s="263" t="s">
        <v>2116</v>
      </c>
      <c r="L46" s="275" t="s">
        <v>2116</v>
      </c>
      <c r="M46" s="306">
        <v>0.2</v>
      </c>
      <c r="N46" s="261"/>
      <c r="O46" s="256" t="b">
        <v>0</v>
      </c>
      <c r="P46" s="260"/>
      <c r="Q46" s="260"/>
      <c r="R46" s="262"/>
      <c r="S46" s="262"/>
    </row>
    <row r="47" ht="20.25" customHeight="1">
      <c r="A47" s="255" t="s">
        <v>17</v>
      </c>
      <c r="B47" s="256" t="s">
        <v>23</v>
      </c>
      <c r="C47" s="256" t="s">
        <v>1451</v>
      </c>
      <c r="D47" s="257">
        <v>45730.0</v>
      </c>
      <c r="E47" s="256" t="s">
        <v>2123</v>
      </c>
      <c r="F47" s="256" t="s">
        <v>2124</v>
      </c>
      <c r="G47" s="256" t="s">
        <v>2125</v>
      </c>
      <c r="H47" s="258"/>
      <c r="I47" s="259" t="s">
        <v>268</v>
      </c>
      <c r="J47" s="256" t="s">
        <v>2127</v>
      </c>
      <c r="K47" s="263" t="s">
        <v>2129</v>
      </c>
      <c r="L47" s="275" t="s">
        <v>2129</v>
      </c>
      <c r="M47" s="306">
        <v>0.2</v>
      </c>
      <c r="N47" s="261"/>
      <c r="O47" s="256" t="b">
        <v>0</v>
      </c>
      <c r="P47" s="260"/>
      <c r="Q47" s="263">
        <v>1.679224323E9</v>
      </c>
      <c r="R47" s="262"/>
      <c r="S47" s="262"/>
    </row>
    <row r="48" ht="20.25" customHeight="1">
      <c r="A48" s="255" t="s">
        <v>17</v>
      </c>
      <c r="B48" s="256" t="s">
        <v>53</v>
      </c>
      <c r="C48" s="256" t="s">
        <v>1451</v>
      </c>
      <c r="D48" s="257">
        <v>45730.0</v>
      </c>
      <c r="E48" s="256" t="s">
        <v>2141</v>
      </c>
      <c r="F48" s="256" t="s">
        <v>2142</v>
      </c>
      <c r="G48" s="256" t="s">
        <v>2143</v>
      </c>
      <c r="H48" s="258"/>
      <c r="I48" s="259" t="s">
        <v>268</v>
      </c>
      <c r="J48" s="256" t="s">
        <v>2145</v>
      </c>
      <c r="K48" s="263" t="s">
        <v>2147</v>
      </c>
      <c r="L48" s="275" t="s">
        <v>2147</v>
      </c>
      <c r="M48" s="306">
        <v>0.2</v>
      </c>
      <c r="N48" s="261"/>
      <c r="O48" s="256" t="b">
        <v>0</v>
      </c>
      <c r="P48" s="260"/>
      <c r="Q48" s="260"/>
      <c r="R48" s="262"/>
      <c r="S48" s="262"/>
    </row>
    <row r="49" ht="20.25" customHeight="1">
      <c r="A49" s="255" t="s">
        <v>17</v>
      </c>
      <c r="B49" s="256" t="s">
        <v>23</v>
      </c>
      <c r="C49" s="256" t="s">
        <v>1451</v>
      </c>
      <c r="D49" s="257">
        <v>45733.0</v>
      </c>
      <c r="E49" s="256" t="s">
        <v>2148</v>
      </c>
      <c r="F49" s="256" t="s">
        <v>2149</v>
      </c>
      <c r="G49" s="256" t="s">
        <v>2150</v>
      </c>
      <c r="H49" s="258"/>
      <c r="I49" s="259" t="s">
        <v>69</v>
      </c>
      <c r="J49" s="256" t="s">
        <v>2153</v>
      </c>
      <c r="K49" s="261"/>
      <c r="L49" s="267"/>
      <c r="M49" s="260"/>
      <c r="N49" s="261"/>
      <c r="O49" s="256" t="b">
        <v>0</v>
      </c>
      <c r="P49" s="260"/>
      <c r="Q49" s="260"/>
      <c r="R49" s="262"/>
      <c r="S49" s="262"/>
    </row>
    <row r="50" ht="20.25" customHeight="1">
      <c r="A50" s="255" t="s">
        <v>17</v>
      </c>
      <c r="B50" s="256" t="s">
        <v>23</v>
      </c>
      <c r="C50" s="256" t="s">
        <v>1451</v>
      </c>
      <c r="D50" s="257">
        <v>45735.0</v>
      </c>
      <c r="E50" s="256" t="s">
        <v>2162</v>
      </c>
      <c r="F50" s="256" t="s">
        <v>2163</v>
      </c>
      <c r="G50" s="256" t="s">
        <v>2164</v>
      </c>
      <c r="H50" s="256" t="s">
        <v>2165</v>
      </c>
      <c r="I50" s="259" t="s">
        <v>2048</v>
      </c>
      <c r="J50" s="256" t="s">
        <v>2166</v>
      </c>
      <c r="K50" s="263" t="s">
        <v>2167</v>
      </c>
      <c r="L50" s="275" t="s">
        <v>2167</v>
      </c>
      <c r="M50" s="306">
        <v>0.1</v>
      </c>
      <c r="N50" s="261"/>
      <c r="O50" s="256" t="b">
        <v>0</v>
      </c>
      <c r="P50" s="260"/>
      <c r="Q50" s="260"/>
      <c r="R50" s="262"/>
      <c r="S50" s="262"/>
    </row>
    <row r="51" ht="20.25" customHeight="1">
      <c r="A51" s="255" t="s">
        <v>22</v>
      </c>
      <c r="B51" s="256" t="s">
        <v>23</v>
      </c>
      <c r="C51" s="256" t="s">
        <v>1451</v>
      </c>
      <c r="D51" s="257">
        <v>45736.0</v>
      </c>
      <c r="E51" s="256" t="s">
        <v>2175</v>
      </c>
      <c r="F51" s="256" t="s">
        <v>2176</v>
      </c>
      <c r="G51" s="256" t="s">
        <v>2177</v>
      </c>
      <c r="H51" s="256" t="s">
        <v>2178</v>
      </c>
      <c r="I51" s="259" t="s">
        <v>997</v>
      </c>
      <c r="J51" s="256" t="s">
        <v>2179</v>
      </c>
      <c r="K51" s="263" t="s">
        <v>2180</v>
      </c>
      <c r="L51" s="275" t="s">
        <v>2180</v>
      </c>
      <c r="M51" s="306">
        <v>0.85</v>
      </c>
      <c r="N51" s="261"/>
      <c r="O51" s="256" t="b">
        <v>0</v>
      </c>
      <c r="P51" s="260"/>
      <c r="Q51" s="260"/>
      <c r="R51" s="262"/>
      <c r="S51" s="262"/>
    </row>
    <row r="52" ht="20.25" customHeight="1">
      <c r="A52" s="255" t="s">
        <v>633</v>
      </c>
      <c r="B52" s="256" t="s">
        <v>53</v>
      </c>
      <c r="C52" s="256" t="s">
        <v>1451</v>
      </c>
      <c r="D52" s="257">
        <v>45737.0</v>
      </c>
      <c r="E52" s="256" t="s">
        <v>2187</v>
      </c>
      <c r="F52" s="256" t="s">
        <v>2189</v>
      </c>
      <c r="G52" s="256" t="s">
        <v>2191</v>
      </c>
      <c r="H52" s="256" t="s">
        <v>2193</v>
      </c>
      <c r="I52" s="259" t="s">
        <v>2195</v>
      </c>
      <c r="J52" s="256" t="s">
        <v>2196</v>
      </c>
      <c r="K52" s="263" t="s">
        <v>2198</v>
      </c>
      <c r="L52" s="275" t="s">
        <v>2198</v>
      </c>
      <c r="M52" s="260"/>
      <c r="N52" s="261"/>
      <c r="O52" s="256" t="b">
        <v>0</v>
      </c>
      <c r="P52" s="260"/>
      <c r="Q52" s="260"/>
      <c r="R52" s="262"/>
      <c r="S52" s="262"/>
    </row>
    <row r="53" ht="20.25" customHeight="1">
      <c r="A53" s="255" t="s">
        <v>22</v>
      </c>
      <c r="B53" s="256" t="s">
        <v>53</v>
      </c>
      <c r="C53" s="256" t="s">
        <v>1451</v>
      </c>
      <c r="D53" s="257">
        <v>45737.0</v>
      </c>
      <c r="E53" s="256" t="s">
        <v>2207</v>
      </c>
      <c r="F53" s="256" t="s">
        <v>2208</v>
      </c>
      <c r="G53" s="256" t="s">
        <v>2209</v>
      </c>
      <c r="H53" s="256" t="s">
        <v>2210</v>
      </c>
      <c r="I53" s="259" t="s">
        <v>340</v>
      </c>
      <c r="J53" s="256" t="s">
        <v>2211</v>
      </c>
      <c r="K53" s="263" t="s">
        <v>2212</v>
      </c>
      <c r="L53" s="275" t="s">
        <v>2212</v>
      </c>
      <c r="M53" s="260"/>
      <c r="N53" s="261"/>
      <c r="O53" s="256" t="b">
        <v>0</v>
      </c>
      <c r="P53" s="260"/>
      <c r="Q53" s="260"/>
      <c r="R53" s="262"/>
      <c r="S53" s="262"/>
    </row>
    <row r="54" ht="20.25" customHeight="1">
      <c r="A54" s="255" t="s">
        <v>410</v>
      </c>
      <c r="B54" s="256" t="s">
        <v>53</v>
      </c>
      <c r="C54" s="256" t="s">
        <v>1451</v>
      </c>
      <c r="D54" s="257">
        <v>45741.0</v>
      </c>
      <c r="E54" s="256" t="s">
        <v>2223</v>
      </c>
      <c r="F54" s="256" t="s">
        <v>2224</v>
      </c>
      <c r="G54" s="256" t="s">
        <v>2225</v>
      </c>
      <c r="H54" s="256" t="s">
        <v>2226</v>
      </c>
      <c r="I54" s="259" t="s">
        <v>2227</v>
      </c>
      <c r="J54" s="256" t="s">
        <v>2228</v>
      </c>
      <c r="K54" s="263" t="s">
        <v>2229</v>
      </c>
      <c r="L54" s="275" t="s">
        <v>2229</v>
      </c>
      <c r="M54" s="306">
        <v>0.1</v>
      </c>
      <c r="N54" s="261"/>
      <c r="O54" s="256" t="b">
        <v>0</v>
      </c>
      <c r="P54" s="260"/>
      <c r="Q54" s="260"/>
      <c r="R54" s="262"/>
      <c r="S54" s="262"/>
    </row>
    <row r="55" ht="20.25" customHeight="1">
      <c r="A55" s="255" t="s">
        <v>633</v>
      </c>
      <c r="B55" s="256" t="s">
        <v>23</v>
      </c>
      <c r="C55" s="256" t="s">
        <v>1451</v>
      </c>
      <c r="D55" s="257">
        <v>45742.0</v>
      </c>
      <c r="E55" s="256" t="s">
        <v>2234</v>
      </c>
      <c r="F55" s="258"/>
      <c r="G55" s="256" t="s">
        <v>2236</v>
      </c>
      <c r="H55" s="258"/>
      <c r="I55" s="259" t="s">
        <v>184</v>
      </c>
      <c r="J55" s="256" t="s">
        <v>2239</v>
      </c>
      <c r="K55" s="263" t="s">
        <v>2241</v>
      </c>
      <c r="L55" s="275" t="s">
        <v>2241</v>
      </c>
      <c r="M55" s="306">
        <v>0.25</v>
      </c>
      <c r="N55" s="261"/>
      <c r="O55" s="256" t="b">
        <v>0</v>
      </c>
      <c r="P55" s="260"/>
      <c r="Q55" s="260"/>
      <c r="R55" s="262"/>
      <c r="S55" s="262"/>
    </row>
    <row r="56" ht="20.25" customHeight="1">
      <c r="A56" s="255" t="s">
        <v>22</v>
      </c>
      <c r="B56" s="256" t="s">
        <v>53</v>
      </c>
      <c r="C56" s="256" t="s">
        <v>1451</v>
      </c>
      <c r="D56" s="257">
        <v>45743.0</v>
      </c>
      <c r="E56" s="256" t="s">
        <v>2244</v>
      </c>
      <c r="F56" s="256" t="s">
        <v>2246</v>
      </c>
      <c r="G56" s="256" t="s">
        <v>2247</v>
      </c>
      <c r="H56" s="256" t="s">
        <v>2249</v>
      </c>
      <c r="I56" s="259" t="s">
        <v>2251</v>
      </c>
      <c r="J56" s="256" t="s">
        <v>2253</v>
      </c>
      <c r="K56" s="263" t="s">
        <v>2255</v>
      </c>
      <c r="L56" s="275" t="s">
        <v>2255</v>
      </c>
      <c r="M56" s="260"/>
      <c r="N56" s="261"/>
      <c r="O56" s="256" t="b">
        <v>0</v>
      </c>
      <c r="P56" s="260"/>
      <c r="Q56" s="260"/>
      <c r="R56" s="262"/>
      <c r="S56" s="262"/>
    </row>
    <row r="57" ht="20.25" customHeight="1">
      <c r="A57" s="255" t="s">
        <v>22</v>
      </c>
      <c r="B57" s="256" t="s">
        <v>53</v>
      </c>
      <c r="C57" s="256" t="s">
        <v>1451</v>
      </c>
      <c r="D57" s="257">
        <v>45743.0</v>
      </c>
      <c r="E57" s="256" t="s">
        <v>2259</v>
      </c>
      <c r="F57" s="256" t="s">
        <v>2260</v>
      </c>
      <c r="G57" s="256" t="s">
        <v>2261</v>
      </c>
      <c r="H57" s="256" t="s">
        <v>2263</v>
      </c>
      <c r="I57" s="259" t="s">
        <v>2265</v>
      </c>
      <c r="J57" s="256" t="s">
        <v>2266</v>
      </c>
      <c r="K57" s="263" t="s">
        <v>2267</v>
      </c>
      <c r="L57" s="275" t="s">
        <v>2267</v>
      </c>
      <c r="M57" s="306">
        <v>0.9</v>
      </c>
      <c r="N57" s="261"/>
      <c r="O57" s="256" t="b">
        <v>0</v>
      </c>
      <c r="P57" s="260"/>
      <c r="Q57" s="260"/>
      <c r="R57" s="262"/>
      <c r="S57" s="262"/>
    </row>
    <row r="58" ht="20.25" customHeight="1">
      <c r="A58" s="255" t="s">
        <v>17</v>
      </c>
      <c r="B58" s="256" t="s">
        <v>53</v>
      </c>
      <c r="C58" s="256" t="s">
        <v>1527</v>
      </c>
      <c r="D58" s="257">
        <v>45744.0</v>
      </c>
      <c r="E58" s="256" t="s">
        <v>2273</v>
      </c>
      <c r="F58" s="256" t="s">
        <v>2274</v>
      </c>
      <c r="G58" s="256" t="s">
        <v>2276</v>
      </c>
      <c r="H58" s="256" t="s">
        <v>2278</v>
      </c>
      <c r="I58" s="259" t="s">
        <v>1918</v>
      </c>
      <c r="J58" s="256" t="s">
        <v>2280</v>
      </c>
      <c r="K58" s="263" t="s">
        <v>2281</v>
      </c>
      <c r="L58" s="275" t="s">
        <v>2281</v>
      </c>
      <c r="M58" s="306">
        <v>0.1</v>
      </c>
      <c r="N58" s="261"/>
      <c r="O58" s="256" t="b">
        <v>0</v>
      </c>
      <c r="P58" s="260"/>
      <c r="Q58" s="260"/>
      <c r="R58" s="262"/>
      <c r="S58" s="262"/>
    </row>
    <row r="59" ht="20.25" customHeight="1">
      <c r="A59" s="255" t="s">
        <v>633</v>
      </c>
      <c r="B59" s="256" t="s">
        <v>19</v>
      </c>
      <c r="C59" s="256" t="s">
        <v>1451</v>
      </c>
      <c r="D59" s="257">
        <v>45744.0</v>
      </c>
      <c r="E59" s="256" t="s">
        <v>2287</v>
      </c>
      <c r="F59" s="256" t="s">
        <v>2289</v>
      </c>
      <c r="G59" s="256" t="s">
        <v>2290</v>
      </c>
      <c r="H59" s="258"/>
      <c r="I59" s="259" t="s">
        <v>2291</v>
      </c>
      <c r="J59" s="258"/>
      <c r="K59" s="256"/>
      <c r="L59" s="256"/>
      <c r="M59" s="306">
        <v>0.0</v>
      </c>
      <c r="N59" s="261"/>
      <c r="O59" s="256" t="b">
        <v>0</v>
      </c>
      <c r="P59" s="260"/>
      <c r="Q59" s="260"/>
      <c r="R59" s="262"/>
      <c r="S59" s="262"/>
    </row>
    <row r="60" ht="20.25" customHeight="1">
      <c r="A60" s="255" t="s">
        <v>22</v>
      </c>
      <c r="B60" s="256" t="s">
        <v>53</v>
      </c>
      <c r="C60" s="256" t="s">
        <v>1527</v>
      </c>
      <c r="D60" s="257">
        <v>45750.0</v>
      </c>
      <c r="E60" s="256" t="s">
        <v>2294</v>
      </c>
      <c r="F60" s="256" t="s">
        <v>2295</v>
      </c>
      <c r="G60" s="256" t="s">
        <v>2297</v>
      </c>
      <c r="H60" s="258"/>
      <c r="I60" s="259" t="s">
        <v>997</v>
      </c>
      <c r="J60" s="256" t="s">
        <v>2299</v>
      </c>
      <c r="K60" s="261"/>
      <c r="L60" s="267"/>
      <c r="M60" s="260"/>
      <c r="N60" s="261"/>
      <c r="O60" s="256" t="b">
        <v>0</v>
      </c>
      <c r="P60" s="260"/>
      <c r="Q60" s="260"/>
      <c r="R60" s="262"/>
      <c r="S60" s="262"/>
    </row>
    <row r="61" ht="20.25" customHeight="1">
      <c r="A61" s="255" t="s">
        <v>22</v>
      </c>
      <c r="B61" s="256" t="s">
        <v>23</v>
      </c>
      <c r="C61" s="256" t="s">
        <v>1527</v>
      </c>
      <c r="D61" s="257">
        <v>45750.0</v>
      </c>
      <c r="E61" s="256" t="s">
        <v>2310</v>
      </c>
      <c r="F61" s="256" t="s">
        <v>2311</v>
      </c>
      <c r="G61" s="256">
        <v>9.23349564494E11</v>
      </c>
      <c r="H61" s="258"/>
      <c r="I61" s="259" t="s">
        <v>762</v>
      </c>
      <c r="J61" s="256" t="s">
        <v>2312</v>
      </c>
      <c r="K61" s="261"/>
      <c r="L61" s="267"/>
      <c r="M61" s="260"/>
      <c r="N61" s="261"/>
      <c r="O61" s="256" t="b">
        <v>0</v>
      </c>
      <c r="P61" s="260"/>
      <c r="Q61" s="260"/>
      <c r="R61" s="262"/>
      <c r="S61" s="262"/>
    </row>
    <row r="62" ht="20.25" customHeight="1">
      <c r="A62" s="255" t="s">
        <v>17</v>
      </c>
      <c r="B62" s="256" t="s">
        <v>19</v>
      </c>
      <c r="C62" s="256" t="s">
        <v>1527</v>
      </c>
      <c r="D62" s="257">
        <v>45751.0</v>
      </c>
      <c r="E62" s="256" t="s">
        <v>2323</v>
      </c>
      <c r="F62" s="256" t="s">
        <v>2325</v>
      </c>
      <c r="G62" s="256" t="s">
        <v>2326</v>
      </c>
      <c r="H62" s="258"/>
      <c r="I62" s="259" t="s">
        <v>30</v>
      </c>
      <c r="J62" s="256" t="s">
        <v>2329</v>
      </c>
      <c r="K62" s="256"/>
      <c r="L62" s="256"/>
      <c r="M62" s="260"/>
      <c r="N62" s="261"/>
      <c r="O62" s="256" t="b">
        <v>0</v>
      </c>
      <c r="P62" s="260"/>
      <c r="Q62" s="260"/>
      <c r="R62" s="262"/>
      <c r="S62" s="262"/>
    </row>
    <row r="63" ht="20.25" customHeight="1">
      <c r="A63" s="255" t="s">
        <v>22</v>
      </c>
      <c r="B63" s="256" t="s">
        <v>53</v>
      </c>
      <c r="C63" s="256" t="s">
        <v>1451</v>
      </c>
      <c r="D63" s="257">
        <v>45754.0</v>
      </c>
      <c r="E63" s="256" t="s">
        <v>2334</v>
      </c>
      <c r="F63" s="256" t="s">
        <v>2335</v>
      </c>
      <c r="G63" s="256" t="s">
        <v>2336</v>
      </c>
      <c r="H63" s="256" t="s">
        <v>2337</v>
      </c>
      <c r="I63" s="259" t="s">
        <v>762</v>
      </c>
      <c r="J63" s="256" t="s">
        <v>2342</v>
      </c>
      <c r="K63" s="263" t="s">
        <v>2344</v>
      </c>
      <c r="L63" s="275" t="s">
        <v>2344</v>
      </c>
      <c r="M63" s="306">
        <v>0.75</v>
      </c>
      <c r="N63" s="261"/>
      <c r="O63" s="256" t="b">
        <v>0</v>
      </c>
      <c r="P63" s="260"/>
      <c r="Q63" s="260"/>
      <c r="R63" s="262"/>
      <c r="S63" s="262"/>
    </row>
    <row r="64" ht="20.25" customHeight="1">
      <c r="A64" s="255" t="s">
        <v>22</v>
      </c>
      <c r="B64" s="256" t="s">
        <v>53</v>
      </c>
      <c r="C64" s="256" t="s">
        <v>1451</v>
      </c>
      <c r="D64" s="257">
        <v>45757.0</v>
      </c>
      <c r="E64" s="256" t="s">
        <v>2348</v>
      </c>
      <c r="F64" s="256" t="s">
        <v>2350</v>
      </c>
      <c r="G64" s="256" t="s">
        <v>2352</v>
      </c>
      <c r="H64" s="256" t="s">
        <v>2354</v>
      </c>
      <c r="I64" s="259" t="s">
        <v>2355</v>
      </c>
      <c r="J64" s="256" t="s">
        <v>2357</v>
      </c>
      <c r="K64" s="263" t="s">
        <v>2358</v>
      </c>
      <c r="L64" s="275" t="s">
        <v>2358</v>
      </c>
      <c r="M64" s="306">
        <v>0.0</v>
      </c>
      <c r="N64" s="261"/>
      <c r="O64" s="256" t="b">
        <v>0</v>
      </c>
      <c r="P64" s="260"/>
      <c r="Q64" s="260"/>
      <c r="R64" s="262"/>
      <c r="S64" s="262"/>
    </row>
    <row r="65" ht="20.25" customHeight="1">
      <c r="A65" s="255" t="s">
        <v>22</v>
      </c>
      <c r="B65" s="256" t="s">
        <v>23</v>
      </c>
      <c r="C65" s="256" t="s">
        <v>1527</v>
      </c>
      <c r="D65" s="257">
        <v>45758.0</v>
      </c>
      <c r="E65" s="256" t="s">
        <v>2363</v>
      </c>
      <c r="F65" s="256" t="s">
        <v>2364</v>
      </c>
      <c r="G65" s="256" t="s">
        <v>2365</v>
      </c>
      <c r="H65" s="256" t="s">
        <v>2366</v>
      </c>
      <c r="I65" s="259" t="s">
        <v>90</v>
      </c>
      <c r="J65" s="256" t="s">
        <v>2368</v>
      </c>
      <c r="K65" s="263" t="s">
        <v>2369</v>
      </c>
      <c r="L65" s="275" t="s">
        <v>2369</v>
      </c>
      <c r="M65" s="260"/>
      <c r="N65" s="261"/>
      <c r="O65" s="256" t="b">
        <v>0</v>
      </c>
      <c r="P65" s="260"/>
      <c r="Q65" s="260"/>
      <c r="R65" s="262"/>
      <c r="S65" s="262"/>
    </row>
    <row r="66" ht="20.25" customHeight="1">
      <c r="A66" s="255" t="s">
        <v>410</v>
      </c>
      <c r="B66" s="256" t="s">
        <v>23</v>
      </c>
      <c r="C66" s="256" t="s">
        <v>1451</v>
      </c>
      <c r="D66" s="257">
        <v>45761.0</v>
      </c>
      <c r="E66" s="256" t="s">
        <v>2377</v>
      </c>
      <c r="F66" s="256" t="s">
        <v>2378</v>
      </c>
      <c r="G66" s="256" t="s">
        <v>2379</v>
      </c>
      <c r="H66" s="256" t="s">
        <v>2380</v>
      </c>
      <c r="I66" s="259" t="s">
        <v>184</v>
      </c>
      <c r="J66" s="256" t="s">
        <v>2383</v>
      </c>
      <c r="K66" s="263" t="s">
        <v>2385</v>
      </c>
      <c r="L66" s="275" t="s">
        <v>2385</v>
      </c>
      <c r="M66" s="306">
        <v>0.0</v>
      </c>
      <c r="N66" s="261"/>
      <c r="O66" s="256" t="b">
        <v>0</v>
      </c>
      <c r="P66" s="260"/>
      <c r="Q66" s="260"/>
      <c r="R66" s="262"/>
      <c r="S66" s="262"/>
    </row>
    <row r="67" ht="20.25" customHeight="1">
      <c r="A67" s="255" t="s">
        <v>17</v>
      </c>
      <c r="B67" s="256" t="s">
        <v>53</v>
      </c>
      <c r="C67" s="256" t="s">
        <v>1451</v>
      </c>
      <c r="D67" s="257">
        <v>45761.0</v>
      </c>
      <c r="E67" s="256" t="s">
        <v>2389</v>
      </c>
      <c r="F67" s="256" t="s">
        <v>2390</v>
      </c>
      <c r="G67" s="256" t="s">
        <v>2391</v>
      </c>
      <c r="H67" s="256" t="s">
        <v>2392</v>
      </c>
      <c r="I67" s="259" t="s">
        <v>2393</v>
      </c>
      <c r="J67" s="256" t="s">
        <v>2394</v>
      </c>
      <c r="K67" s="263" t="s">
        <v>2395</v>
      </c>
      <c r="L67" s="275" t="s">
        <v>2395</v>
      </c>
      <c r="M67" s="260"/>
      <c r="N67" s="261"/>
      <c r="O67" s="256" t="b">
        <v>0</v>
      </c>
      <c r="P67" s="260"/>
      <c r="Q67" s="260"/>
      <c r="R67" s="262"/>
      <c r="S67" s="262"/>
    </row>
    <row r="68" ht="20.25" customHeight="1">
      <c r="A68" s="255" t="s">
        <v>633</v>
      </c>
      <c r="B68" s="256" t="s">
        <v>19</v>
      </c>
      <c r="C68" s="256" t="s">
        <v>1451</v>
      </c>
      <c r="D68" s="257">
        <v>45764.0</v>
      </c>
      <c r="E68" s="256" t="s">
        <v>2402</v>
      </c>
      <c r="F68" s="256" t="s">
        <v>2404</v>
      </c>
      <c r="G68" s="256" t="s">
        <v>2405</v>
      </c>
      <c r="H68" s="256" t="s">
        <v>2407</v>
      </c>
      <c r="I68" s="259" t="s">
        <v>2408</v>
      </c>
      <c r="J68" s="256" t="s">
        <v>2410</v>
      </c>
      <c r="K68" s="256" t="s">
        <v>2412</v>
      </c>
      <c r="L68" s="256" t="s">
        <v>2412</v>
      </c>
      <c r="M68" s="306">
        <v>0.05</v>
      </c>
      <c r="N68" s="261"/>
      <c r="O68" s="256" t="b">
        <v>0</v>
      </c>
      <c r="P68" s="260"/>
      <c r="Q68" s="260"/>
      <c r="R68" s="262"/>
      <c r="S68" s="262"/>
    </row>
    <row r="69" ht="20.25" customHeight="1">
      <c r="A69" s="255" t="s">
        <v>22</v>
      </c>
      <c r="B69" s="256" t="s">
        <v>53</v>
      </c>
      <c r="C69" s="256" t="s">
        <v>1527</v>
      </c>
      <c r="D69" s="257">
        <v>45765.0</v>
      </c>
      <c r="E69" s="256" t="s">
        <v>2413</v>
      </c>
      <c r="F69" s="256" t="s">
        <v>2415</v>
      </c>
      <c r="G69" s="256" t="s">
        <v>2417</v>
      </c>
      <c r="H69" s="256" t="s">
        <v>2419</v>
      </c>
      <c r="I69" s="259" t="s">
        <v>184</v>
      </c>
      <c r="J69" s="256" t="s">
        <v>2422</v>
      </c>
      <c r="K69" s="263" t="s">
        <v>2424</v>
      </c>
      <c r="L69" s="275" t="s">
        <v>2424</v>
      </c>
      <c r="M69" s="260"/>
      <c r="N69" s="261"/>
      <c r="O69" s="256" t="b">
        <v>0</v>
      </c>
      <c r="P69" s="260"/>
      <c r="Q69" s="260"/>
      <c r="R69" s="262"/>
      <c r="S69" s="262"/>
    </row>
    <row r="70" ht="20.25" customHeight="1">
      <c r="A70" s="255" t="s">
        <v>22</v>
      </c>
      <c r="B70" s="256" t="s">
        <v>53</v>
      </c>
      <c r="C70" s="256" t="s">
        <v>1451</v>
      </c>
      <c r="D70" s="257">
        <v>45765.0</v>
      </c>
      <c r="E70" s="256" t="s">
        <v>2426</v>
      </c>
      <c r="F70" s="256" t="s">
        <v>2427</v>
      </c>
      <c r="G70" s="256" t="s">
        <v>2428</v>
      </c>
      <c r="H70" s="256" t="s">
        <v>2429</v>
      </c>
      <c r="I70" s="259" t="s">
        <v>1971</v>
      </c>
      <c r="J70" s="256" t="s">
        <v>2431</v>
      </c>
      <c r="K70" s="263" t="s">
        <v>2433</v>
      </c>
      <c r="L70" s="275" t="s">
        <v>2433</v>
      </c>
      <c r="M70" s="263">
        <v>60.0</v>
      </c>
      <c r="N70" s="261"/>
      <c r="O70" s="256" t="b">
        <v>0</v>
      </c>
      <c r="P70" s="260"/>
      <c r="Q70" s="260"/>
      <c r="R70" s="262"/>
      <c r="S70" s="262"/>
    </row>
    <row r="71" ht="20.25" customHeight="1">
      <c r="A71" s="255" t="s">
        <v>22</v>
      </c>
      <c r="B71" s="256" t="s">
        <v>19</v>
      </c>
      <c r="C71" s="256" t="s">
        <v>1451</v>
      </c>
      <c r="D71" s="256" t="s">
        <v>2444</v>
      </c>
      <c r="E71" s="256" t="s">
        <v>2445</v>
      </c>
      <c r="F71" s="256" t="s">
        <v>2446</v>
      </c>
      <c r="G71" s="256" t="s">
        <v>2447</v>
      </c>
      <c r="H71" s="256" t="s">
        <v>2448</v>
      </c>
      <c r="I71" s="259" t="s">
        <v>167</v>
      </c>
      <c r="J71" s="256" t="s">
        <v>2450</v>
      </c>
      <c r="K71" s="256" t="s">
        <v>2452</v>
      </c>
      <c r="L71" s="256" t="s">
        <v>2452</v>
      </c>
      <c r="M71" s="260"/>
      <c r="N71" s="261"/>
      <c r="O71" s="256" t="b">
        <v>0</v>
      </c>
      <c r="P71" s="260"/>
      <c r="Q71" s="260"/>
      <c r="R71" s="262"/>
      <c r="S71" s="262"/>
    </row>
    <row r="72" ht="20.25" customHeight="1">
      <c r="A72" s="255" t="s">
        <v>17</v>
      </c>
      <c r="B72" s="256" t="s">
        <v>53</v>
      </c>
      <c r="C72" s="256" t="s">
        <v>1451</v>
      </c>
      <c r="D72" s="257">
        <v>45769.0</v>
      </c>
      <c r="E72" s="256" t="s">
        <v>2457</v>
      </c>
      <c r="F72" s="256" t="s">
        <v>2458</v>
      </c>
      <c r="G72" s="256" t="s">
        <v>2459</v>
      </c>
      <c r="H72" s="256" t="s">
        <v>2460</v>
      </c>
      <c r="I72" s="259" t="s">
        <v>1277</v>
      </c>
      <c r="J72" s="256" t="s">
        <v>2461</v>
      </c>
      <c r="K72" s="263" t="s">
        <v>2462</v>
      </c>
      <c r="L72" s="275" t="s">
        <v>2462</v>
      </c>
      <c r="M72" s="306">
        <v>0.25</v>
      </c>
      <c r="N72" s="261"/>
      <c r="O72" s="256" t="b">
        <v>0</v>
      </c>
      <c r="P72" s="260"/>
      <c r="Q72" s="260"/>
      <c r="R72" s="262"/>
      <c r="S72" s="262"/>
    </row>
    <row r="73" ht="20.25" customHeight="1">
      <c r="A73" s="255" t="s">
        <v>17</v>
      </c>
      <c r="B73" s="256" t="s">
        <v>53</v>
      </c>
      <c r="C73" s="256" t="s">
        <v>1451</v>
      </c>
      <c r="D73" s="257">
        <v>45770.0</v>
      </c>
      <c r="E73" s="256" t="s">
        <v>2468</v>
      </c>
      <c r="F73" s="256" t="s">
        <v>2469</v>
      </c>
      <c r="G73" s="256" t="s">
        <v>2470</v>
      </c>
      <c r="H73" s="256" t="s">
        <v>2471</v>
      </c>
      <c r="I73" s="259" t="s">
        <v>2472</v>
      </c>
      <c r="J73" s="256" t="s">
        <v>2473</v>
      </c>
      <c r="K73" s="261"/>
      <c r="L73" s="267"/>
      <c r="M73" s="260"/>
      <c r="N73" s="261"/>
      <c r="O73" s="256" t="b">
        <v>0</v>
      </c>
      <c r="P73" s="260"/>
      <c r="Q73" s="260"/>
      <c r="R73" s="262"/>
      <c r="S73" s="262"/>
    </row>
    <row r="74" ht="20.25" customHeight="1">
      <c r="A74" s="255" t="s">
        <v>17</v>
      </c>
      <c r="B74" s="256" t="s">
        <v>53</v>
      </c>
      <c r="C74" s="256" t="s">
        <v>1451</v>
      </c>
      <c r="D74" s="257">
        <v>45775.0</v>
      </c>
      <c r="E74" s="256" t="s">
        <v>2481</v>
      </c>
      <c r="F74" s="256" t="s">
        <v>2483</v>
      </c>
      <c r="G74" s="256" t="s">
        <v>2484</v>
      </c>
      <c r="H74" s="256" t="s">
        <v>2485</v>
      </c>
      <c r="I74" s="259" t="s">
        <v>2486</v>
      </c>
      <c r="J74" s="256" t="s">
        <v>2487</v>
      </c>
      <c r="K74" s="263" t="s">
        <v>2488</v>
      </c>
      <c r="L74" s="275" t="s">
        <v>2488</v>
      </c>
      <c r="M74" s="260"/>
      <c r="N74" s="261"/>
      <c r="O74" s="256" t="b">
        <v>0</v>
      </c>
      <c r="P74" s="260"/>
      <c r="Q74" s="260"/>
      <c r="R74" s="262"/>
      <c r="S74" s="262"/>
    </row>
    <row r="75" ht="20.25" customHeight="1">
      <c r="A75" s="255" t="s">
        <v>22</v>
      </c>
      <c r="B75" s="256" t="s">
        <v>23</v>
      </c>
      <c r="C75" s="256" t="s">
        <v>1527</v>
      </c>
      <c r="D75" s="257">
        <v>45776.0</v>
      </c>
      <c r="E75" s="256" t="s">
        <v>2490</v>
      </c>
      <c r="F75" s="256" t="s">
        <v>2492</v>
      </c>
      <c r="G75" s="256" t="s">
        <v>2493</v>
      </c>
      <c r="H75" s="256" t="s">
        <v>2495</v>
      </c>
      <c r="I75" s="259" t="s">
        <v>2497</v>
      </c>
      <c r="J75" s="256" t="s">
        <v>2499</v>
      </c>
      <c r="K75" s="263" t="s">
        <v>2501</v>
      </c>
      <c r="L75" s="275" t="s">
        <v>2501</v>
      </c>
      <c r="M75" s="306">
        <v>0.2</v>
      </c>
      <c r="N75" s="261"/>
      <c r="O75" s="256" t="b">
        <v>0</v>
      </c>
      <c r="P75" s="260"/>
      <c r="Q75" s="260"/>
      <c r="R75" s="262"/>
      <c r="S75" s="262"/>
    </row>
    <row r="76" ht="20.25" customHeight="1">
      <c r="A76" s="255" t="s">
        <v>22</v>
      </c>
      <c r="B76" s="256" t="s">
        <v>53</v>
      </c>
      <c r="C76" s="256" t="s">
        <v>1451</v>
      </c>
      <c r="D76" s="257">
        <v>45778.0</v>
      </c>
      <c r="E76" s="256" t="s">
        <v>2508</v>
      </c>
      <c r="F76" s="256" t="s">
        <v>2509</v>
      </c>
      <c r="G76" s="256" t="s">
        <v>2510</v>
      </c>
      <c r="H76" s="256" t="s">
        <v>2511</v>
      </c>
      <c r="I76" s="259" t="s">
        <v>2513</v>
      </c>
      <c r="J76" s="256" t="s">
        <v>2515</v>
      </c>
      <c r="K76" s="263" t="s">
        <v>2516</v>
      </c>
      <c r="L76" s="267"/>
      <c r="M76" s="329">
        <v>46156.70382517361</v>
      </c>
      <c r="N76" s="261"/>
      <c r="O76" s="256" t="b">
        <v>0</v>
      </c>
      <c r="P76" s="260"/>
      <c r="Q76" s="260"/>
      <c r="R76" s="262"/>
      <c r="S76" s="262"/>
    </row>
    <row r="77" ht="20.25" customHeight="1">
      <c r="A77" s="255" t="s">
        <v>410</v>
      </c>
      <c r="B77" s="256" t="s">
        <v>53</v>
      </c>
      <c r="C77" s="256" t="s">
        <v>1451</v>
      </c>
      <c r="D77" s="257">
        <v>45778.0</v>
      </c>
      <c r="E77" s="256" t="s">
        <v>2529</v>
      </c>
      <c r="F77" s="256" t="s">
        <v>2531</v>
      </c>
      <c r="G77" s="256" t="s">
        <v>2533</v>
      </c>
      <c r="H77" s="256" t="s">
        <v>2535</v>
      </c>
      <c r="I77" s="259" t="s">
        <v>1654</v>
      </c>
      <c r="J77" s="256" t="s">
        <v>2538</v>
      </c>
      <c r="K77" s="263" t="s">
        <v>2541</v>
      </c>
      <c r="L77" s="275" t="s">
        <v>2541</v>
      </c>
      <c r="M77" s="260"/>
      <c r="N77" s="261"/>
      <c r="O77" s="256" t="b">
        <v>0</v>
      </c>
      <c r="P77" s="260"/>
      <c r="Q77" s="260"/>
      <c r="R77" s="262"/>
      <c r="S77" s="262"/>
    </row>
    <row r="78" ht="20.25" customHeight="1">
      <c r="A78" s="255" t="s">
        <v>633</v>
      </c>
      <c r="B78" s="256" t="s">
        <v>53</v>
      </c>
      <c r="C78" s="256" t="s">
        <v>1451</v>
      </c>
      <c r="D78" s="257">
        <v>45783.0</v>
      </c>
      <c r="E78" s="256" t="s">
        <v>2545</v>
      </c>
      <c r="F78" s="256" t="s">
        <v>2546</v>
      </c>
      <c r="G78" s="256" t="s">
        <v>2547</v>
      </c>
      <c r="H78" s="256" t="s">
        <v>2548</v>
      </c>
      <c r="I78" s="259" t="s">
        <v>1241</v>
      </c>
      <c r="J78" s="256" t="s">
        <v>2551</v>
      </c>
      <c r="K78" s="261"/>
      <c r="L78" s="267"/>
      <c r="M78" s="260"/>
      <c r="N78" s="261"/>
      <c r="O78" s="256" t="b">
        <v>0</v>
      </c>
      <c r="P78" s="260"/>
      <c r="Q78" s="260"/>
      <c r="R78" s="262"/>
      <c r="S78" s="262"/>
    </row>
    <row r="79" ht="20.25" customHeight="1">
      <c r="A79" s="255" t="s">
        <v>633</v>
      </c>
      <c r="B79" s="256" t="s">
        <v>23</v>
      </c>
      <c r="C79" s="256" t="s">
        <v>1451</v>
      </c>
      <c r="D79" s="257">
        <v>45783.0</v>
      </c>
      <c r="E79" s="258"/>
      <c r="F79" s="256" t="s">
        <v>2562</v>
      </c>
      <c r="G79" s="256" t="s">
        <v>2563</v>
      </c>
      <c r="H79" s="258"/>
      <c r="I79" s="259" t="s">
        <v>2564</v>
      </c>
      <c r="J79" s="256" t="s">
        <v>2565</v>
      </c>
      <c r="K79" s="263" t="s">
        <v>2566</v>
      </c>
      <c r="L79" s="275" t="s">
        <v>2566</v>
      </c>
      <c r="M79" s="260"/>
      <c r="N79" s="261"/>
      <c r="O79" s="256" t="b">
        <v>0</v>
      </c>
      <c r="P79" s="260"/>
      <c r="Q79" s="260"/>
      <c r="R79" s="262"/>
      <c r="S79" s="262"/>
    </row>
    <row r="80" ht="20.25" customHeight="1">
      <c r="A80" s="255" t="s">
        <v>22</v>
      </c>
      <c r="B80" s="256" t="s">
        <v>23</v>
      </c>
      <c r="C80" s="256" t="s">
        <v>1451</v>
      </c>
      <c r="D80" s="257">
        <v>45783.0</v>
      </c>
      <c r="E80" s="256" t="s">
        <v>2574</v>
      </c>
      <c r="F80" s="256" t="s">
        <v>2577</v>
      </c>
      <c r="G80" s="256" t="s">
        <v>2578</v>
      </c>
      <c r="H80" s="256" t="s">
        <v>2580</v>
      </c>
      <c r="I80" s="259" t="s">
        <v>167</v>
      </c>
      <c r="J80" s="256" t="s">
        <v>2582</v>
      </c>
      <c r="K80" s="263" t="s">
        <v>2583</v>
      </c>
      <c r="L80" s="275" t="s">
        <v>2583</v>
      </c>
      <c r="M80" s="260"/>
      <c r="N80" s="261"/>
      <c r="O80" s="256" t="b">
        <v>0</v>
      </c>
      <c r="P80" s="260"/>
      <c r="Q80" s="260"/>
      <c r="R80" s="262"/>
      <c r="S80" s="262"/>
    </row>
    <row r="81" ht="20.25" customHeight="1">
      <c r="A81" s="255" t="s">
        <v>22</v>
      </c>
      <c r="B81" s="256" t="s">
        <v>53</v>
      </c>
      <c r="C81" s="256" t="s">
        <v>1527</v>
      </c>
      <c r="D81" s="257">
        <v>45723.0</v>
      </c>
      <c r="E81" s="256" t="s">
        <v>2584</v>
      </c>
      <c r="F81" s="256" t="s">
        <v>2585</v>
      </c>
      <c r="G81" s="256" t="s">
        <v>2587</v>
      </c>
      <c r="H81" s="256" t="s">
        <v>2589</v>
      </c>
      <c r="I81" s="259" t="s">
        <v>677</v>
      </c>
      <c r="J81" s="256" t="s">
        <v>2591</v>
      </c>
      <c r="K81" s="263" t="s">
        <v>2593</v>
      </c>
      <c r="L81" s="275" t="s">
        <v>2593</v>
      </c>
      <c r="M81" s="260"/>
      <c r="N81" s="261"/>
      <c r="O81" s="256" t="b">
        <v>0</v>
      </c>
      <c r="P81" s="260"/>
      <c r="Q81" s="260"/>
      <c r="R81" s="262"/>
      <c r="S81" s="262"/>
    </row>
    <row r="82" ht="20.25" customHeight="1">
      <c r="A82" s="255" t="s">
        <v>621</v>
      </c>
      <c r="B82" s="256" t="s">
        <v>53</v>
      </c>
      <c r="C82" s="256" t="s">
        <v>1451</v>
      </c>
      <c r="D82" s="257">
        <v>45796.0</v>
      </c>
      <c r="E82" s="256" t="s">
        <v>2601</v>
      </c>
      <c r="F82" s="256" t="s">
        <v>2602</v>
      </c>
      <c r="G82" s="256" t="s">
        <v>2603</v>
      </c>
      <c r="H82" s="258"/>
      <c r="I82" s="259" t="s">
        <v>2604</v>
      </c>
      <c r="J82" s="256" t="s">
        <v>2605</v>
      </c>
      <c r="K82" s="261"/>
      <c r="L82" s="267"/>
      <c r="M82" s="260"/>
      <c r="N82" s="261"/>
      <c r="O82" s="256" t="b">
        <v>0</v>
      </c>
      <c r="P82" s="260"/>
      <c r="Q82" s="260"/>
      <c r="R82" s="262"/>
      <c r="S82" s="262"/>
    </row>
    <row r="83" ht="20.25" customHeight="1">
      <c r="A83" s="255" t="s">
        <v>621</v>
      </c>
      <c r="B83" s="256" t="s">
        <v>19</v>
      </c>
      <c r="C83" s="256" t="s">
        <v>1451</v>
      </c>
      <c r="D83" s="257">
        <v>45798.0</v>
      </c>
      <c r="E83" s="256" t="s">
        <v>2610</v>
      </c>
      <c r="F83" s="256" t="s">
        <v>2611</v>
      </c>
      <c r="G83" s="256" t="s">
        <v>2613</v>
      </c>
      <c r="H83" s="258"/>
      <c r="I83" s="259" t="s">
        <v>883</v>
      </c>
      <c r="J83" s="258"/>
      <c r="K83" s="256" t="s">
        <v>2615</v>
      </c>
      <c r="L83" s="256" t="s">
        <v>2615</v>
      </c>
      <c r="M83" s="260"/>
      <c r="N83" s="261"/>
      <c r="O83" s="256" t="b">
        <v>0</v>
      </c>
      <c r="P83" s="260"/>
      <c r="Q83" s="260"/>
      <c r="R83" s="262"/>
      <c r="S83" s="262"/>
    </row>
    <row r="84" ht="20.25" customHeight="1">
      <c r="A84" s="255" t="s">
        <v>621</v>
      </c>
      <c r="B84" s="256" t="s">
        <v>19</v>
      </c>
      <c r="C84" s="256" t="s">
        <v>1451</v>
      </c>
      <c r="D84" s="257">
        <v>45799.0</v>
      </c>
      <c r="E84" s="256" t="s">
        <v>2623</v>
      </c>
      <c r="F84" s="256" t="s">
        <v>2624</v>
      </c>
      <c r="G84" s="256" t="s">
        <v>2625</v>
      </c>
      <c r="H84" s="258"/>
      <c r="I84" s="259" t="s">
        <v>2626</v>
      </c>
      <c r="J84" s="256" t="s">
        <v>2627</v>
      </c>
      <c r="K84" s="256" t="s">
        <v>2628</v>
      </c>
      <c r="L84" s="256" t="s">
        <v>2628</v>
      </c>
      <c r="M84" s="306">
        <v>0.0</v>
      </c>
      <c r="N84" s="261"/>
      <c r="O84" s="256" t="b">
        <v>0</v>
      </c>
      <c r="P84" s="260"/>
      <c r="Q84" s="260"/>
      <c r="R84" s="262"/>
      <c r="S84" s="262"/>
    </row>
    <row r="85" ht="20.25" customHeight="1">
      <c r="A85" s="255" t="s">
        <v>621</v>
      </c>
      <c r="B85" s="256" t="s">
        <v>53</v>
      </c>
      <c r="C85" s="256" t="s">
        <v>1451</v>
      </c>
      <c r="D85" s="257">
        <v>45799.0</v>
      </c>
      <c r="E85" s="256" t="s">
        <v>2633</v>
      </c>
      <c r="F85" s="256" t="s">
        <v>2635</v>
      </c>
      <c r="G85" s="256" t="s">
        <v>2637</v>
      </c>
      <c r="H85" s="258"/>
      <c r="I85" s="259" t="s">
        <v>1346</v>
      </c>
      <c r="J85" s="256" t="s">
        <v>2642</v>
      </c>
      <c r="K85" s="263" t="s">
        <v>2644</v>
      </c>
      <c r="L85" s="275" t="s">
        <v>2644</v>
      </c>
      <c r="M85" s="260"/>
      <c r="N85" s="261"/>
      <c r="O85" s="256" t="b">
        <v>0</v>
      </c>
      <c r="P85" s="260"/>
      <c r="Q85" s="260"/>
      <c r="R85" s="262"/>
      <c r="S85" s="262"/>
    </row>
    <row r="86" ht="20.25" customHeight="1">
      <c r="A86" s="255" t="s">
        <v>621</v>
      </c>
      <c r="B86" s="256" t="s">
        <v>53</v>
      </c>
      <c r="C86" s="256" t="s">
        <v>1451</v>
      </c>
      <c r="D86" s="257">
        <v>45799.0</v>
      </c>
      <c r="E86" s="256" t="s">
        <v>2646</v>
      </c>
      <c r="F86" s="256" t="s">
        <v>2647</v>
      </c>
      <c r="G86" s="256" t="s">
        <v>2649</v>
      </c>
      <c r="H86" s="256" t="s">
        <v>2651</v>
      </c>
      <c r="I86" s="259" t="s">
        <v>997</v>
      </c>
      <c r="J86" s="256" t="s">
        <v>2655</v>
      </c>
      <c r="K86" s="263" t="s">
        <v>2657</v>
      </c>
      <c r="L86" s="275" t="s">
        <v>2657</v>
      </c>
      <c r="M86" s="260"/>
      <c r="N86" s="261"/>
      <c r="O86" s="256" t="b">
        <v>0</v>
      </c>
      <c r="P86" s="260"/>
      <c r="Q86" s="260"/>
      <c r="R86" s="262"/>
      <c r="S86" s="262"/>
    </row>
    <row r="87" ht="20.25" customHeight="1">
      <c r="A87" s="255" t="s">
        <v>621</v>
      </c>
      <c r="B87" s="256" t="s">
        <v>53</v>
      </c>
      <c r="C87" s="256" t="s">
        <v>1410</v>
      </c>
      <c r="D87" s="257">
        <v>45805.0</v>
      </c>
      <c r="E87" s="256" t="s">
        <v>2663</v>
      </c>
      <c r="F87" s="256" t="s">
        <v>2664</v>
      </c>
      <c r="G87" s="256" t="s">
        <v>2665</v>
      </c>
      <c r="H87" s="256" t="s">
        <v>2666</v>
      </c>
      <c r="I87" s="259" t="s">
        <v>205</v>
      </c>
      <c r="J87" s="256" t="s">
        <v>2668</v>
      </c>
      <c r="K87" s="261"/>
      <c r="L87" s="267"/>
      <c r="M87" s="260"/>
      <c r="N87" s="261"/>
      <c r="O87" s="256" t="b">
        <v>0</v>
      </c>
      <c r="P87" s="260"/>
      <c r="Q87" s="260"/>
      <c r="R87" s="262"/>
      <c r="S87" s="262"/>
    </row>
    <row r="88" ht="20.25" customHeight="1">
      <c r="A88" s="255" t="s">
        <v>22</v>
      </c>
      <c r="B88" s="256" t="s">
        <v>53</v>
      </c>
      <c r="C88" s="256" t="s">
        <v>1451</v>
      </c>
      <c r="D88" s="257">
        <v>45807.0</v>
      </c>
      <c r="E88" s="256" t="s">
        <v>2673</v>
      </c>
      <c r="F88" s="256" t="s">
        <v>2674</v>
      </c>
      <c r="G88" s="256" t="s">
        <v>2675</v>
      </c>
      <c r="H88" s="256" t="s">
        <v>2676</v>
      </c>
      <c r="I88" s="330"/>
      <c r="J88" s="256" t="s">
        <v>2681</v>
      </c>
      <c r="K88" s="263" t="s">
        <v>2683</v>
      </c>
      <c r="L88" s="275" t="s">
        <v>2683</v>
      </c>
      <c r="M88" s="306">
        <v>0.5</v>
      </c>
      <c r="N88" s="261"/>
      <c r="O88" s="256" t="b">
        <v>0</v>
      </c>
      <c r="P88" s="260"/>
      <c r="Q88" s="260"/>
      <c r="R88" s="262"/>
      <c r="S88" s="262"/>
    </row>
    <row r="89" ht="20.25" customHeight="1">
      <c r="A89" s="255" t="s">
        <v>2684</v>
      </c>
      <c r="B89" s="256" t="s">
        <v>23</v>
      </c>
      <c r="C89" s="256" t="s">
        <v>2690</v>
      </c>
      <c r="D89" s="257">
        <v>45826.0</v>
      </c>
      <c r="E89" s="256" t="s">
        <v>2691</v>
      </c>
      <c r="F89" s="256" t="s">
        <v>2692</v>
      </c>
      <c r="G89" s="256" t="s">
        <v>2693</v>
      </c>
      <c r="H89" s="258"/>
      <c r="I89" s="259" t="s">
        <v>1174</v>
      </c>
      <c r="J89" s="256" t="s">
        <v>2694</v>
      </c>
      <c r="K89" s="263" t="s">
        <v>2695</v>
      </c>
      <c r="L89" s="275" t="s">
        <v>2695</v>
      </c>
      <c r="M89" s="260"/>
      <c r="N89" s="261"/>
      <c r="O89" s="256" t="b">
        <v>0</v>
      </c>
      <c r="P89" s="260"/>
      <c r="Q89" s="260"/>
      <c r="R89" s="262"/>
      <c r="S89" s="262"/>
    </row>
    <row r="90" ht="20.25" customHeight="1">
      <c r="A90" s="255" t="s">
        <v>621</v>
      </c>
      <c r="B90" s="256" t="s">
        <v>23</v>
      </c>
      <c r="C90" s="256" t="s">
        <v>2690</v>
      </c>
      <c r="D90" s="257">
        <v>45827.0</v>
      </c>
      <c r="E90" s="256" t="s">
        <v>2702</v>
      </c>
      <c r="F90" s="256" t="s">
        <v>2703</v>
      </c>
      <c r="G90" s="256" t="s">
        <v>2704</v>
      </c>
      <c r="H90" s="258"/>
      <c r="I90" s="259" t="s">
        <v>997</v>
      </c>
      <c r="J90" s="256" t="s">
        <v>2705</v>
      </c>
      <c r="K90" s="263" t="s">
        <v>2706</v>
      </c>
      <c r="L90" s="275" t="s">
        <v>2706</v>
      </c>
      <c r="M90" s="306">
        <v>0.0</v>
      </c>
      <c r="N90" s="261"/>
      <c r="O90" s="256" t="b">
        <v>0</v>
      </c>
      <c r="P90" s="260"/>
      <c r="Q90" s="260"/>
      <c r="R90" s="262"/>
      <c r="S90" s="262"/>
    </row>
    <row r="91" ht="20.25" customHeight="1">
      <c r="A91" s="255" t="s">
        <v>621</v>
      </c>
      <c r="B91" s="256" t="s">
        <v>53</v>
      </c>
      <c r="C91" s="256" t="s">
        <v>1451</v>
      </c>
      <c r="D91" s="257">
        <v>45832.0</v>
      </c>
      <c r="E91" s="256" t="s">
        <v>2712</v>
      </c>
      <c r="F91" s="256" t="s">
        <v>2714</v>
      </c>
      <c r="G91" s="256" t="s">
        <v>2715</v>
      </c>
      <c r="H91" s="258"/>
      <c r="I91" s="259" t="s">
        <v>735</v>
      </c>
      <c r="J91" s="256" t="s">
        <v>2717</v>
      </c>
      <c r="K91" s="263" t="s">
        <v>2718</v>
      </c>
      <c r="L91" s="275" t="s">
        <v>2718</v>
      </c>
      <c r="M91" s="260"/>
      <c r="N91" s="261"/>
      <c r="O91" s="256" t="b">
        <v>0</v>
      </c>
      <c r="P91" s="260"/>
      <c r="Q91" s="260"/>
      <c r="R91" s="262"/>
      <c r="S91" s="262"/>
    </row>
    <row r="92" ht="20.25" customHeight="1">
      <c r="A92" s="255" t="s">
        <v>621</v>
      </c>
      <c r="B92" s="256" t="s">
        <v>53</v>
      </c>
      <c r="C92" s="256" t="s">
        <v>1451</v>
      </c>
      <c r="D92" s="257">
        <v>45832.0</v>
      </c>
      <c r="E92" s="256" t="s">
        <v>2719</v>
      </c>
      <c r="F92" s="256" t="s">
        <v>2720</v>
      </c>
      <c r="G92" s="256" t="s">
        <v>2721</v>
      </c>
      <c r="H92" s="258"/>
      <c r="I92" s="259" t="s">
        <v>719</v>
      </c>
      <c r="J92" s="256" t="s">
        <v>2722</v>
      </c>
      <c r="K92" s="263" t="s">
        <v>2723</v>
      </c>
      <c r="L92" s="275" t="s">
        <v>2723</v>
      </c>
      <c r="M92" s="260"/>
      <c r="N92" s="261"/>
      <c r="O92" s="256" t="b">
        <v>0</v>
      </c>
      <c r="P92" s="260"/>
      <c r="Q92" s="260"/>
      <c r="R92" s="262"/>
      <c r="S92" s="262"/>
    </row>
    <row r="93" ht="20.25" customHeight="1">
      <c r="A93" s="255" t="s">
        <v>22</v>
      </c>
      <c r="B93" s="256" t="s">
        <v>53</v>
      </c>
      <c r="C93" s="256" t="s">
        <v>1451</v>
      </c>
      <c r="D93" s="257">
        <v>45839.0</v>
      </c>
      <c r="E93" s="256" t="s">
        <v>2728</v>
      </c>
      <c r="F93" s="256" t="s">
        <v>2729</v>
      </c>
      <c r="G93" s="256" t="s">
        <v>2730</v>
      </c>
      <c r="H93" s="256" t="s">
        <v>2732</v>
      </c>
      <c r="I93" s="259" t="s">
        <v>1396</v>
      </c>
      <c r="J93" s="256" t="s">
        <v>2733</v>
      </c>
      <c r="K93" s="263" t="s">
        <v>2734</v>
      </c>
      <c r="L93" s="275" t="s">
        <v>2734</v>
      </c>
      <c r="M93" s="260"/>
      <c r="N93" s="261"/>
      <c r="O93" s="256" t="b">
        <v>0</v>
      </c>
      <c r="P93" s="260"/>
      <c r="Q93" s="260"/>
      <c r="R93" s="262"/>
      <c r="S93" s="262"/>
    </row>
    <row r="94" ht="20.25" customHeight="1">
      <c r="A94" s="255" t="s">
        <v>22</v>
      </c>
      <c r="B94" s="256" t="s">
        <v>19</v>
      </c>
      <c r="C94" s="256" t="s">
        <v>1451</v>
      </c>
      <c r="D94" s="257">
        <v>45841.0</v>
      </c>
      <c r="E94" s="256" t="s">
        <v>2737</v>
      </c>
      <c r="F94" s="256" t="s">
        <v>2738</v>
      </c>
      <c r="G94" s="256" t="s">
        <v>2739</v>
      </c>
      <c r="H94" s="256" t="s">
        <v>2740</v>
      </c>
      <c r="I94" s="259" t="s">
        <v>747</v>
      </c>
      <c r="J94" s="256" t="s">
        <v>2741</v>
      </c>
      <c r="K94" s="256" t="s">
        <v>2742</v>
      </c>
      <c r="L94" s="256" t="s">
        <v>2742</v>
      </c>
      <c r="M94" s="260"/>
      <c r="N94" s="261"/>
      <c r="O94" s="256" t="b">
        <v>0</v>
      </c>
      <c r="P94" s="260"/>
      <c r="Q94" s="260"/>
      <c r="R94" s="262"/>
      <c r="S94" s="262"/>
    </row>
    <row r="95" ht="20.25" customHeight="1">
      <c r="A95" s="255" t="s">
        <v>815</v>
      </c>
      <c r="B95" s="256" t="s">
        <v>53</v>
      </c>
      <c r="C95" s="256" t="s">
        <v>2690</v>
      </c>
      <c r="D95" s="257">
        <v>45847.0</v>
      </c>
      <c r="E95" s="256" t="s">
        <v>2743</v>
      </c>
      <c r="F95" s="256" t="s">
        <v>2745</v>
      </c>
      <c r="G95" s="256" t="s">
        <v>2746</v>
      </c>
      <c r="H95" s="256" t="s">
        <v>2747</v>
      </c>
      <c r="I95" s="259" t="s">
        <v>131</v>
      </c>
      <c r="J95" s="256" t="s">
        <v>2749</v>
      </c>
      <c r="K95" s="263" t="s">
        <v>2751</v>
      </c>
      <c r="L95" s="275" t="s">
        <v>2751</v>
      </c>
      <c r="M95" s="260"/>
      <c r="N95" s="261"/>
      <c r="O95" s="256" t="b">
        <v>0</v>
      </c>
      <c r="P95" s="260"/>
      <c r="Q95" s="260"/>
      <c r="R95" s="262"/>
      <c r="S95" s="262"/>
    </row>
    <row r="96" ht="20.25" customHeight="1">
      <c r="A96" s="255" t="s">
        <v>17</v>
      </c>
      <c r="B96" s="256" t="s">
        <v>53</v>
      </c>
      <c r="C96" s="256" t="s">
        <v>1451</v>
      </c>
      <c r="D96" s="257">
        <v>45852.0</v>
      </c>
      <c r="E96" s="256" t="s">
        <v>2757</v>
      </c>
      <c r="F96" s="256" t="s">
        <v>2758</v>
      </c>
      <c r="G96" s="256" t="s">
        <v>2759</v>
      </c>
      <c r="H96" s="256" t="s">
        <v>2760</v>
      </c>
      <c r="I96" s="259" t="s">
        <v>883</v>
      </c>
      <c r="J96" s="256" t="s">
        <v>2761</v>
      </c>
      <c r="K96" s="263" t="s">
        <v>2762</v>
      </c>
      <c r="L96" s="275" t="s">
        <v>2762</v>
      </c>
      <c r="M96" s="260"/>
      <c r="N96" s="261"/>
      <c r="O96" s="256" t="b">
        <v>0</v>
      </c>
      <c r="P96" s="260"/>
      <c r="Q96" s="260"/>
      <c r="R96" s="262"/>
      <c r="S96" s="262"/>
    </row>
    <row r="97" ht="20.25" customHeight="1">
      <c r="A97" s="255" t="s">
        <v>410</v>
      </c>
      <c r="B97" s="256" t="s">
        <v>23</v>
      </c>
      <c r="C97" s="256" t="s">
        <v>2690</v>
      </c>
      <c r="D97" s="257">
        <v>45867.0</v>
      </c>
      <c r="E97" s="256" t="s">
        <v>2765</v>
      </c>
      <c r="F97" s="256" t="s">
        <v>2767</v>
      </c>
      <c r="G97" s="256" t="s">
        <v>2769</v>
      </c>
      <c r="H97" s="256" t="s">
        <v>2771</v>
      </c>
      <c r="I97" s="259" t="s">
        <v>1622</v>
      </c>
      <c r="J97" s="256" t="s">
        <v>2772</v>
      </c>
      <c r="K97" s="263" t="s">
        <v>2774</v>
      </c>
      <c r="L97" s="275" t="s">
        <v>2774</v>
      </c>
      <c r="M97" s="260"/>
      <c r="N97" s="261"/>
      <c r="O97" s="256" t="b">
        <v>0</v>
      </c>
      <c r="P97" s="260"/>
      <c r="Q97" s="260"/>
      <c r="R97" s="262"/>
      <c r="S97" s="262"/>
    </row>
    <row r="98" ht="20.25" customHeight="1">
      <c r="A98" s="255" t="s">
        <v>22</v>
      </c>
      <c r="B98" s="256" t="s">
        <v>53</v>
      </c>
      <c r="C98" s="256" t="s">
        <v>1451</v>
      </c>
      <c r="D98" s="257">
        <v>45869.0</v>
      </c>
      <c r="E98" s="256" t="s">
        <v>2775</v>
      </c>
      <c r="F98" s="256" t="s">
        <v>2776</v>
      </c>
      <c r="G98" s="256" t="s">
        <v>2777</v>
      </c>
      <c r="H98" s="256" t="s">
        <v>2779</v>
      </c>
      <c r="I98" s="259" t="s">
        <v>2781</v>
      </c>
      <c r="J98" s="256" t="s">
        <v>2782</v>
      </c>
      <c r="K98" s="263" t="s">
        <v>2784</v>
      </c>
      <c r="L98" s="275" t="s">
        <v>2784</v>
      </c>
      <c r="M98" s="260"/>
      <c r="N98" s="261"/>
      <c r="O98" s="256" t="b">
        <v>0</v>
      </c>
      <c r="P98" s="260"/>
      <c r="Q98" s="260"/>
      <c r="R98" s="262"/>
      <c r="S98" s="262"/>
    </row>
    <row r="99" ht="20.25" customHeight="1">
      <c r="A99" s="255" t="s">
        <v>20</v>
      </c>
      <c r="B99" s="256" t="s">
        <v>23</v>
      </c>
      <c r="C99" s="256" t="s">
        <v>2690</v>
      </c>
      <c r="D99" s="257">
        <v>45868.0</v>
      </c>
      <c r="E99" s="256" t="s">
        <v>2788</v>
      </c>
      <c r="F99" s="256" t="s">
        <v>2789</v>
      </c>
      <c r="G99" s="256" t="s">
        <v>2790</v>
      </c>
      <c r="H99" s="258"/>
      <c r="I99" s="259" t="s">
        <v>2791</v>
      </c>
      <c r="J99" s="256" t="s">
        <v>2792</v>
      </c>
      <c r="K99" s="263" t="s">
        <v>2793</v>
      </c>
      <c r="L99" s="275" t="s">
        <v>2793</v>
      </c>
      <c r="M99" s="260"/>
      <c r="N99" s="261"/>
      <c r="O99" s="256" t="b">
        <v>0</v>
      </c>
      <c r="P99" s="260"/>
      <c r="Q99" s="260"/>
      <c r="R99" s="262"/>
      <c r="S99" s="262"/>
    </row>
    <row r="100" ht="20.25" customHeight="1">
      <c r="A100" s="255" t="s">
        <v>22</v>
      </c>
      <c r="B100" s="256" t="s">
        <v>23</v>
      </c>
      <c r="C100" s="256" t="s">
        <v>2690</v>
      </c>
      <c r="D100" s="257">
        <v>45855.0</v>
      </c>
      <c r="E100" s="256" t="s">
        <v>2794</v>
      </c>
      <c r="F100" s="256" t="s">
        <v>2796</v>
      </c>
      <c r="G100" s="256" t="s">
        <v>2797</v>
      </c>
      <c r="H100" s="256" t="s">
        <v>2799</v>
      </c>
      <c r="I100" s="259" t="s">
        <v>2048</v>
      </c>
      <c r="J100" s="256" t="s">
        <v>1307</v>
      </c>
      <c r="K100" s="263" t="s">
        <v>2800</v>
      </c>
      <c r="L100" s="275" t="s">
        <v>2801</v>
      </c>
      <c r="M100" s="306">
        <v>0.5</v>
      </c>
      <c r="N100" s="261"/>
      <c r="O100" s="256" t="b">
        <v>0</v>
      </c>
      <c r="P100" s="260"/>
      <c r="Q100" s="260"/>
      <c r="R100" s="262"/>
      <c r="S100" s="262"/>
    </row>
    <row r="101" ht="20.25" customHeight="1">
      <c r="A101" s="255" t="s">
        <v>410</v>
      </c>
      <c r="B101" s="256" t="s">
        <v>53</v>
      </c>
      <c r="C101" s="256" t="s">
        <v>1451</v>
      </c>
      <c r="D101" s="338"/>
      <c r="E101" s="256" t="s">
        <v>2806</v>
      </c>
      <c r="F101" s="256" t="s">
        <v>2807</v>
      </c>
      <c r="G101" s="256" t="s">
        <v>2808</v>
      </c>
      <c r="H101" s="256" t="s">
        <v>2809</v>
      </c>
      <c r="I101" s="259" t="s">
        <v>2810</v>
      </c>
      <c r="J101" s="256" t="s">
        <v>2811</v>
      </c>
      <c r="K101" s="261"/>
      <c r="L101" s="267"/>
      <c r="M101" s="260"/>
      <c r="N101" s="261"/>
      <c r="O101" s="256" t="b">
        <v>0</v>
      </c>
      <c r="P101" s="260"/>
      <c r="Q101" s="260"/>
      <c r="R101" s="262"/>
      <c r="S101" s="262"/>
    </row>
    <row r="102" ht="20.25" customHeight="1">
      <c r="A102" s="255" t="s">
        <v>410</v>
      </c>
      <c r="B102" s="256" t="s">
        <v>23</v>
      </c>
      <c r="C102" s="256" t="s">
        <v>1451</v>
      </c>
      <c r="D102" s="257">
        <v>45720.0</v>
      </c>
      <c r="E102" s="256" t="s">
        <v>2813</v>
      </c>
      <c r="F102" s="256" t="s">
        <v>2814</v>
      </c>
      <c r="G102" s="256" t="s">
        <v>2815</v>
      </c>
      <c r="H102" s="256" t="s">
        <v>2816</v>
      </c>
      <c r="I102" s="259" t="s">
        <v>810</v>
      </c>
      <c r="J102" s="256" t="s">
        <v>2817</v>
      </c>
      <c r="K102" s="263" t="s">
        <v>2818</v>
      </c>
      <c r="L102" s="275" t="s">
        <v>2820</v>
      </c>
      <c r="M102" s="306">
        <v>0.7</v>
      </c>
      <c r="N102" s="261"/>
      <c r="O102" s="256" t="b">
        <v>0</v>
      </c>
      <c r="P102" s="260"/>
      <c r="Q102" s="260"/>
      <c r="R102" s="262"/>
      <c r="S102" s="262"/>
    </row>
    <row r="103" ht="20.25" customHeight="1">
      <c r="A103" s="255"/>
      <c r="B103" s="256"/>
      <c r="C103" s="256"/>
      <c r="D103" s="257"/>
      <c r="E103" s="256"/>
      <c r="F103" s="256"/>
      <c r="G103" s="256"/>
      <c r="H103" s="256"/>
      <c r="I103" s="330"/>
      <c r="J103" s="256"/>
      <c r="K103" s="263"/>
      <c r="L103" s="275"/>
      <c r="M103" s="260"/>
      <c r="N103" s="261"/>
      <c r="O103" s="256"/>
      <c r="P103" s="260"/>
      <c r="Q103" s="260"/>
      <c r="R103" s="262"/>
      <c r="S103" s="262"/>
    </row>
    <row r="104" ht="20.25" customHeight="1">
      <c r="A104" s="255" t="s">
        <v>0</v>
      </c>
      <c r="B104" s="256" t="s">
        <v>53</v>
      </c>
      <c r="C104" s="256" t="s">
        <v>1451</v>
      </c>
      <c r="D104" s="257">
        <v>45860.0</v>
      </c>
      <c r="E104" s="256" t="s">
        <v>2825</v>
      </c>
      <c r="F104" s="256" t="s">
        <v>2826</v>
      </c>
      <c r="G104" s="256">
        <v>9.71556610048E11</v>
      </c>
      <c r="H104" s="258"/>
      <c r="I104" s="259" t="s">
        <v>2827</v>
      </c>
      <c r="J104" s="258"/>
      <c r="K104" s="261"/>
      <c r="L104" s="275" t="s">
        <v>2828</v>
      </c>
      <c r="M104" s="260"/>
      <c r="N104" s="261"/>
      <c r="O104" s="256" t="b">
        <v>0</v>
      </c>
      <c r="P104" s="260"/>
      <c r="Q104" s="260"/>
      <c r="R104" s="262"/>
      <c r="S104" s="262"/>
    </row>
    <row r="105" ht="20.25" customHeight="1">
      <c r="A105" s="255" t="s">
        <v>22</v>
      </c>
      <c r="B105" s="256" t="s">
        <v>53</v>
      </c>
      <c r="C105" s="256" t="s">
        <v>2829</v>
      </c>
      <c r="D105" s="257">
        <v>45863.0</v>
      </c>
      <c r="E105" s="256" t="s">
        <v>2830</v>
      </c>
      <c r="F105" s="256" t="s">
        <v>2831</v>
      </c>
      <c r="G105" s="256" t="s">
        <v>2832</v>
      </c>
      <c r="H105" s="256" t="s">
        <v>2833</v>
      </c>
      <c r="I105" s="259" t="s">
        <v>2604</v>
      </c>
      <c r="J105" s="256" t="s">
        <v>2834</v>
      </c>
      <c r="K105" s="261"/>
      <c r="L105" s="267"/>
      <c r="M105" s="260"/>
      <c r="N105" s="261"/>
      <c r="O105" s="256" t="b">
        <v>0</v>
      </c>
      <c r="P105" s="260"/>
      <c r="Q105" s="260"/>
      <c r="R105" s="262"/>
      <c r="S105" s="262"/>
    </row>
    <row r="106" ht="20.25" customHeight="1">
      <c r="A106" s="255" t="s">
        <v>22</v>
      </c>
      <c r="B106" s="256" t="s">
        <v>23</v>
      </c>
      <c r="C106" s="256" t="s">
        <v>1451</v>
      </c>
      <c r="D106" s="257">
        <v>45869.0</v>
      </c>
      <c r="E106" s="256" t="s">
        <v>2835</v>
      </c>
      <c r="F106" s="256" t="s">
        <v>2836</v>
      </c>
      <c r="G106" s="256" t="s">
        <v>2837</v>
      </c>
      <c r="H106" s="256" t="s">
        <v>2838</v>
      </c>
      <c r="I106" s="259" t="s">
        <v>2839</v>
      </c>
      <c r="J106" s="256" t="s">
        <v>2840</v>
      </c>
      <c r="K106" s="263" t="s">
        <v>2841</v>
      </c>
      <c r="L106" s="275" t="s">
        <v>2842</v>
      </c>
      <c r="M106" s="306">
        <v>0.4</v>
      </c>
      <c r="N106" s="261"/>
      <c r="O106" s="256" t="b">
        <v>0</v>
      </c>
      <c r="P106" s="260"/>
      <c r="Q106" s="260"/>
      <c r="R106" s="262"/>
      <c r="S106" s="262"/>
    </row>
    <row r="107" ht="20.25" customHeight="1">
      <c r="A107" s="255" t="s">
        <v>17</v>
      </c>
      <c r="B107" s="256" t="s">
        <v>23</v>
      </c>
      <c r="C107" s="256" t="s">
        <v>2690</v>
      </c>
      <c r="D107" s="257">
        <v>45894.0</v>
      </c>
      <c r="E107" s="258"/>
      <c r="F107" s="256" t="s">
        <v>2843</v>
      </c>
      <c r="G107" s="256" t="s">
        <v>2844</v>
      </c>
      <c r="H107" s="258"/>
      <c r="I107" s="259" t="s">
        <v>2845</v>
      </c>
      <c r="J107" s="256" t="s">
        <v>2846</v>
      </c>
      <c r="K107" s="263" t="s">
        <v>2847</v>
      </c>
      <c r="L107" s="275" t="s">
        <v>2848</v>
      </c>
      <c r="M107" s="260"/>
      <c r="N107" s="261"/>
      <c r="O107" s="256" t="b">
        <v>0</v>
      </c>
      <c r="P107" s="260"/>
      <c r="Q107" s="260"/>
      <c r="R107" s="262"/>
      <c r="S107" s="262"/>
    </row>
    <row r="108" ht="20.25" customHeight="1">
      <c r="A108" s="255" t="s">
        <v>815</v>
      </c>
      <c r="B108" s="256" t="s">
        <v>53</v>
      </c>
      <c r="C108" s="256" t="s">
        <v>1451</v>
      </c>
      <c r="D108" s="257">
        <v>45862.0</v>
      </c>
      <c r="E108" s="256" t="s">
        <v>2849</v>
      </c>
      <c r="F108" s="256" t="s">
        <v>2850</v>
      </c>
      <c r="G108" s="256">
        <v>9.548957353E9</v>
      </c>
      <c r="H108" s="256" t="s">
        <v>2851</v>
      </c>
      <c r="I108" s="259" t="s">
        <v>2554</v>
      </c>
      <c r="J108" s="256" t="s">
        <v>2852</v>
      </c>
      <c r="K108" s="261"/>
      <c r="L108" s="275" t="s">
        <v>2853</v>
      </c>
      <c r="M108" s="260"/>
      <c r="N108" s="261"/>
      <c r="O108" s="256" t="b">
        <v>0</v>
      </c>
      <c r="P108" s="260"/>
      <c r="Q108" s="260"/>
      <c r="R108" s="262"/>
      <c r="S108" s="262"/>
    </row>
    <row r="109" ht="20.25" customHeight="1">
      <c r="A109" s="255" t="s">
        <v>22</v>
      </c>
      <c r="B109" s="256" t="s">
        <v>19</v>
      </c>
      <c r="C109" s="256" t="s">
        <v>1410</v>
      </c>
      <c r="D109" s="257">
        <v>45687.0</v>
      </c>
      <c r="E109" s="256" t="s">
        <v>2854</v>
      </c>
      <c r="F109" s="256" t="s">
        <v>2855</v>
      </c>
      <c r="G109" s="256" t="s">
        <v>2856</v>
      </c>
      <c r="H109" s="256" t="s">
        <v>2857</v>
      </c>
      <c r="I109" s="259" t="s">
        <v>2858</v>
      </c>
      <c r="J109" s="256" t="s">
        <v>2859</v>
      </c>
      <c r="K109" s="256" t="s">
        <v>2860</v>
      </c>
      <c r="L109" s="256" t="s">
        <v>2861</v>
      </c>
      <c r="M109" s="306">
        <v>0.6</v>
      </c>
      <c r="N109" s="261"/>
      <c r="O109" s="256" t="b">
        <v>0</v>
      </c>
      <c r="P109" s="260"/>
      <c r="Q109" s="260"/>
      <c r="R109" s="262"/>
      <c r="S109" s="262"/>
    </row>
    <row r="110" ht="20.25" customHeight="1">
      <c r="A110" s="255" t="s">
        <v>22</v>
      </c>
      <c r="B110" s="256" t="s">
        <v>19</v>
      </c>
      <c r="C110" s="256" t="s">
        <v>2690</v>
      </c>
      <c r="D110" s="257">
        <v>45910.0</v>
      </c>
      <c r="E110" s="256" t="s">
        <v>2862</v>
      </c>
      <c r="F110" s="256" t="s">
        <v>2863</v>
      </c>
      <c r="G110" s="256" t="s">
        <v>2864</v>
      </c>
      <c r="H110" s="256" t="s">
        <v>2865</v>
      </c>
      <c r="I110" s="259" t="s">
        <v>2866</v>
      </c>
      <c r="J110" s="256" t="s">
        <v>2867</v>
      </c>
      <c r="K110" s="256" t="s">
        <v>2868</v>
      </c>
      <c r="L110" s="256"/>
      <c r="M110" s="260"/>
      <c r="N110" s="261"/>
      <c r="O110" s="256" t="b">
        <v>0</v>
      </c>
      <c r="P110" s="260"/>
      <c r="Q110" s="260"/>
      <c r="R110" s="262"/>
      <c r="S110" s="262"/>
    </row>
    <row r="111" ht="20.25" customHeight="1">
      <c r="A111" s="255" t="s">
        <v>410</v>
      </c>
      <c r="B111" s="256" t="s">
        <v>19</v>
      </c>
      <c r="C111" s="256" t="s">
        <v>1451</v>
      </c>
      <c r="D111" s="257">
        <v>45611.0</v>
      </c>
      <c r="E111" s="256" t="s">
        <v>2869</v>
      </c>
      <c r="F111" s="256" t="s">
        <v>2870</v>
      </c>
      <c r="G111" s="256" t="s">
        <v>2871</v>
      </c>
      <c r="H111" s="258"/>
      <c r="I111" s="259" t="s">
        <v>2754</v>
      </c>
      <c r="J111" s="256" t="s">
        <v>2872</v>
      </c>
      <c r="K111" s="256"/>
      <c r="L111" s="256" t="s">
        <v>64</v>
      </c>
      <c r="M111" s="306">
        <v>0.0</v>
      </c>
      <c r="N111" s="261"/>
      <c r="O111" s="256" t="b">
        <v>0</v>
      </c>
      <c r="P111" s="260"/>
      <c r="Q111" s="260"/>
      <c r="R111" s="262"/>
      <c r="S111" s="262"/>
    </row>
    <row r="112" ht="20.25" customHeight="1">
      <c r="A112" s="255" t="s">
        <v>22</v>
      </c>
      <c r="B112" s="256" t="s">
        <v>19</v>
      </c>
      <c r="C112" s="256" t="s">
        <v>1451</v>
      </c>
      <c r="D112" s="256" t="s">
        <v>2444</v>
      </c>
      <c r="E112" s="256" t="s">
        <v>2873</v>
      </c>
      <c r="F112" s="256" t="s">
        <v>2874</v>
      </c>
      <c r="G112" s="256" t="s">
        <v>2875</v>
      </c>
      <c r="H112" s="256" t="s">
        <v>2876</v>
      </c>
      <c r="I112" s="259" t="s">
        <v>1106</v>
      </c>
      <c r="J112" s="256" t="s">
        <v>2877</v>
      </c>
      <c r="K112" s="256"/>
      <c r="L112" s="256" t="s">
        <v>2878</v>
      </c>
      <c r="M112" s="260"/>
      <c r="N112" s="261"/>
      <c r="O112" s="256" t="b">
        <v>0</v>
      </c>
      <c r="P112" s="260"/>
      <c r="Q112" s="260"/>
      <c r="R112" s="262"/>
      <c r="S112" s="262"/>
    </row>
    <row r="113" ht="20.25" customHeight="1">
      <c r="A113" s="255" t="s">
        <v>1387</v>
      </c>
      <c r="B113" s="256" t="s">
        <v>53</v>
      </c>
      <c r="C113" s="256" t="s">
        <v>1451</v>
      </c>
      <c r="D113" s="257">
        <v>45854.0</v>
      </c>
      <c r="E113" s="256" t="s">
        <v>2879</v>
      </c>
      <c r="F113" s="256" t="s">
        <v>2880</v>
      </c>
      <c r="G113" s="256" t="s">
        <v>2881</v>
      </c>
      <c r="H113" s="258"/>
      <c r="I113" s="259" t="s">
        <v>1498</v>
      </c>
      <c r="J113" s="258"/>
      <c r="K113" s="261"/>
      <c r="L113" s="275" t="s">
        <v>2882</v>
      </c>
      <c r="M113" s="306">
        <v>0.5</v>
      </c>
      <c r="N113" s="261"/>
      <c r="O113" s="256" t="b">
        <v>0</v>
      </c>
      <c r="P113" s="260"/>
      <c r="Q113" s="260"/>
      <c r="R113" s="262"/>
      <c r="S113" s="262"/>
    </row>
    <row r="114" ht="20.25" customHeight="1">
      <c r="A114" s="255" t="s">
        <v>22</v>
      </c>
      <c r="B114" s="256" t="s">
        <v>53</v>
      </c>
      <c r="C114" s="256" t="s">
        <v>1410</v>
      </c>
      <c r="D114" s="257">
        <v>45861.0</v>
      </c>
      <c r="E114" s="256" t="s">
        <v>1937</v>
      </c>
      <c r="F114" s="256" t="s">
        <v>1939</v>
      </c>
      <c r="G114" s="256" t="s">
        <v>2883</v>
      </c>
      <c r="H114" s="256" t="s">
        <v>1943</v>
      </c>
      <c r="I114" s="259" t="s">
        <v>381</v>
      </c>
      <c r="J114" s="256" t="s">
        <v>2884</v>
      </c>
      <c r="K114" s="263" t="s">
        <v>2885</v>
      </c>
      <c r="L114" s="275" t="s">
        <v>2886</v>
      </c>
      <c r="M114" s="306">
        <v>0.25</v>
      </c>
      <c r="N114" s="261"/>
      <c r="O114" s="256" t="b">
        <v>0</v>
      </c>
      <c r="P114" s="260"/>
      <c r="Q114" s="260"/>
      <c r="R114" s="262"/>
      <c r="S114" s="262"/>
    </row>
    <row r="115" ht="20.25" customHeight="1">
      <c r="A115" s="255" t="s">
        <v>17</v>
      </c>
      <c r="B115" s="256" t="s">
        <v>53</v>
      </c>
      <c r="C115" s="256" t="s">
        <v>1410</v>
      </c>
      <c r="D115" s="257">
        <v>45912.0</v>
      </c>
      <c r="E115" s="256" t="s">
        <v>2887</v>
      </c>
      <c r="F115" s="256" t="s">
        <v>2888</v>
      </c>
      <c r="G115" s="258"/>
      <c r="H115" s="256" t="s">
        <v>2889</v>
      </c>
      <c r="I115" s="259" t="s">
        <v>329</v>
      </c>
      <c r="J115" s="256" t="s">
        <v>2890</v>
      </c>
      <c r="K115" s="261"/>
      <c r="L115" s="267"/>
      <c r="M115" s="260"/>
      <c r="N115" s="261"/>
      <c r="O115" s="256" t="b">
        <v>0</v>
      </c>
      <c r="P115" s="260"/>
      <c r="Q115" s="260"/>
      <c r="R115" s="262"/>
      <c r="S115" s="262"/>
    </row>
    <row r="116" ht="20.25" customHeight="1">
      <c r="A116" s="255" t="s">
        <v>62</v>
      </c>
      <c r="B116" s="256" t="s">
        <v>23</v>
      </c>
      <c r="C116" s="256" t="s">
        <v>2690</v>
      </c>
      <c r="D116" s="257">
        <v>45939.0</v>
      </c>
      <c r="E116" s="256" t="s">
        <v>2891</v>
      </c>
      <c r="F116" s="256" t="s">
        <v>2892</v>
      </c>
      <c r="G116" s="256" t="s">
        <v>2893</v>
      </c>
      <c r="H116" s="256" t="s">
        <v>2894</v>
      </c>
      <c r="I116" s="259" t="s">
        <v>1673</v>
      </c>
      <c r="J116" s="256" t="s">
        <v>2895</v>
      </c>
      <c r="K116" s="263" t="s">
        <v>2896</v>
      </c>
      <c r="L116" s="267"/>
      <c r="M116" s="260"/>
      <c r="N116" s="261"/>
      <c r="O116" s="256" t="b">
        <v>0</v>
      </c>
      <c r="P116" s="260"/>
      <c r="Q116" s="260"/>
      <c r="R116" s="262"/>
      <c r="S116" s="262"/>
    </row>
    <row r="117" ht="20.25" customHeight="1">
      <c r="A117" s="255" t="s">
        <v>62</v>
      </c>
      <c r="B117" s="256" t="s">
        <v>19</v>
      </c>
      <c r="C117" s="256" t="s">
        <v>2690</v>
      </c>
      <c r="D117" s="257">
        <v>45944.0</v>
      </c>
      <c r="E117" s="256" t="s">
        <v>2897</v>
      </c>
      <c r="F117" s="256" t="s">
        <v>2898</v>
      </c>
      <c r="G117" s="256" t="s">
        <v>2899</v>
      </c>
      <c r="H117" s="256" t="s">
        <v>2900</v>
      </c>
      <c r="I117" s="259" t="s">
        <v>1382</v>
      </c>
      <c r="J117" s="256" t="s">
        <v>2901</v>
      </c>
      <c r="K117" s="256" t="s">
        <v>2902</v>
      </c>
      <c r="L117" s="256" t="s">
        <v>2903</v>
      </c>
      <c r="M117" s="260"/>
      <c r="N117" s="261"/>
      <c r="O117" s="256" t="b">
        <v>0</v>
      </c>
      <c r="P117" s="260"/>
      <c r="Q117" s="260"/>
      <c r="R117" s="262"/>
      <c r="S117" s="262"/>
    </row>
    <row r="118" ht="20.25" customHeight="1">
      <c r="A118" s="255" t="s">
        <v>117</v>
      </c>
      <c r="B118" s="256" t="s">
        <v>23</v>
      </c>
      <c r="C118" s="256" t="s">
        <v>1451</v>
      </c>
      <c r="D118" s="257">
        <v>45974.0</v>
      </c>
      <c r="E118" s="256" t="s">
        <v>2904</v>
      </c>
      <c r="F118" s="256" t="s">
        <v>2905</v>
      </c>
      <c r="G118" s="256" t="s">
        <v>2906</v>
      </c>
      <c r="H118" s="256" t="s">
        <v>2907</v>
      </c>
      <c r="I118" s="259" t="s">
        <v>75</v>
      </c>
      <c r="J118" s="256" t="s">
        <v>2908</v>
      </c>
      <c r="K118" s="263" t="s">
        <v>2909</v>
      </c>
      <c r="L118" s="267"/>
      <c r="M118" s="260"/>
      <c r="N118" s="261"/>
      <c r="O118" s="256" t="b">
        <v>0</v>
      </c>
      <c r="P118" s="260"/>
      <c r="Q118" s="260"/>
      <c r="R118" s="262"/>
      <c r="S118" s="262"/>
    </row>
    <row r="119" ht="20.25" customHeight="1">
      <c r="A119" s="255" t="s">
        <v>117</v>
      </c>
      <c r="B119" s="256" t="s">
        <v>23</v>
      </c>
      <c r="C119" s="256" t="s">
        <v>1451</v>
      </c>
      <c r="D119" s="257">
        <v>45971.0</v>
      </c>
      <c r="E119" s="256" t="s">
        <v>2910</v>
      </c>
      <c r="F119" s="256" t="s">
        <v>2911</v>
      </c>
      <c r="G119" s="256" t="s">
        <v>2912</v>
      </c>
      <c r="H119" s="256" t="s">
        <v>2913</v>
      </c>
      <c r="I119" s="259" t="s">
        <v>2914</v>
      </c>
      <c r="J119" s="256" t="s">
        <v>2915</v>
      </c>
      <c r="K119" s="263" t="s">
        <v>2916</v>
      </c>
      <c r="L119" s="267"/>
      <c r="M119" s="260"/>
      <c r="N119" s="261"/>
      <c r="O119" s="256" t="b">
        <v>0</v>
      </c>
      <c r="P119" s="260"/>
      <c r="Q119" s="260"/>
      <c r="R119" s="262"/>
      <c r="S119" s="262"/>
    </row>
    <row r="120" ht="20.25" customHeight="1">
      <c r="A120" s="255" t="s">
        <v>17</v>
      </c>
      <c r="B120" s="256" t="s">
        <v>23</v>
      </c>
      <c r="C120" s="256" t="s">
        <v>1451</v>
      </c>
      <c r="D120" s="257">
        <v>45709.0</v>
      </c>
      <c r="E120" s="256" t="s">
        <v>2917</v>
      </c>
      <c r="F120" s="256" t="s">
        <v>1846</v>
      </c>
      <c r="G120" s="256" t="s">
        <v>2918</v>
      </c>
      <c r="H120" s="258"/>
      <c r="I120" s="259" t="s">
        <v>1918</v>
      </c>
      <c r="J120" s="256" t="s">
        <v>2919</v>
      </c>
      <c r="K120" s="263" t="s">
        <v>1451</v>
      </c>
      <c r="L120" s="267"/>
      <c r="M120" s="260"/>
      <c r="N120" s="261"/>
      <c r="O120" s="256" t="b">
        <v>0</v>
      </c>
      <c r="P120" s="260"/>
      <c r="Q120" s="260"/>
      <c r="R120" s="262"/>
      <c r="S120" s="262"/>
    </row>
    <row r="121" ht="20.25" customHeight="1">
      <c r="A121" s="255" t="s">
        <v>17</v>
      </c>
      <c r="B121" s="256" t="s">
        <v>53</v>
      </c>
      <c r="C121" s="256" t="s">
        <v>1451</v>
      </c>
      <c r="D121" s="257">
        <v>45999.0</v>
      </c>
      <c r="E121" s="256" t="s">
        <v>2920</v>
      </c>
      <c r="F121" s="256" t="s">
        <v>2921</v>
      </c>
      <c r="G121" s="256" t="s">
        <v>2922</v>
      </c>
      <c r="H121" s="256" t="s">
        <v>2923</v>
      </c>
      <c r="I121" s="259" t="s">
        <v>684</v>
      </c>
      <c r="J121" s="256" t="s">
        <v>2924</v>
      </c>
      <c r="K121" s="263" t="s">
        <v>2925</v>
      </c>
      <c r="L121" s="267"/>
      <c r="M121" s="260"/>
      <c r="N121" s="261"/>
      <c r="O121" s="256" t="b">
        <v>0</v>
      </c>
      <c r="P121" s="260"/>
      <c r="Q121" s="260"/>
      <c r="R121" s="262"/>
      <c r="S121" s="262"/>
    </row>
    <row r="122" ht="20.25" customHeight="1">
      <c r="A122" s="255" t="s">
        <v>17</v>
      </c>
      <c r="B122" s="256" t="s">
        <v>23</v>
      </c>
      <c r="C122" s="256" t="s">
        <v>1451</v>
      </c>
      <c r="D122" s="257">
        <v>46006.0</v>
      </c>
      <c r="E122" s="256" t="s">
        <v>2926</v>
      </c>
      <c r="F122" s="256" t="s">
        <v>2927</v>
      </c>
      <c r="G122" s="256" t="s">
        <v>2928</v>
      </c>
      <c r="H122" s="256" t="s">
        <v>2929</v>
      </c>
      <c r="I122" s="259" t="s">
        <v>2930</v>
      </c>
      <c r="J122" s="256" t="s">
        <v>2931</v>
      </c>
      <c r="K122" s="263" t="s">
        <v>2932</v>
      </c>
      <c r="L122" s="267"/>
      <c r="M122" s="260"/>
      <c r="N122" s="261"/>
      <c r="O122" s="256" t="b">
        <v>0</v>
      </c>
      <c r="P122" s="260"/>
      <c r="Q122" s="260"/>
      <c r="R122" s="262"/>
      <c r="S122" s="262"/>
    </row>
    <row r="123" ht="20.25" customHeight="1">
      <c r="A123" s="256" t="s">
        <v>22</v>
      </c>
      <c r="B123" s="256" t="s">
        <v>23</v>
      </c>
      <c r="C123" s="256" t="s">
        <v>1451</v>
      </c>
      <c r="D123" s="339">
        <v>45785.0</v>
      </c>
      <c r="E123" s="256" t="s">
        <v>143</v>
      </c>
      <c r="F123" s="256" t="s">
        <v>144</v>
      </c>
      <c r="G123" s="256" t="s">
        <v>145</v>
      </c>
      <c r="H123" s="256" t="s">
        <v>146</v>
      </c>
      <c r="I123" s="259" t="s">
        <v>148</v>
      </c>
      <c r="J123" s="256" t="s">
        <v>149</v>
      </c>
      <c r="K123" s="263"/>
      <c r="L123" s="275" t="s">
        <v>2933</v>
      </c>
      <c r="M123" s="306">
        <v>0.65</v>
      </c>
      <c r="N123" s="261"/>
      <c r="O123" s="256" t="b">
        <v>0</v>
      </c>
      <c r="P123" s="260"/>
      <c r="Q123" s="260"/>
      <c r="R123" s="262"/>
      <c r="S123" s="262"/>
    </row>
    <row r="124" ht="20.25" customHeight="1">
      <c r="A124" s="256" t="s">
        <v>22</v>
      </c>
      <c r="B124" s="256" t="s">
        <v>53</v>
      </c>
      <c r="C124" s="256" t="s">
        <v>1451</v>
      </c>
      <c r="D124" s="339">
        <v>45952.0</v>
      </c>
      <c r="E124" s="256" t="s">
        <v>2934</v>
      </c>
      <c r="F124" s="256" t="s">
        <v>2935</v>
      </c>
      <c r="G124" s="256" t="s">
        <v>2936</v>
      </c>
      <c r="H124" s="256" t="s">
        <v>2937</v>
      </c>
      <c r="I124" s="259" t="s">
        <v>2939</v>
      </c>
      <c r="J124" s="256" t="s">
        <v>2941</v>
      </c>
      <c r="K124" s="263" t="s">
        <v>2943</v>
      </c>
      <c r="L124" s="275" t="s">
        <v>2945</v>
      </c>
      <c r="M124" s="306"/>
      <c r="N124" s="261"/>
      <c r="O124" s="256" t="b">
        <v>0</v>
      </c>
      <c r="P124" s="263"/>
      <c r="Q124" s="263"/>
      <c r="R124" s="340"/>
      <c r="S124" s="340"/>
    </row>
    <row r="125" ht="20.25" customHeight="1">
      <c r="A125" s="256" t="s">
        <v>117</v>
      </c>
      <c r="B125" s="256" t="s">
        <v>19</v>
      </c>
      <c r="C125" s="256" t="s">
        <v>1451</v>
      </c>
      <c r="D125" s="339">
        <v>45994.0</v>
      </c>
      <c r="E125" s="256" t="s">
        <v>2948</v>
      </c>
      <c r="F125" s="256" t="s">
        <v>2949</v>
      </c>
      <c r="G125" s="256" t="s">
        <v>2950</v>
      </c>
      <c r="H125" s="256" t="s">
        <v>2951</v>
      </c>
      <c r="I125" s="259" t="s">
        <v>329</v>
      </c>
      <c r="J125" s="256" t="s">
        <v>2952</v>
      </c>
      <c r="K125" s="256" t="s">
        <v>2953</v>
      </c>
      <c r="L125" s="256" t="s">
        <v>2954</v>
      </c>
      <c r="M125" s="306"/>
      <c r="N125" s="261"/>
      <c r="O125" s="256" t="b">
        <v>0</v>
      </c>
      <c r="P125" s="263"/>
      <c r="Q125" s="263"/>
      <c r="R125" s="340"/>
      <c r="S125" s="340"/>
    </row>
    <row r="126" ht="20.25" customHeight="1">
      <c r="A126" s="341" t="s">
        <v>117</v>
      </c>
      <c r="B126" s="341" t="s">
        <v>19</v>
      </c>
      <c r="C126" s="341" t="s">
        <v>1451</v>
      </c>
      <c r="D126" s="342">
        <v>45972.0</v>
      </c>
      <c r="E126" s="341" t="s">
        <v>2959</v>
      </c>
      <c r="F126" s="341" t="s">
        <v>2961</v>
      </c>
      <c r="G126" s="341" t="s">
        <v>2963</v>
      </c>
      <c r="H126" s="341" t="s">
        <v>2964</v>
      </c>
      <c r="I126" s="343" t="s">
        <v>2965</v>
      </c>
      <c r="J126" s="341" t="s">
        <v>2966</v>
      </c>
      <c r="K126" s="256"/>
      <c r="L126" s="256" t="s">
        <v>2967</v>
      </c>
      <c r="M126" s="344"/>
      <c r="N126" s="345"/>
      <c r="O126" s="346" t="b">
        <v>0</v>
      </c>
      <c r="P126" s="341"/>
      <c r="Q126" s="341"/>
      <c r="R126" s="347"/>
      <c r="S126" s="347"/>
    </row>
    <row r="127" ht="20.25" customHeight="1">
      <c r="A127" s="341" t="s">
        <v>117</v>
      </c>
      <c r="B127" s="341" t="s">
        <v>23</v>
      </c>
      <c r="C127" s="341" t="s">
        <v>1410</v>
      </c>
      <c r="D127" s="342">
        <v>45979.0</v>
      </c>
      <c r="E127" s="341" t="s">
        <v>2978</v>
      </c>
      <c r="F127" s="341" t="s">
        <v>2979</v>
      </c>
      <c r="G127" s="341" t="s">
        <v>2981</v>
      </c>
      <c r="H127" s="341" t="s">
        <v>2983</v>
      </c>
      <c r="I127" s="343" t="s">
        <v>2984</v>
      </c>
      <c r="J127" s="341" t="s">
        <v>2985</v>
      </c>
      <c r="K127" s="348"/>
      <c r="L127" s="349"/>
      <c r="M127" s="344"/>
      <c r="N127" s="345"/>
      <c r="O127" s="346" t="b">
        <v>0</v>
      </c>
      <c r="P127" s="341"/>
      <c r="Q127" s="341"/>
      <c r="R127" s="347"/>
      <c r="S127" s="347"/>
    </row>
    <row r="128" ht="20.25" customHeight="1">
      <c r="A128" s="255" t="s">
        <v>17</v>
      </c>
      <c r="B128" s="256" t="s">
        <v>53</v>
      </c>
      <c r="C128" s="256" t="s">
        <v>1451</v>
      </c>
      <c r="D128" s="257">
        <v>45999.0</v>
      </c>
      <c r="E128" s="256" t="s">
        <v>2920</v>
      </c>
      <c r="F128" s="256" t="s">
        <v>2921</v>
      </c>
      <c r="G128" s="256" t="s">
        <v>2922</v>
      </c>
      <c r="H128" s="256" t="s">
        <v>2923</v>
      </c>
      <c r="I128" s="259" t="s">
        <v>684</v>
      </c>
      <c r="J128" s="256" t="s">
        <v>2924</v>
      </c>
      <c r="K128" s="341"/>
      <c r="L128" s="350" t="s">
        <v>2925</v>
      </c>
      <c r="M128" s="351"/>
      <c r="N128" s="352"/>
      <c r="O128" s="261" t="b">
        <v>0</v>
      </c>
      <c r="P128" s="256"/>
      <c r="Q128" s="256"/>
      <c r="R128" s="353"/>
      <c r="S128" s="353"/>
    </row>
    <row r="129" ht="20.25" customHeight="1">
      <c r="A129" s="256" t="s">
        <v>2992</v>
      </c>
      <c r="B129" s="256" t="s">
        <v>225</v>
      </c>
      <c r="C129" s="256" t="s">
        <v>1451</v>
      </c>
      <c r="D129" s="339">
        <v>46035.0</v>
      </c>
      <c r="E129" s="256" t="s">
        <v>2999</v>
      </c>
      <c r="F129" s="256" t="s">
        <v>3001</v>
      </c>
      <c r="G129" s="256" t="s">
        <v>3002</v>
      </c>
      <c r="H129" s="256" t="s">
        <v>3005</v>
      </c>
      <c r="I129" s="259" t="s">
        <v>3006</v>
      </c>
      <c r="J129" s="256" t="s">
        <v>3008</v>
      </c>
      <c r="K129" s="341"/>
      <c r="L129" s="350" t="s">
        <v>3009</v>
      </c>
      <c r="M129" s="351"/>
      <c r="N129" s="352"/>
      <c r="O129" s="261" t="b">
        <v>0</v>
      </c>
      <c r="P129" s="256"/>
      <c r="Q129" s="256"/>
      <c r="R129" s="353"/>
      <c r="S129" s="353"/>
    </row>
    <row r="130" ht="20.25" customHeight="1">
      <c r="A130" s="256" t="s">
        <v>135</v>
      </c>
      <c r="B130" s="256" t="s">
        <v>23</v>
      </c>
      <c r="C130" s="256" t="s">
        <v>1451</v>
      </c>
      <c r="D130" s="339">
        <v>45994.0</v>
      </c>
      <c r="E130" s="256" t="s">
        <v>3016</v>
      </c>
      <c r="F130" s="256" t="s">
        <v>3018</v>
      </c>
      <c r="G130" s="256" t="s">
        <v>3020</v>
      </c>
      <c r="H130" s="256" t="s">
        <v>3022</v>
      </c>
      <c r="I130" s="259" t="s">
        <v>762</v>
      </c>
      <c r="J130" s="256" t="s">
        <v>3024</v>
      </c>
      <c r="K130" s="341"/>
      <c r="L130" s="350" t="s">
        <v>3025</v>
      </c>
      <c r="M130" s="351"/>
      <c r="N130" s="352"/>
      <c r="O130" s="261" t="b">
        <v>0</v>
      </c>
      <c r="P130" s="256"/>
      <c r="Q130" s="256"/>
      <c r="R130" s="353"/>
      <c r="S130" s="353"/>
    </row>
    <row r="131" ht="20.25" customHeight="1">
      <c r="A131" s="256" t="s">
        <v>17</v>
      </c>
      <c r="B131" s="256" t="s">
        <v>19</v>
      </c>
      <c r="C131" s="256" t="s">
        <v>1451</v>
      </c>
      <c r="D131" s="339">
        <v>46030.0</v>
      </c>
      <c r="E131" s="256" t="s">
        <v>3032</v>
      </c>
      <c r="F131" s="256" t="s">
        <v>3033</v>
      </c>
      <c r="G131" s="256" t="s">
        <v>3035</v>
      </c>
      <c r="H131" s="256" t="s">
        <v>3036</v>
      </c>
      <c r="I131" s="259" t="s">
        <v>3037</v>
      </c>
      <c r="J131" s="256" t="s">
        <v>3038</v>
      </c>
      <c r="K131" s="256"/>
      <c r="L131" s="256"/>
      <c r="M131" s="351"/>
      <c r="N131" s="352"/>
      <c r="O131" s="261" t="b">
        <v>0</v>
      </c>
      <c r="P131" s="256"/>
      <c r="Q131" s="256"/>
      <c r="R131" s="353"/>
      <c r="S131" s="353"/>
    </row>
    <row r="132" ht="20.25" customHeight="1">
      <c r="A132" s="256" t="s">
        <v>17</v>
      </c>
      <c r="B132" s="256" t="s">
        <v>23</v>
      </c>
      <c r="C132" s="256" t="s">
        <v>1451</v>
      </c>
      <c r="D132" s="339">
        <v>46038.0</v>
      </c>
      <c r="E132" s="256" t="s">
        <v>3044</v>
      </c>
      <c r="F132" s="256" t="s">
        <v>3045</v>
      </c>
      <c r="G132" s="256" t="s">
        <v>3047</v>
      </c>
      <c r="H132" s="256" t="s">
        <v>3049</v>
      </c>
      <c r="I132" s="259" t="s">
        <v>3043</v>
      </c>
      <c r="J132" s="256" t="s">
        <v>3050</v>
      </c>
      <c r="K132" s="354" t="s">
        <v>3051</v>
      </c>
      <c r="L132" s="350" t="s">
        <v>3052</v>
      </c>
      <c r="M132" s="351"/>
      <c r="N132" s="352"/>
      <c r="O132" s="261" t="b">
        <v>0</v>
      </c>
      <c r="P132" s="256"/>
      <c r="Q132" s="256"/>
      <c r="R132" s="353"/>
      <c r="S132" s="353"/>
    </row>
    <row r="133" ht="20.25" customHeight="1">
      <c r="A133" s="256" t="s">
        <v>22</v>
      </c>
      <c r="B133" s="256" t="s">
        <v>53</v>
      </c>
      <c r="C133" s="256" t="s">
        <v>1451</v>
      </c>
      <c r="D133" s="339">
        <v>46042.0</v>
      </c>
      <c r="E133" s="256" t="s">
        <v>3056</v>
      </c>
      <c r="F133" s="256" t="s">
        <v>3058</v>
      </c>
      <c r="G133" s="256" t="s">
        <v>3059</v>
      </c>
      <c r="H133" s="256" t="s">
        <v>3060</v>
      </c>
      <c r="I133" s="259" t="s">
        <v>543</v>
      </c>
      <c r="J133" s="256" t="s">
        <v>3062</v>
      </c>
      <c r="K133" s="354" t="s">
        <v>3064</v>
      </c>
      <c r="L133" s="350"/>
      <c r="M133" s="351"/>
      <c r="N133" s="352"/>
      <c r="O133" s="261" t="b">
        <v>0</v>
      </c>
      <c r="P133" s="256"/>
      <c r="Q133" s="256"/>
      <c r="R133" s="353"/>
      <c r="S133" s="353"/>
    </row>
    <row r="134" ht="20.25" customHeight="1">
      <c r="A134" s="256" t="s">
        <v>117</v>
      </c>
      <c r="B134" s="256" t="s">
        <v>53</v>
      </c>
      <c r="C134" s="256" t="s">
        <v>1451</v>
      </c>
      <c r="D134" s="339">
        <v>45978.0</v>
      </c>
      <c r="E134" s="256" t="s">
        <v>3065</v>
      </c>
      <c r="F134" s="256" t="s">
        <v>3066</v>
      </c>
      <c r="G134" s="256" t="s">
        <v>3067</v>
      </c>
      <c r="H134" s="256" t="s">
        <v>3068</v>
      </c>
      <c r="I134" s="259" t="s">
        <v>543</v>
      </c>
      <c r="J134" s="256" t="s">
        <v>3069</v>
      </c>
      <c r="K134" s="354"/>
      <c r="L134" s="350" t="s">
        <v>3070</v>
      </c>
      <c r="M134" s="351"/>
      <c r="N134" s="352"/>
      <c r="O134" s="261" t="b">
        <v>0</v>
      </c>
      <c r="P134" s="256"/>
      <c r="Q134" s="256"/>
      <c r="R134" s="353"/>
      <c r="S134" s="353"/>
    </row>
    <row r="135" ht="20.25" customHeight="1">
      <c r="A135" s="256" t="s">
        <v>17</v>
      </c>
      <c r="B135" s="256" t="s">
        <v>53</v>
      </c>
      <c r="C135" s="256" t="s">
        <v>1451</v>
      </c>
      <c r="D135" s="339">
        <v>46001.0</v>
      </c>
      <c r="E135" s="256" t="s">
        <v>3071</v>
      </c>
      <c r="F135" s="256" t="s">
        <v>3072</v>
      </c>
      <c r="G135" s="256" t="s">
        <v>3073</v>
      </c>
      <c r="H135" s="256" t="s">
        <v>3074</v>
      </c>
      <c r="I135" s="259" t="s">
        <v>581</v>
      </c>
      <c r="J135" s="256" t="s">
        <v>3076</v>
      </c>
      <c r="K135" s="354"/>
      <c r="L135" s="350" t="s">
        <v>3077</v>
      </c>
      <c r="M135" s="351"/>
      <c r="N135" s="352"/>
      <c r="O135" s="261" t="b">
        <v>0</v>
      </c>
      <c r="P135" s="256"/>
      <c r="Q135" s="256"/>
      <c r="R135" s="353"/>
      <c r="S135" s="353"/>
    </row>
    <row r="136" ht="20.25" customHeight="1">
      <c r="A136" s="256" t="s">
        <v>117</v>
      </c>
      <c r="B136" s="256" t="s">
        <v>53</v>
      </c>
      <c r="C136" s="256" t="s">
        <v>1451</v>
      </c>
      <c r="D136" s="339">
        <v>45979.0</v>
      </c>
      <c r="E136" s="256" t="s">
        <v>3078</v>
      </c>
      <c r="F136" s="256" t="s">
        <v>3079</v>
      </c>
      <c r="G136" s="256" t="s">
        <v>3080</v>
      </c>
      <c r="H136" s="256" t="s">
        <v>3081</v>
      </c>
      <c r="I136" s="259" t="s">
        <v>3083</v>
      </c>
      <c r="J136" s="256" t="s">
        <v>3084</v>
      </c>
      <c r="K136" s="354" t="s">
        <v>3085</v>
      </c>
      <c r="L136" s="350" t="s">
        <v>3086</v>
      </c>
      <c r="M136" s="351"/>
      <c r="N136" s="352"/>
      <c r="O136" s="263" t="b">
        <v>0</v>
      </c>
      <c r="P136" s="256"/>
      <c r="Q136" s="256"/>
      <c r="R136" s="353"/>
      <c r="S136" s="353"/>
    </row>
    <row r="137" ht="20.25" customHeight="1">
      <c r="A137" s="256" t="s">
        <v>117</v>
      </c>
      <c r="B137" s="256" t="s">
        <v>53</v>
      </c>
      <c r="C137" s="256" t="s">
        <v>1451</v>
      </c>
      <c r="D137" s="339">
        <v>45973.0</v>
      </c>
      <c r="E137" s="256" t="s">
        <v>3088</v>
      </c>
      <c r="F137" s="256" t="s">
        <v>3089</v>
      </c>
      <c r="G137" s="256" t="s">
        <v>3090</v>
      </c>
      <c r="H137" s="256" t="s">
        <v>3092</v>
      </c>
      <c r="I137" s="259" t="s">
        <v>497</v>
      </c>
      <c r="J137" s="256" t="s">
        <v>3093</v>
      </c>
      <c r="K137" s="354" t="s">
        <v>3094</v>
      </c>
      <c r="L137" s="350" t="s">
        <v>3096</v>
      </c>
      <c r="M137" s="351"/>
      <c r="N137" s="352"/>
      <c r="O137" s="263" t="b">
        <v>0</v>
      </c>
      <c r="P137" s="256"/>
      <c r="Q137" s="256"/>
      <c r="R137" s="353"/>
      <c r="S137" s="353"/>
    </row>
    <row r="138" ht="20.25" customHeight="1">
      <c r="A138" s="256" t="s">
        <v>117</v>
      </c>
      <c r="B138" s="256" t="s">
        <v>53</v>
      </c>
      <c r="C138" s="256" t="s">
        <v>1451</v>
      </c>
      <c r="D138" s="339">
        <v>45994.0</v>
      </c>
      <c r="E138" s="256" t="s">
        <v>3100</v>
      </c>
      <c r="F138" s="256" t="s">
        <v>3101</v>
      </c>
      <c r="G138" s="256" t="s">
        <v>3102</v>
      </c>
      <c r="H138" s="256" t="s">
        <v>3104</v>
      </c>
      <c r="I138" s="259" t="s">
        <v>996</v>
      </c>
      <c r="J138" s="256" t="s">
        <v>3105</v>
      </c>
      <c r="K138" s="354"/>
      <c r="L138" s="350" t="s">
        <v>3106</v>
      </c>
      <c r="M138" s="351"/>
      <c r="N138" s="352"/>
      <c r="O138" s="263" t="b">
        <v>0</v>
      </c>
      <c r="P138" s="256"/>
      <c r="Q138" s="256"/>
      <c r="R138" s="353"/>
      <c r="S138" s="353"/>
    </row>
    <row r="139" ht="20.25" customHeight="1">
      <c r="A139" s="256" t="s">
        <v>410</v>
      </c>
      <c r="B139" s="256" t="s">
        <v>23</v>
      </c>
      <c r="C139" s="256" t="s">
        <v>1451</v>
      </c>
      <c r="D139" s="339">
        <v>45999.0</v>
      </c>
      <c r="E139" s="256" t="s">
        <v>3111</v>
      </c>
      <c r="F139" s="256" t="s">
        <v>3112</v>
      </c>
      <c r="G139" s="256" t="s">
        <v>3113</v>
      </c>
      <c r="H139" s="256" t="s">
        <v>3114</v>
      </c>
      <c r="I139" s="259" t="s">
        <v>543</v>
      </c>
      <c r="J139" s="256" t="s">
        <v>3115</v>
      </c>
      <c r="K139" s="354"/>
      <c r="L139" s="350" t="s">
        <v>3118</v>
      </c>
      <c r="M139" s="351"/>
      <c r="N139" s="352"/>
      <c r="O139" s="263" t="b">
        <v>0</v>
      </c>
      <c r="P139" s="256"/>
      <c r="Q139" s="256"/>
      <c r="R139" s="353"/>
      <c r="S139" s="353"/>
    </row>
    <row r="140" ht="20.25" customHeight="1">
      <c r="A140" s="256" t="s">
        <v>117</v>
      </c>
      <c r="B140" s="256" t="s">
        <v>23</v>
      </c>
      <c r="C140" s="256" t="s">
        <v>1451</v>
      </c>
      <c r="D140" s="339">
        <v>45994.0</v>
      </c>
      <c r="E140" s="256" t="s">
        <v>3121</v>
      </c>
      <c r="F140" s="256" t="s">
        <v>3123</v>
      </c>
      <c r="G140" s="256" t="s">
        <v>3124</v>
      </c>
      <c r="H140" s="256" t="s">
        <v>3125</v>
      </c>
      <c r="I140" s="259" t="s">
        <v>140</v>
      </c>
      <c r="J140" s="256" t="s">
        <v>3126</v>
      </c>
      <c r="K140" s="354"/>
      <c r="L140" s="350" t="s">
        <v>3025</v>
      </c>
      <c r="M140" s="351"/>
      <c r="N140" s="352"/>
      <c r="O140" s="263" t="b">
        <v>0</v>
      </c>
      <c r="P140" s="256"/>
      <c r="Q140" s="256"/>
      <c r="R140" s="353"/>
      <c r="S140" s="353"/>
    </row>
    <row r="141" ht="20.25" customHeight="1">
      <c r="A141" s="256" t="s">
        <v>17</v>
      </c>
      <c r="B141" s="256" t="s">
        <v>23</v>
      </c>
      <c r="C141" s="256" t="s">
        <v>1451</v>
      </c>
      <c r="D141" s="339">
        <v>46051.0</v>
      </c>
      <c r="E141" s="256" t="s">
        <v>3130</v>
      </c>
      <c r="F141" s="256" t="s">
        <v>3131</v>
      </c>
      <c r="G141" s="256" t="s">
        <v>3132</v>
      </c>
      <c r="H141" s="256" t="s">
        <v>3133</v>
      </c>
      <c r="I141" s="259" t="s">
        <v>497</v>
      </c>
      <c r="J141" s="256" t="s">
        <v>3134</v>
      </c>
      <c r="K141" s="354" t="s">
        <v>3135</v>
      </c>
      <c r="L141" s="350"/>
      <c r="M141" s="351"/>
      <c r="N141" s="352"/>
      <c r="O141" s="263" t="b">
        <v>0</v>
      </c>
      <c r="P141" s="256"/>
      <c r="Q141" s="256"/>
      <c r="R141" s="353"/>
      <c r="S141" s="353"/>
    </row>
    <row r="142" ht="20.25" customHeight="1">
      <c r="A142" s="256" t="s">
        <v>18</v>
      </c>
      <c r="B142" s="256" t="s">
        <v>19</v>
      </c>
      <c r="C142" s="256" t="s">
        <v>1451</v>
      </c>
      <c r="D142" s="339">
        <v>46042.0</v>
      </c>
      <c r="E142" s="256" t="s">
        <v>3137</v>
      </c>
      <c r="F142" s="256" t="s">
        <v>3138</v>
      </c>
      <c r="G142" s="256" t="s">
        <v>3139</v>
      </c>
      <c r="H142" s="256" t="s">
        <v>3140</v>
      </c>
      <c r="I142" s="259"/>
      <c r="J142" s="256" t="s">
        <v>3141</v>
      </c>
      <c r="K142" s="256"/>
      <c r="L142" s="256"/>
      <c r="M142" s="351"/>
      <c r="N142" s="352"/>
      <c r="O142" s="263" t="b">
        <v>0</v>
      </c>
      <c r="P142" s="256"/>
      <c r="Q142" s="256"/>
      <c r="R142" s="353"/>
      <c r="S142" s="353"/>
    </row>
    <row r="143" ht="20.25" customHeight="1">
      <c r="A143" s="256" t="s">
        <v>3143</v>
      </c>
      <c r="B143" s="256" t="s">
        <v>23</v>
      </c>
      <c r="C143" s="256" t="s">
        <v>1451</v>
      </c>
      <c r="D143" s="339">
        <v>45936.0</v>
      </c>
      <c r="E143" s="256" t="s">
        <v>3144</v>
      </c>
      <c r="F143" s="256" t="s">
        <v>3145</v>
      </c>
      <c r="G143" s="256"/>
      <c r="H143" s="256" t="s">
        <v>3147</v>
      </c>
      <c r="I143" s="259" t="s">
        <v>3148</v>
      </c>
      <c r="J143" s="256" t="s">
        <v>3149</v>
      </c>
      <c r="K143" s="354"/>
      <c r="L143" s="350" t="s">
        <v>3150</v>
      </c>
      <c r="M143" s="351"/>
      <c r="N143" s="352"/>
      <c r="O143" s="263" t="b">
        <v>0</v>
      </c>
      <c r="P143" s="256"/>
      <c r="Q143" s="256"/>
      <c r="R143" s="353"/>
      <c r="S143" s="353"/>
    </row>
    <row r="144" ht="20.25" customHeight="1">
      <c r="A144" s="256" t="s">
        <v>62</v>
      </c>
      <c r="B144" s="256" t="s">
        <v>53</v>
      </c>
      <c r="C144" s="256" t="s">
        <v>1410</v>
      </c>
      <c r="D144" s="339">
        <v>45939.0</v>
      </c>
      <c r="E144" s="256" t="s">
        <v>3155</v>
      </c>
      <c r="F144" s="256" t="s">
        <v>3157</v>
      </c>
      <c r="G144" s="256" t="s">
        <v>3158</v>
      </c>
      <c r="H144" s="256" t="s">
        <v>3159</v>
      </c>
      <c r="I144" s="259" t="s">
        <v>3160</v>
      </c>
      <c r="J144" s="256" t="s">
        <v>3161</v>
      </c>
      <c r="K144" s="354"/>
      <c r="L144" s="350" t="s">
        <v>3162</v>
      </c>
      <c r="M144" s="351"/>
      <c r="N144" s="352"/>
      <c r="O144" s="263" t="b">
        <v>0</v>
      </c>
      <c r="P144" s="256"/>
      <c r="Q144" s="256"/>
      <c r="R144" s="353"/>
      <c r="S144" s="353"/>
    </row>
    <row r="145" ht="20.25" customHeight="1">
      <c r="A145" s="256" t="s">
        <v>62</v>
      </c>
      <c r="B145" s="256" t="s">
        <v>23</v>
      </c>
      <c r="C145" s="256" t="s">
        <v>1410</v>
      </c>
      <c r="D145" s="339">
        <v>45944.0</v>
      </c>
      <c r="E145" s="256" t="s">
        <v>3166</v>
      </c>
      <c r="F145" s="256" t="s">
        <v>3168</v>
      </c>
      <c r="G145" s="256" t="s">
        <v>3169</v>
      </c>
      <c r="H145" s="256" t="s">
        <v>3170</v>
      </c>
      <c r="I145" s="259" t="s">
        <v>3160</v>
      </c>
      <c r="J145" s="256" t="s">
        <v>3172</v>
      </c>
      <c r="K145" s="354" t="s">
        <v>3173</v>
      </c>
      <c r="L145" s="350" t="s">
        <v>3174</v>
      </c>
      <c r="M145" s="367">
        <v>46232.88282356481</v>
      </c>
      <c r="N145" s="352"/>
      <c r="O145" s="263" t="b">
        <v>0</v>
      </c>
      <c r="P145" s="256"/>
      <c r="Q145" s="256"/>
      <c r="R145" s="353"/>
      <c r="S145" s="353"/>
    </row>
    <row r="146" ht="20.25" customHeight="1">
      <c r="A146" s="256" t="s">
        <v>410</v>
      </c>
      <c r="B146" s="256" t="s">
        <v>19</v>
      </c>
      <c r="C146" s="256" t="s">
        <v>1451</v>
      </c>
      <c r="D146" s="339">
        <v>45971.0</v>
      </c>
      <c r="E146" s="256" t="s">
        <v>3180</v>
      </c>
      <c r="F146" s="256" t="s">
        <v>3181</v>
      </c>
      <c r="G146" s="256" t="s">
        <v>3182</v>
      </c>
      <c r="H146" s="256" t="s">
        <v>3183</v>
      </c>
      <c r="I146" s="259" t="s">
        <v>2930</v>
      </c>
      <c r="J146" s="256" t="s">
        <v>3185</v>
      </c>
      <c r="K146" s="256" t="s">
        <v>3186</v>
      </c>
      <c r="L146" s="256" t="s">
        <v>3187</v>
      </c>
      <c r="M146" s="351"/>
      <c r="N146" s="352"/>
      <c r="O146" s="263" t="b">
        <v>0</v>
      </c>
      <c r="P146" s="256"/>
      <c r="Q146" s="256"/>
      <c r="R146" s="353"/>
      <c r="S146" s="353"/>
    </row>
    <row r="147" ht="20.25" customHeight="1">
      <c r="A147" s="256" t="s">
        <v>815</v>
      </c>
      <c r="B147" s="256" t="s">
        <v>53</v>
      </c>
      <c r="C147" s="256" t="s">
        <v>1451</v>
      </c>
      <c r="D147" s="339">
        <v>45985.0</v>
      </c>
      <c r="E147" s="256" t="s">
        <v>3189</v>
      </c>
      <c r="F147" s="256" t="s">
        <v>3190</v>
      </c>
      <c r="G147" s="256"/>
      <c r="H147" s="256" t="s">
        <v>3191</v>
      </c>
      <c r="I147" s="259" t="s">
        <v>3192</v>
      </c>
      <c r="J147" s="256" t="s">
        <v>3193</v>
      </c>
      <c r="K147" s="354"/>
      <c r="L147" s="350" t="s">
        <v>3194</v>
      </c>
      <c r="M147" s="351"/>
      <c r="N147" s="352"/>
      <c r="O147" s="263" t="b">
        <v>0</v>
      </c>
      <c r="P147" s="256"/>
      <c r="Q147" s="256"/>
      <c r="R147" s="353"/>
      <c r="S147" s="353"/>
    </row>
    <row r="148" ht="20.25" customHeight="1">
      <c r="A148" s="256" t="s">
        <v>410</v>
      </c>
      <c r="B148" s="256" t="s">
        <v>53</v>
      </c>
      <c r="C148" s="256" t="s">
        <v>1451</v>
      </c>
      <c r="D148" s="339">
        <v>46000.0</v>
      </c>
      <c r="E148" s="256" t="s">
        <v>3195</v>
      </c>
      <c r="F148" s="256" t="s">
        <v>3196</v>
      </c>
      <c r="G148" s="256" t="s">
        <v>3197</v>
      </c>
      <c r="H148" s="256" t="s">
        <v>3198</v>
      </c>
      <c r="I148" s="259" t="s">
        <v>1059</v>
      </c>
      <c r="J148" s="256" t="s">
        <v>3199</v>
      </c>
      <c r="K148" s="354"/>
      <c r="L148" s="350" t="s">
        <v>3201</v>
      </c>
      <c r="M148" s="351"/>
      <c r="N148" s="352"/>
      <c r="O148" s="263" t="b">
        <v>0</v>
      </c>
      <c r="P148" s="256"/>
      <c r="Q148" s="256"/>
      <c r="R148" s="353"/>
      <c r="S148" s="353"/>
    </row>
    <row r="149" ht="20.25" customHeight="1">
      <c r="A149" s="256" t="s">
        <v>17</v>
      </c>
      <c r="B149" s="256" t="s">
        <v>23</v>
      </c>
      <c r="C149" s="256" t="s">
        <v>1451</v>
      </c>
      <c r="D149" s="339">
        <v>46003.0</v>
      </c>
      <c r="E149" s="256" t="s">
        <v>3203</v>
      </c>
      <c r="F149" s="256" t="s">
        <v>3204</v>
      </c>
      <c r="G149" s="256" t="s">
        <v>3205</v>
      </c>
      <c r="H149" s="256" t="s">
        <v>3206</v>
      </c>
      <c r="I149" s="259" t="s">
        <v>3209</v>
      </c>
      <c r="J149" s="256" t="s">
        <v>3210</v>
      </c>
      <c r="K149" s="354" t="s">
        <v>3212</v>
      </c>
      <c r="L149" s="350" t="s">
        <v>2135</v>
      </c>
      <c r="M149" s="351"/>
      <c r="N149" s="352"/>
      <c r="O149" s="263" t="b">
        <v>0</v>
      </c>
      <c r="P149" s="256"/>
      <c r="Q149" s="256"/>
      <c r="R149" s="353"/>
      <c r="S149" s="353"/>
    </row>
    <row r="150" ht="20.25" customHeight="1">
      <c r="A150" s="256" t="s">
        <v>135</v>
      </c>
      <c r="B150" s="256" t="s">
        <v>225</v>
      </c>
      <c r="C150" s="256" t="s">
        <v>1451</v>
      </c>
      <c r="D150" s="339">
        <v>46013.0</v>
      </c>
      <c r="E150" s="256" t="s">
        <v>3214</v>
      </c>
      <c r="F150" s="256" t="s">
        <v>3214</v>
      </c>
      <c r="G150" s="256" t="s">
        <v>3215</v>
      </c>
      <c r="H150" s="256" t="s">
        <v>3216</v>
      </c>
      <c r="I150" s="259" t="s">
        <v>3217</v>
      </c>
      <c r="J150" s="256" t="s">
        <v>3219</v>
      </c>
      <c r="K150" s="354"/>
      <c r="L150" s="350" t="s">
        <v>3220</v>
      </c>
      <c r="M150" s="351"/>
      <c r="N150" s="352"/>
      <c r="O150" s="263" t="b">
        <v>0</v>
      </c>
      <c r="P150" s="256"/>
      <c r="Q150" s="256"/>
      <c r="R150" s="353"/>
      <c r="S150" s="353"/>
    </row>
    <row r="151" ht="20.25" customHeight="1">
      <c r="A151" s="372" t="s">
        <v>410</v>
      </c>
      <c r="B151" s="341" t="s">
        <v>53</v>
      </c>
      <c r="C151" s="341" t="s">
        <v>1451</v>
      </c>
      <c r="D151" s="342">
        <v>46000.0</v>
      </c>
      <c r="E151" s="341" t="s">
        <v>3224</v>
      </c>
      <c r="F151" s="341" t="s">
        <v>3225</v>
      </c>
      <c r="G151" s="341" t="s">
        <v>3226</v>
      </c>
      <c r="H151" s="341" t="s">
        <v>3228</v>
      </c>
      <c r="I151" s="373" t="str">
        <f>HYPERLINK("https://calendar.google.com/calendar/u/0/r/eventedit/NnJuZThuaWdub2I2MW5yOGthajRwZzhidWQgYzM5ZjIxNjY2YTJjNzBkNjQ0MDI0YmQyOWM3ZmM5ODM3OTY2MmY3OTJlNWEwNDdjZGIzNTdhNDJiM2M1N2QwNEBn", "Wed 6:00 PM")
</f>
        <v>Wed 6:00 PM</v>
      </c>
      <c r="J151" s="341" t="s">
        <v>3244</v>
      </c>
      <c r="K151" s="348"/>
      <c r="L151" s="374" t="s">
        <v>3245</v>
      </c>
      <c r="M151" s="344"/>
      <c r="N151" s="345"/>
      <c r="O151" s="346" t="b">
        <v>0</v>
      </c>
      <c r="P151" s="341"/>
      <c r="Q151" s="341"/>
      <c r="R151" s="347"/>
      <c r="S151" s="347"/>
    </row>
    <row r="152" ht="20.25" customHeight="1">
      <c r="A152" s="372" t="s">
        <v>22</v>
      </c>
      <c r="B152" s="341" t="s">
        <v>19</v>
      </c>
      <c r="C152" s="341" t="s">
        <v>1527</v>
      </c>
      <c r="D152" s="342">
        <v>46002.0</v>
      </c>
      <c r="E152" s="341" t="s">
        <v>1490</v>
      </c>
      <c r="F152" s="341" t="s">
        <v>1492</v>
      </c>
      <c r="G152" s="341" t="s">
        <v>3251</v>
      </c>
      <c r="H152" s="341" t="s">
        <v>1497</v>
      </c>
      <c r="I152" s="373" t="str">
        <f>HYPERLINK("https://calendar.google.com/calendar/u/0/r/eventedit/NnNmMGYyZnMzaDBnaTZvdjI3Y3FjYXIybXYgYzM5ZjIxNjY2YTJjNzBkNjQ0MDI0YmQyOWM3ZmM5ODM3OTY2MmY3OTJlNWEwNDdjZGIzNTdhNDJiM2M1N2QwNEBn", "Wed 8:00 PM")
</f>
        <v>Wed 8:00 PM</v>
      </c>
      <c r="J152" s="341" t="s">
        <v>3255</v>
      </c>
      <c r="K152" s="348"/>
      <c r="L152" s="374" t="s">
        <v>3258</v>
      </c>
      <c r="M152" s="344"/>
      <c r="N152" s="345"/>
      <c r="O152" s="346" t="b">
        <v>0</v>
      </c>
      <c r="P152" s="341"/>
      <c r="Q152" s="341"/>
      <c r="R152" s="347"/>
      <c r="S152" s="347"/>
    </row>
    <row r="153" ht="20.25" customHeight="1">
      <c r="A153" s="375" t="s">
        <v>18</v>
      </c>
      <c r="B153" s="354" t="s">
        <v>53</v>
      </c>
      <c r="C153" s="354" t="s">
        <v>1451</v>
      </c>
      <c r="D153" s="376">
        <v>46043.0</v>
      </c>
      <c r="E153" s="354" t="s">
        <v>3268</v>
      </c>
      <c r="F153" s="354" t="s">
        <v>3270</v>
      </c>
      <c r="G153" s="354" t="s">
        <v>3271</v>
      </c>
      <c r="H153" s="354" t="s">
        <v>3272</v>
      </c>
      <c r="I153" s="377" t="s">
        <v>2355</v>
      </c>
      <c r="J153" s="354" t="s">
        <v>3275</v>
      </c>
      <c r="K153" s="348"/>
      <c r="L153" s="374"/>
      <c r="M153" s="344"/>
      <c r="N153" s="345"/>
      <c r="O153" s="346" t="b">
        <v>0</v>
      </c>
      <c r="P153" s="354"/>
      <c r="Q153" s="354"/>
      <c r="R153" s="378"/>
      <c r="S153" s="378"/>
    </row>
    <row r="154" ht="20.25" customHeight="1">
      <c r="A154" s="375" t="s">
        <v>117</v>
      </c>
      <c r="B154" s="354" t="s">
        <v>53</v>
      </c>
      <c r="C154" s="354" t="s">
        <v>1451</v>
      </c>
      <c r="D154" s="376">
        <v>46008.0</v>
      </c>
      <c r="E154" s="354" t="s">
        <v>3281</v>
      </c>
      <c r="F154" s="354" t="s">
        <v>3283</v>
      </c>
      <c r="G154" s="354" t="s">
        <v>3284</v>
      </c>
      <c r="H154" s="354" t="s">
        <v>3285</v>
      </c>
      <c r="I154" s="377" t="s">
        <v>973</v>
      </c>
      <c r="J154" s="354" t="s">
        <v>3286</v>
      </c>
      <c r="K154" s="348"/>
      <c r="L154" s="380" t="s">
        <v>3287</v>
      </c>
      <c r="M154" s="344"/>
      <c r="N154" s="345"/>
      <c r="O154" s="346" t="b">
        <v>0</v>
      </c>
      <c r="P154" s="354"/>
      <c r="Q154" s="354"/>
      <c r="R154" s="378"/>
      <c r="S154" s="378"/>
    </row>
    <row r="155" ht="20.25" customHeight="1">
      <c r="A155" s="381" t="s">
        <v>22</v>
      </c>
      <c r="B155" s="258" t="s">
        <v>53</v>
      </c>
      <c r="C155" s="258" t="s">
        <v>1451</v>
      </c>
      <c r="D155" s="338">
        <v>46003.0</v>
      </c>
      <c r="E155" s="258" t="s">
        <v>3293</v>
      </c>
      <c r="F155" s="258" t="s">
        <v>3303</v>
      </c>
      <c r="G155" s="258" t="s">
        <v>3305</v>
      </c>
      <c r="H155" s="258" t="s">
        <v>3306</v>
      </c>
      <c r="I155" s="382" t="s">
        <v>59</v>
      </c>
      <c r="J155" s="258" t="s">
        <v>3309</v>
      </c>
      <c r="K155" s="383" t="s">
        <v>3311</v>
      </c>
      <c r="L155" s="384"/>
      <c r="M155" s="352"/>
      <c r="N155" s="261"/>
      <c r="O155" s="258" t="b">
        <v>0</v>
      </c>
      <c r="P155" s="260"/>
      <c r="Q155" s="260"/>
      <c r="R155" s="262"/>
      <c r="S155" s="262"/>
    </row>
    <row r="156" ht="20.25" customHeight="1">
      <c r="A156" s="255" t="s">
        <v>22</v>
      </c>
      <c r="B156" s="256" t="s">
        <v>23</v>
      </c>
      <c r="C156" s="256" t="s">
        <v>1451</v>
      </c>
      <c r="D156" s="257">
        <v>45762.0</v>
      </c>
      <c r="E156" s="256" t="s">
        <v>3347</v>
      </c>
      <c r="F156" s="256" t="s">
        <v>3348</v>
      </c>
      <c r="G156" s="256" t="s">
        <v>3349</v>
      </c>
      <c r="H156" s="256" t="s">
        <v>3350</v>
      </c>
      <c r="I156" s="259" t="s">
        <v>2227</v>
      </c>
      <c r="J156" s="256" t="s">
        <v>3354</v>
      </c>
      <c r="K156" s="341" t="s">
        <v>3357</v>
      </c>
      <c r="L156" s="341"/>
      <c r="M156" s="352"/>
      <c r="N156" s="261"/>
      <c r="O156" s="256" t="b">
        <v>0</v>
      </c>
      <c r="P156" s="260"/>
      <c r="Q156" s="260"/>
      <c r="R156" s="262"/>
      <c r="S156" s="262"/>
    </row>
    <row r="157" ht="20.25" customHeight="1">
      <c r="A157" s="255" t="s">
        <v>17</v>
      </c>
      <c r="B157" s="256" t="s">
        <v>23</v>
      </c>
      <c r="C157" s="256" t="s">
        <v>1451</v>
      </c>
      <c r="D157" s="257">
        <v>45715.0</v>
      </c>
      <c r="E157" s="256" t="s">
        <v>3366</v>
      </c>
      <c r="F157" s="256" t="s">
        <v>3367</v>
      </c>
      <c r="G157" s="256" t="s">
        <v>3368</v>
      </c>
      <c r="H157" s="256" t="s">
        <v>3369</v>
      </c>
      <c r="I157" s="259" t="s">
        <v>3372</v>
      </c>
      <c r="J157" s="256" t="s">
        <v>3374</v>
      </c>
      <c r="K157" s="341" t="s">
        <v>3375</v>
      </c>
      <c r="L157" s="341"/>
      <c r="M157" s="352">
        <v>0.9</v>
      </c>
      <c r="N157" s="261"/>
      <c r="O157" s="256" t="b">
        <v>0</v>
      </c>
      <c r="P157" s="260"/>
      <c r="Q157" s="260"/>
      <c r="R157" s="262"/>
      <c r="S157" s="262"/>
    </row>
    <row r="158" ht="20.25" customHeight="1">
      <c r="A158" s="256" t="s">
        <v>62</v>
      </c>
      <c r="B158" s="256" t="s">
        <v>53</v>
      </c>
      <c r="C158" s="256" t="s">
        <v>1451</v>
      </c>
      <c r="D158" s="257">
        <v>46063.0</v>
      </c>
      <c r="E158" s="256" t="s">
        <v>3383</v>
      </c>
      <c r="F158" s="256" t="s">
        <v>3384</v>
      </c>
      <c r="G158" s="256" t="s">
        <v>3386</v>
      </c>
      <c r="H158" s="256" t="s">
        <v>3387</v>
      </c>
      <c r="I158" s="259" t="s">
        <v>612</v>
      </c>
      <c r="J158" s="256" t="s">
        <v>3388</v>
      </c>
      <c r="K158" s="354" t="s">
        <v>3390</v>
      </c>
      <c r="L158" s="351"/>
      <c r="M158" s="376">
        <v>46064.85955498843</v>
      </c>
      <c r="N158" s="261"/>
      <c r="O158" s="256" t="b">
        <v>0</v>
      </c>
      <c r="P158" s="260"/>
      <c r="Q158" s="260"/>
      <c r="R158" s="262"/>
      <c r="S158" s="262"/>
    </row>
    <row r="159" ht="20.25" customHeight="1">
      <c r="A159" s="385" t="s">
        <v>410</v>
      </c>
      <c r="B159" s="256" t="s">
        <v>53</v>
      </c>
      <c r="C159" s="256" t="s">
        <v>1451</v>
      </c>
      <c r="D159" s="257">
        <v>46000.0</v>
      </c>
      <c r="E159" s="256" t="s">
        <v>3224</v>
      </c>
      <c r="F159" s="256" t="s">
        <v>3225</v>
      </c>
      <c r="G159" s="256" t="s">
        <v>3226</v>
      </c>
      <c r="H159" s="256" t="s">
        <v>3228</v>
      </c>
      <c r="I159" s="386" t="s">
        <v>1174</v>
      </c>
      <c r="J159" s="256" t="s">
        <v>3244</v>
      </c>
      <c r="K159" s="354" t="s">
        <v>3401</v>
      </c>
      <c r="L159" s="387"/>
      <c r="M159" s="352"/>
      <c r="N159" s="261"/>
      <c r="O159" s="256" t="b">
        <v>0</v>
      </c>
      <c r="P159" s="260"/>
      <c r="Q159" s="260"/>
      <c r="R159" s="262"/>
      <c r="S159" s="262"/>
    </row>
    <row r="160" ht="20.25" customHeight="1">
      <c r="A160" s="385" t="s">
        <v>135</v>
      </c>
      <c r="B160" s="256" t="s">
        <v>225</v>
      </c>
      <c r="C160" s="256" t="s">
        <v>1451</v>
      </c>
      <c r="D160" s="257">
        <v>46055.0</v>
      </c>
      <c r="E160" s="256" t="s">
        <v>3413</v>
      </c>
      <c r="F160" s="256" t="s">
        <v>3414</v>
      </c>
      <c r="G160" s="256" t="s">
        <v>3415</v>
      </c>
      <c r="H160" s="256" t="s">
        <v>3417</v>
      </c>
      <c r="I160" s="388" t="s">
        <v>1181</v>
      </c>
      <c r="J160" s="256" t="s">
        <v>3421</v>
      </c>
      <c r="K160" s="354"/>
      <c r="L160" s="354"/>
      <c r="M160" s="352"/>
      <c r="N160" s="261"/>
      <c r="O160" s="256" t="b">
        <v>0</v>
      </c>
      <c r="P160" s="260"/>
      <c r="Q160" s="260" t="b">
        <v>0</v>
      </c>
      <c r="R160" s="262" t="b">
        <v>0</v>
      </c>
      <c r="S160" s="262" t="b">
        <v>0</v>
      </c>
    </row>
    <row r="161" ht="20.25" customHeight="1">
      <c r="A161" s="389" t="s">
        <v>62</v>
      </c>
      <c r="B161" s="256" t="s">
        <v>23</v>
      </c>
      <c r="C161" s="256" t="s">
        <v>1451</v>
      </c>
      <c r="D161" s="257">
        <v>46058.0</v>
      </c>
      <c r="E161" s="390" t="s">
        <v>3437</v>
      </c>
      <c r="F161" s="256" t="s">
        <v>3439</v>
      </c>
      <c r="G161" s="256" t="s">
        <v>3441</v>
      </c>
      <c r="H161" s="256" t="s">
        <v>3442</v>
      </c>
      <c r="I161" s="343" t="str">
        <f>HYPERLINK("https://calendar.google.com/calendar/u/0/r/eventedit/Mm83Zm1wYXV2OWlnMXAwY3I0YzBpNm5oMDkgYzM5ZjIxNjY2YTJjNzBkNjQ0MDI0YmQyOWM3ZmM5ODM3OTY2MmY3OTJlNWEwNDdjZGIzNTdhNDJiM2M1N2QwNEBn?pli=1", "Thu 5:00 PM")
</f>
        <v>Thu 5:00 PM</v>
      </c>
      <c r="J161" s="256" t="s">
        <v>3449</v>
      </c>
      <c r="K161" s="354" t="s">
        <v>3451</v>
      </c>
      <c r="L161" s="351"/>
      <c r="M161" s="376">
        <v>46059.74976501157</v>
      </c>
      <c r="N161" s="261"/>
      <c r="O161" s="256" t="b">
        <v>0</v>
      </c>
      <c r="P161" s="260"/>
      <c r="Q161" s="260"/>
      <c r="R161" s="262"/>
      <c r="S161" s="262"/>
    </row>
    <row r="162" ht="20.25" customHeight="1">
      <c r="A162" s="385" t="s">
        <v>62</v>
      </c>
      <c r="B162" s="256" t="s">
        <v>23</v>
      </c>
      <c r="C162" s="256" t="s">
        <v>1451</v>
      </c>
      <c r="D162" s="257">
        <v>46030.0</v>
      </c>
      <c r="E162" s="256" t="s">
        <v>3464</v>
      </c>
      <c r="F162" s="256" t="s">
        <v>3465</v>
      </c>
      <c r="G162" s="256" t="s">
        <v>3466</v>
      </c>
      <c r="H162" s="256" t="s">
        <v>3468</v>
      </c>
      <c r="I162" s="388" t="s">
        <v>3470</v>
      </c>
      <c r="J162" s="256" t="s">
        <v>3472</v>
      </c>
      <c r="K162" s="354" t="s">
        <v>3475</v>
      </c>
      <c r="L162" s="352"/>
      <c r="M162" s="329">
        <v>46230.8816881713</v>
      </c>
      <c r="N162" s="256"/>
      <c r="O162" s="256" t="b">
        <v>0</v>
      </c>
      <c r="P162" s="392"/>
      <c r="Q162" s="392"/>
      <c r="R162" s="393"/>
      <c r="S162" s="393"/>
    </row>
    <row r="163" ht="20.25" customHeight="1">
      <c r="A163" s="389" t="s">
        <v>410</v>
      </c>
      <c r="B163" s="256" t="s">
        <v>53</v>
      </c>
      <c r="C163" s="256" t="s">
        <v>1451</v>
      </c>
      <c r="D163" s="339">
        <v>46043.0</v>
      </c>
      <c r="E163" s="256" t="s">
        <v>3484</v>
      </c>
      <c r="F163" s="256" t="s">
        <v>3486</v>
      </c>
      <c r="G163" s="256" t="s">
        <v>3487</v>
      </c>
      <c r="H163" s="256" t="s">
        <v>3489</v>
      </c>
      <c r="I163" s="259" t="s">
        <v>69</v>
      </c>
      <c r="J163" s="256" t="s">
        <v>3491</v>
      </c>
      <c r="K163" s="354" t="s">
        <v>3492</v>
      </c>
      <c r="L163" s="383"/>
      <c r="M163" s="376">
        <v>46078.80561177083</v>
      </c>
      <c r="N163" s="258"/>
      <c r="O163" s="256" t="b">
        <v>0</v>
      </c>
      <c r="P163" s="260"/>
      <c r="Q163" s="392"/>
      <c r="R163" s="393"/>
      <c r="S163" s="393"/>
    </row>
    <row r="164" ht="20.25" customHeight="1">
      <c r="A164" s="389" t="s">
        <v>22</v>
      </c>
      <c r="B164" s="256" t="s">
        <v>19</v>
      </c>
      <c r="C164" s="256" t="s">
        <v>1410</v>
      </c>
      <c r="D164" s="339">
        <v>46049.0</v>
      </c>
      <c r="E164" s="256" t="s">
        <v>3499</v>
      </c>
      <c r="F164" s="256" t="s">
        <v>3500</v>
      </c>
      <c r="G164" s="256" t="s">
        <v>3501</v>
      </c>
      <c r="H164" s="256" t="s">
        <v>3502</v>
      </c>
      <c r="I164" s="388" t="s">
        <v>340</v>
      </c>
      <c r="J164" s="256" t="s">
        <v>3504</v>
      </c>
      <c r="K164" s="354" t="s">
        <v>3505</v>
      </c>
      <c r="L164" s="352"/>
      <c r="M164" s="329"/>
      <c r="N164" s="256"/>
      <c r="O164" s="256" t="b">
        <v>0</v>
      </c>
      <c r="P164" s="392"/>
      <c r="Q164" s="392"/>
      <c r="R164" s="393"/>
      <c r="S164" s="393"/>
    </row>
    <row r="165" ht="20.25" customHeight="1">
      <c r="A165" s="375" t="s">
        <v>62</v>
      </c>
      <c r="B165" s="354" t="s">
        <v>23</v>
      </c>
      <c r="C165" s="256" t="s">
        <v>1451</v>
      </c>
      <c r="D165" s="257">
        <v>46066.0</v>
      </c>
      <c r="E165" s="354" t="s">
        <v>3511</v>
      </c>
      <c r="F165" s="354" t="s">
        <v>3512</v>
      </c>
      <c r="G165" s="354" t="s">
        <v>3513</v>
      </c>
      <c r="H165" s="354" t="s">
        <v>3515</v>
      </c>
      <c r="I165" s="373" t="str">
        <f>HYPERLINK("https://calendar.google.com/calendar/u/0/r/eventedit/MXBxcTNwanZzc2hsMnQyZTAxbnVkNDdicjAgYzM5ZjIxNjY2YTJjNzBkNjQ0MDI0YmQyOWM3ZmM5ODM3OTY2MmY3OTJlNWEwNDdjZGIzNTdhNDJiM2M1N2QwNEBn?pli=1", "Fri 10:00 PM")
</f>
        <v>Fri 10:00 PM</v>
      </c>
      <c r="J165" s="354" t="s">
        <v>3522</v>
      </c>
      <c r="K165" s="380" t="s">
        <v>3523</v>
      </c>
      <c r="L165" s="344"/>
      <c r="M165" s="394">
        <v>46076.831717905094</v>
      </c>
      <c r="N165" s="395"/>
      <c r="O165" s="341" t="b">
        <v>0</v>
      </c>
      <c r="P165" s="396"/>
      <c r="Q165" s="260"/>
      <c r="R165" s="262"/>
      <c r="S165" s="262"/>
    </row>
    <row r="166" ht="20.25" customHeight="1">
      <c r="A166" s="389" t="s">
        <v>62</v>
      </c>
      <c r="B166" s="256" t="s">
        <v>23</v>
      </c>
      <c r="C166" s="256" t="s">
        <v>1527</v>
      </c>
      <c r="D166" s="257">
        <v>46065.0</v>
      </c>
      <c r="E166" s="256" t="s">
        <v>3534</v>
      </c>
      <c r="F166" s="256" t="s">
        <v>3535</v>
      </c>
      <c r="G166" s="256" t="s">
        <v>3536</v>
      </c>
      <c r="H166" s="256"/>
      <c r="I166" s="343" t="str">
        <f>HYPERLINK("https://calendar.google.com/calendar/u/0/r/eventedit/Mjg3YmdudWNtZjc4NHA0NnE0c29maXNmZGogYzM5ZjIxNjY2YTJjNzBkNjQ0MDI0YmQyOWM3ZmM5ODM3OTY2MmY3OTJlNWEwNDdjZGIzNTdhNDJiM2M1N2QwNEBn?pli=1", "Mon 10:00 PM")
</f>
        <v>Mon 10:00 PM</v>
      </c>
      <c r="J166" s="256" t="s">
        <v>3542</v>
      </c>
      <c r="K166" s="354" t="s">
        <v>3543</v>
      </c>
      <c r="L166" s="351"/>
      <c r="M166" s="376">
        <v>46069.94221329861</v>
      </c>
      <c r="N166" s="261"/>
      <c r="O166" s="256" t="b">
        <v>0</v>
      </c>
      <c r="P166" s="260"/>
      <c r="Q166" s="260"/>
      <c r="R166" s="262"/>
      <c r="S166" s="262"/>
    </row>
    <row r="167" ht="20.25" customHeight="1">
      <c r="A167" s="389" t="s">
        <v>410</v>
      </c>
      <c r="B167" s="256" t="s">
        <v>19</v>
      </c>
      <c r="C167" s="256" t="s">
        <v>1451</v>
      </c>
      <c r="D167" s="339">
        <v>45840.0</v>
      </c>
      <c r="E167" s="256" t="s">
        <v>3547</v>
      </c>
      <c r="F167" s="256" t="s">
        <v>3548</v>
      </c>
      <c r="G167" s="256" t="s">
        <v>3549</v>
      </c>
      <c r="H167" s="256" t="s">
        <v>3551</v>
      </c>
      <c r="I167" s="386" t="s">
        <v>581</v>
      </c>
      <c r="J167" s="256" t="s">
        <v>3552</v>
      </c>
      <c r="K167" s="354" t="s">
        <v>3556</v>
      </c>
      <c r="L167" s="351"/>
      <c r="M167" s="376"/>
      <c r="N167" s="261"/>
      <c r="O167" s="256" t="b">
        <v>0</v>
      </c>
      <c r="P167" s="260"/>
      <c r="Q167" s="260"/>
      <c r="R167" s="262"/>
      <c r="S167" s="262"/>
    </row>
    <row r="168" ht="20.25" customHeight="1">
      <c r="A168" s="389" t="s">
        <v>2992</v>
      </c>
      <c r="B168" s="256" t="s">
        <v>53</v>
      </c>
      <c r="C168" s="256" t="s">
        <v>1451</v>
      </c>
      <c r="D168" s="339">
        <v>45971.0</v>
      </c>
      <c r="E168" s="256" t="s">
        <v>3319</v>
      </c>
      <c r="F168" s="256" t="s">
        <v>3320</v>
      </c>
      <c r="G168" s="256" t="s">
        <v>426</v>
      </c>
      <c r="H168" s="256" t="s">
        <v>3321</v>
      </c>
      <c r="I168" s="386" t="s">
        <v>684</v>
      </c>
      <c r="J168" s="256" t="s">
        <v>3322</v>
      </c>
      <c r="K168" s="354" t="s">
        <v>3566</v>
      </c>
      <c r="L168" s="351"/>
      <c r="M168" s="376"/>
      <c r="N168" s="263" t="s">
        <v>3023</v>
      </c>
      <c r="O168" s="256" t="b">
        <v>0</v>
      </c>
      <c r="P168" s="260"/>
      <c r="Q168" s="260"/>
      <c r="R168" s="262"/>
      <c r="S168" s="262"/>
    </row>
    <row r="169" ht="20.25" customHeight="1">
      <c r="A169" s="389" t="s">
        <v>22</v>
      </c>
      <c r="B169" s="256" t="s">
        <v>19</v>
      </c>
      <c r="C169" s="256" t="s">
        <v>1451</v>
      </c>
      <c r="D169" s="339">
        <v>46071.0</v>
      </c>
      <c r="E169" s="256" t="s">
        <v>3572</v>
      </c>
      <c r="F169" s="256" t="s">
        <v>3573</v>
      </c>
      <c r="G169" s="256" t="s">
        <v>3575</v>
      </c>
      <c r="H169" s="256" t="s">
        <v>3576</v>
      </c>
      <c r="I169" s="386" t="s">
        <v>3578</v>
      </c>
      <c r="J169" s="256" t="s">
        <v>3581</v>
      </c>
      <c r="K169" s="354" t="s">
        <v>3583</v>
      </c>
      <c r="L169" s="351"/>
      <c r="M169" s="397">
        <v>46084.82699954861</v>
      </c>
      <c r="N169" s="263"/>
      <c r="O169" s="256" t="b">
        <v>0</v>
      </c>
      <c r="P169" s="260"/>
      <c r="Q169" s="260"/>
      <c r="R169" s="262"/>
      <c r="S169" s="262"/>
    </row>
    <row r="170" ht="20.25" customHeight="1">
      <c r="A170" s="389" t="s">
        <v>22</v>
      </c>
      <c r="B170" s="256" t="s">
        <v>19</v>
      </c>
      <c r="C170" s="256" t="s">
        <v>1451</v>
      </c>
      <c r="D170" s="339">
        <v>46080.0</v>
      </c>
      <c r="E170" s="256" t="s">
        <v>3593</v>
      </c>
      <c r="F170" s="256" t="s">
        <v>3594</v>
      </c>
      <c r="G170" s="256" t="s">
        <v>3595</v>
      </c>
      <c r="H170" s="256" t="s">
        <v>3596</v>
      </c>
      <c r="I170" s="386" t="s">
        <v>3597</v>
      </c>
      <c r="J170" s="256" t="s">
        <v>3598</v>
      </c>
      <c r="K170" s="354"/>
      <c r="L170" s="351"/>
      <c r="M170" s="397"/>
      <c r="N170" s="263"/>
      <c r="O170" s="256" t="b">
        <v>0</v>
      </c>
      <c r="P170" s="260"/>
      <c r="Q170" s="260"/>
      <c r="R170" s="262"/>
      <c r="S170" s="262"/>
    </row>
    <row r="171" ht="20.25" customHeight="1">
      <c r="A171" s="389" t="s">
        <v>22</v>
      </c>
      <c r="B171" s="256" t="s">
        <v>53</v>
      </c>
      <c r="C171" s="256" t="s">
        <v>1410</v>
      </c>
      <c r="D171" s="339">
        <v>45889.0</v>
      </c>
      <c r="E171" s="256" t="s">
        <v>3602</v>
      </c>
      <c r="F171" s="256" t="s">
        <v>3603</v>
      </c>
      <c r="G171" s="256" t="s">
        <v>3605</v>
      </c>
      <c r="H171" s="256" t="s">
        <v>3606</v>
      </c>
      <c r="I171" s="386" t="s">
        <v>2998</v>
      </c>
      <c r="J171" s="256" t="s">
        <v>3607</v>
      </c>
      <c r="K171" s="354" t="s">
        <v>3608</v>
      </c>
      <c r="L171" s="351"/>
      <c r="M171" s="397">
        <v>46084.83998826389</v>
      </c>
      <c r="N171" s="263"/>
      <c r="O171" s="256" t="b">
        <v>0</v>
      </c>
      <c r="P171" s="260"/>
      <c r="Q171" s="260"/>
      <c r="R171" s="262"/>
      <c r="S171" s="262"/>
    </row>
    <row r="172" ht="20.25" customHeight="1">
      <c r="A172" s="375" t="s">
        <v>62</v>
      </c>
      <c r="B172" s="354" t="s">
        <v>23</v>
      </c>
      <c r="C172" s="256" t="s">
        <v>3021</v>
      </c>
      <c r="D172" s="257">
        <v>46076.0</v>
      </c>
      <c r="E172" s="354" t="s">
        <v>3614</v>
      </c>
      <c r="F172" s="354" t="s">
        <v>3616</v>
      </c>
      <c r="G172" s="354" t="s">
        <v>3617</v>
      </c>
      <c r="H172" s="354" t="s">
        <v>3618</v>
      </c>
      <c r="I172" s="373" t="str">
        <f>HYPERLINK("https://calendar.google.com/calendar/u/0/r/eventedit/M2JobTRyOTJyY2Rvbzg1ZWh2c2NzbGhhYjYgYzM5ZjIxNjY2YTJjNzBkNjQ0MDI0YmQyOWM3ZmM5ODM3OTY2MmY3OTJlNWEwNDdjZGIzNTdhNDJiM2M1N2QwNEBn?pli=1", "Fri 9:00 PM")
</f>
        <v>Fri 9:00 PM</v>
      </c>
      <c r="J172" s="354" t="s">
        <v>3622</v>
      </c>
      <c r="K172" s="374"/>
      <c r="L172" s="344"/>
      <c r="M172" s="399"/>
      <c r="N172" s="395"/>
      <c r="O172" s="341" t="b">
        <v>0</v>
      </c>
      <c r="P172" s="396"/>
      <c r="Q172" s="396"/>
      <c r="R172" s="400"/>
      <c r="S172" s="400"/>
    </row>
    <row r="173" ht="20.25" customHeight="1">
      <c r="A173" s="375" t="s">
        <v>62</v>
      </c>
      <c r="B173" s="354" t="s">
        <v>225</v>
      </c>
      <c r="C173" s="256" t="s">
        <v>1451</v>
      </c>
      <c r="D173" s="339">
        <v>46059.0</v>
      </c>
      <c r="E173" s="354" t="s">
        <v>3639</v>
      </c>
      <c r="F173" s="354" t="s">
        <v>3640</v>
      </c>
      <c r="G173" s="354" t="s">
        <v>3641</v>
      </c>
      <c r="H173" s="354" t="s">
        <v>3642</v>
      </c>
      <c r="I173" s="377" t="s">
        <v>3643</v>
      </c>
      <c r="J173" s="354" t="s">
        <v>3646</v>
      </c>
      <c r="K173" s="380" t="s">
        <v>3648</v>
      </c>
      <c r="L173" s="344"/>
      <c r="M173" s="401">
        <v>46059.95002040509</v>
      </c>
      <c r="N173" s="395"/>
      <c r="O173" s="354" t="b">
        <v>0</v>
      </c>
      <c r="P173" s="396"/>
      <c r="Q173" s="396"/>
      <c r="R173" s="400"/>
      <c r="S173" s="400"/>
    </row>
    <row r="174" ht="20.25" customHeight="1">
      <c r="A174" s="375" t="s">
        <v>135</v>
      </c>
      <c r="B174" s="354" t="s">
        <v>225</v>
      </c>
      <c r="C174" s="256" t="s">
        <v>1451</v>
      </c>
      <c r="D174" s="339">
        <v>46055.0</v>
      </c>
      <c r="E174" s="354" t="s">
        <v>3662</v>
      </c>
      <c r="F174" s="354" t="s">
        <v>3664</v>
      </c>
      <c r="G174" s="354" t="s">
        <v>3665</v>
      </c>
      <c r="H174" s="354" t="s">
        <v>3668</v>
      </c>
      <c r="I174" s="377" t="s">
        <v>980</v>
      </c>
      <c r="J174" s="354" t="s">
        <v>3670</v>
      </c>
      <c r="K174" s="380" t="s">
        <v>3671</v>
      </c>
      <c r="L174" s="344"/>
      <c r="M174" s="401">
        <v>46078.96325961806</v>
      </c>
      <c r="N174" s="395"/>
      <c r="O174" s="354" t="b">
        <v>0</v>
      </c>
      <c r="P174" s="396"/>
      <c r="Q174" s="396"/>
      <c r="R174" s="400"/>
      <c r="S174" s="400"/>
    </row>
    <row r="175" ht="20.25" customHeight="1">
      <c r="A175" s="375" t="s">
        <v>17</v>
      </c>
      <c r="B175" s="354" t="s">
        <v>225</v>
      </c>
      <c r="C175" s="256" t="s">
        <v>1451</v>
      </c>
      <c r="D175" s="339">
        <v>46037.0</v>
      </c>
      <c r="E175" s="354" t="s">
        <v>3676</v>
      </c>
      <c r="F175" s="354" t="s">
        <v>3678</v>
      </c>
      <c r="G175" s="354" t="s">
        <v>3679</v>
      </c>
      <c r="H175" s="354" t="s">
        <v>3680</v>
      </c>
      <c r="I175" s="377" t="s">
        <v>3681</v>
      </c>
      <c r="J175" s="354" t="s">
        <v>3682</v>
      </c>
      <c r="K175" s="380" t="s">
        <v>3684</v>
      </c>
      <c r="L175" s="344"/>
      <c r="M175" s="401"/>
      <c r="N175" s="395"/>
      <c r="O175" s="354" t="b">
        <v>0</v>
      </c>
      <c r="P175" s="396"/>
      <c r="Q175" s="396"/>
      <c r="R175" s="400"/>
      <c r="S175" s="400"/>
    </row>
    <row r="176" ht="20.25" customHeight="1">
      <c r="A176" s="375" t="s">
        <v>62</v>
      </c>
      <c r="B176" s="354" t="s">
        <v>225</v>
      </c>
      <c r="C176" s="256" t="s">
        <v>1451</v>
      </c>
      <c r="D176" s="339">
        <v>46076.0</v>
      </c>
      <c r="E176" s="354" t="s">
        <v>3689</v>
      </c>
      <c r="F176" s="354" t="s">
        <v>3690</v>
      </c>
      <c r="G176" s="354" t="s">
        <v>3691</v>
      </c>
      <c r="H176" s="354" t="s">
        <v>3692</v>
      </c>
      <c r="I176" s="377" t="s">
        <v>1760</v>
      </c>
      <c r="J176" s="354" t="s">
        <v>3694</v>
      </c>
      <c r="K176" s="380" t="s">
        <v>3695</v>
      </c>
      <c r="L176" s="344"/>
      <c r="M176" s="401">
        <v>46083.881574942134</v>
      </c>
      <c r="N176" s="395"/>
      <c r="O176" s="354" t="b">
        <v>0</v>
      </c>
      <c r="P176" s="396"/>
      <c r="Q176" s="396"/>
      <c r="R176" s="400"/>
      <c r="S176" s="400"/>
    </row>
    <row r="177" ht="20.25" customHeight="1">
      <c r="A177" s="375" t="s">
        <v>62</v>
      </c>
      <c r="B177" s="354" t="s">
        <v>225</v>
      </c>
      <c r="C177" s="256" t="s">
        <v>1451</v>
      </c>
      <c r="D177" s="339">
        <v>46058.0</v>
      </c>
      <c r="E177" s="354" t="s">
        <v>3701</v>
      </c>
      <c r="F177" s="354" t="s">
        <v>3702</v>
      </c>
      <c r="G177" s="354" t="s">
        <v>3703</v>
      </c>
      <c r="H177" s="354" t="s">
        <v>3705</v>
      </c>
      <c r="I177" s="377" t="s">
        <v>3707</v>
      </c>
      <c r="J177" s="354" t="s">
        <v>3709</v>
      </c>
      <c r="K177" s="380" t="s">
        <v>3710</v>
      </c>
      <c r="L177" s="344"/>
      <c r="M177" s="401">
        <v>46064.899623749996</v>
      </c>
      <c r="N177" s="395"/>
      <c r="O177" s="354" t="b">
        <v>0</v>
      </c>
      <c r="P177" s="396"/>
      <c r="Q177" s="396"/>
      <c r="R177" s="400"/>
      <c r="S177" s="400"/>
    </row>
    <row r="178" ht="20.25" customHeight="1">
      <c r="A178" s="375" t="s">
        <v>17</v>
      </c>
      <c r="B178" s="354" t="s">
        <v>53</v>
      </c>
      <c r="C178" s="256" t="s">
        <v>1451</v>
      </c>
      <c r="D178" s="339">
        <v>45985.0</v>
      </c>
      <c r="E178" s="354" t="s">
        <v>3713</v>
      </c>
      <c r="F178" s="354" t="s">
        <v>3714</v>
      </c>
      <c r="G178" s="354" t="s">
        <v>3715</v>
      </c>
      <c r="H178" s="354" t="s">
        <v>3716</v>
      </c>
      <c r="I178" s="377" t="s">
        <v>282</v>
      </c>
      <c r="J178" s="354" t="s">
        <v>3718</v>
      </c>
      <c r="K178" s="380" t="s">
        <v>3719</v>
      </c>
      <c r="L178" s="344"/>
      <c r="M178" s="401">
        <v>46084.96239836805</v>
      </c>
      <c r="N178" s="395"/>
      <c r="O178" s="354" t="b">
        <v>0</v>
      </c>
      <c r="P178" s="396"/>
      <c r="Q178" s="396"/>
      <c r="R178" s="400"/>
      <c r="S178" s="400"/>
    </row>
    <row r="179" ht="20.25" customHeight="1">
      <c r="A179" s="256" t="s">
        <v>18</v>
      </c>
      <c r="B179" s="256" t="s">
        <v>53</v>
      </c>
      <c r="C179" s="256" t="s">
        <v>1451</v>
      </c>
      <c r="D179" s="339">
        <v>45992.0</v>
      </c>
      <c r="E179" s="256" t="s">
        <v>3454</v>
      </c>
      <c r="F179" s="256" t="s">
        <v>3455</v>
      </c>
      <c r="G179" s="256" t="s">
        <v>3456</v>
      </c>
      <c r="H179" s="256" t="s">
        <v>3458</v>
      </c>
      <c r="I179" s="259" t="s">
        <v>3359</v>
      </c>
      <c r="J179" s="256" t="s">
        <v>3459</v>
      </c>
      <c r="K179" s="354" t="s">
        <v>3730</v>
      </c>
      <c r="L179" s="376"/>
      <c r="M179" s="376">
        <v>46084.885717627316</v>
      </c>
      <c r="N179" s="263"/>
      <c r="O179" s="256" t="b">
        <v>0</v>
      </c>
      <c r="P179" s="260"/>
      <c r="Q179" s="392"/>
      <c r="R179" s="393"/>
      <c r="S179" s="393"/>
    </row>
    <row r="180" ht="20.25" customHeight="1">
      <c r="A180" s="256" t="s">
        <v>410</v>
      </c>
      <c r="B180" s="256" t="s">
        <v>19</v>
      </c>
      <c r="C180" s="256" t="s">
        <v>1451</v>
      </c>
      <c r="D180" s="339">
        <v>45972.0</v>
      </c>
      <c r="E180" s="256" t="s">
        <v>3331</v>
      </c>
      <c r="F180" s="256" t="s">
        <v>3332</v>
      </c>
      <c r="G180" s="256" t="s">
        <v>3333</v>
      </c>
      <c r="H180" s="256" t="s">
        <v>3335</v>
      </c>
      <c r="I180" s="259" t="s">
        <v>973</v>
      </c>
      <c r="J180" s="256" t="s">
        <v>3336</v>
      </c>
      <c r="K180" s="354" t="s">
        <v>3741</v>
      </c>
      <c r="L180" s="376"/>
      <c r="M180" s="397">
        <v>46085.864904525464</v>
      </c>
      <c r="N180" s="263"/>
      <c r="O180" s="256" t="b">
        <v>0</v>
      </c>
      <c r="P180" s="260"/>
      <c r="Q180" s="392"/>
      <c r="R180" s="393"/>
      <c r="S180" s="393"/>
    </row>
    <row r="181" ht="20.25" customHeight="1">
      <c r="A181" s="256" t="s">
        <v>18</v>
      </c>
      <c r="B181" s="256" t="s">
        <v>53</v>
      </c>
      <c r="C181" s="256" t="s">
        <v>1451</v>
      </c>
      <c r="D181" s="339">
        <v>45971.0</v>
      </c>
      <c r="E181" s="256" t="s">
        <v>3310</v>
      </c>
      <c r="F181" s="256" t="s">
        <v>3312</v>
      </c>
      <c r="G181" s="256" t="s">
        <v>3313</v>
      </c>
      <c r="H181" s="256" t="s">
        <v>3314</v>
      </c>
      <c r="I181" s="259" t="s">
        <v>1478</v>
      </c>
      <c r="J181" s="256" t="s">
        <v>3315</v>
      </c>
      <c r="K181" s="354" t="s">
        <v>3755</v>
      </c>
      <c r="L181" s="376"/>
      <c r="M181" s="397"/>
      <c r="N181" s="263"/>
      <c r="O181" s="256" t="b">
        <v>0</v>
      </c>
      <c r="P181" s="260"/>
      <c r="Q181" s="392"/>
      <c r="R181" s="393"/>
      <c r="S181" s="393"/>
    </row>
    <row r="182" ht="20.25" customHeight="1">
      <c r="A182" s="256" t="s">
        <v>17</v>
      </c>
      <c r="B182" s="256" t="s">
        <v>53</v>
      </c>
      <c r="C182" s="256" t="s">
        <v>1451</v>
      </c>
      <c r="D182" s="339">
        <v>46050.0</v>
      </c>
      <c r="E182" s="256" t="s">
        <v>3746</v>
      </c>
      <c r="F182" s="256" t="s">
        <v>3747</v>
      </c>
      <c r="G182" s="256" t="s">
        <v>3748</v>
      </c>
      <c r="H182" s="256" t="s">
        <v>3749</v>
      </c>
      <c r="I182" s="259" t="s">
        <v>1119</v>
      </c>
      <c r="J182" s="256" t="s">
        <v>3750</v>
      </c>
      <c r="K182" s="354" t="s">
        <v>3768</v>
      </c>
      <c r="L182" s="376"/>
      <c r="M182" s="397"/>
      <c r="N182" s="263"/>
      <c r="O182" s="256" t="b">
        <v>0</v>
      </c>
      <c r="P182" s="260"/>
      <c r="Q182" s="392"/>
      <c r="R182" s="393"/>
      <c r="S182" s="393"/>
    </row>
    <row r="183" ht="20.25" customHeight="1">
      <c r="A183" s="256" t="s">
        <v>22</v>
      </c>
      <c r="B183" s="256" t="s">
        <v>53</v>
      </c>
      <c r="C183" s="256" t="s">
        <v>1451</v>
      </c>
      <c r="D183" s="339">
        <v>45887.0</v>
      </c>
      <c r="E183" s="256" t="s">
        <v>3778</v>
      </c>
      <c r="F183" s="256" t="s">
        <v>3779</v>
      </c>
      <c r="G183" s="256" t="s">
        <v>3781</v>
      </c>
      <c r="H183" s="256" t="s">
        <v>3782</v>
      </c>
      <c r="I183" s="259" t="s">
        <v>3783</v>
      </c>
      <c r="J183" s="256" t="s">
        <v>3785</v>
      </c>
      <c r="K183" s="354" t="s">
        <v>3786</v>
      </c>
      <c r="L183" s="376"/>
      <c r="M183" s="397"/>
      <c r="N183" s="263"/>
      <c r="O183" s="256" t="b">
        <v>0</v>
      </c>
      <c r="P183" s="260"/>
      <c r="Q183" s="392"/>
      <c r="R183" s="393"/>
      <c r="S183" s="393"/>
    </row>
    <row r="184" ht="20.25" customHeight="1">
      <c r="A184" s="256" t="s">
        <v>22</v>
      </c>
      <c r="B184" s="256" t="s">
        <v>23</v>
      </c>
      <c r="C184" s="256" t="s">
        <v>1451</v>
      </c>
      <c r="D184" s="339">
        <v>45904.0</v>
      </c>
      <c r="E184" s="256" t="s">
        <v>3791</v>
      </c>
      <c r="F184" s="256" t="s">
        <v>3792</v>
      </c>
      <c r="G184" s="256" t="s">
        <v>3794</v>
      </c>
      <c r="H184" s="256" t="s">
        <v>3796</v>
      </c>
      <c r="I184" s="259" t="s">
        <v>3209</v>
      </c>
      <c r="J184" s="256" t="s">
        <v>3800</v>
      </c>
      <c r="K184" s="354" t="s">
        <v>3802</v>
      </c>
      <c r="L184" s="376"/>
      <c r="M184" s="397">
        <v>46058.78767539352</v>
      </c>
      <c r="N184" s="263"/>
      <c r="O184" s="256" t="b">
        <v>0</v>
      </c>
      <c r="P184" s="260"/>
      <c r="Q184" s="392"/>
      <c r="R184" s="393"/>
      <c r="S184" s="393"/>
    </row>
    <row r="185" ht="20.25" customHeight="1">
      <c r="A185" s="256" t="s">
        <v>17</v>
      </c>
      <c r="B185" s="256" t="s">
        <v>53</v>
      </c>
      <c r="C185" s="256" t="s">
        <v>1451</v>
      </c>
      <c r="D185" s="339">
        <v>46036.0</v>
      </c>
      <c r="E185" s="256" t="s">
        <v>3623</v>
      </c>
      <c r="F185" s="256" t="s">
        <v>3625</v>
      </c>
      <c r="G185" s="256" t="s">
        <v>3808</v>
      </c>
      <c r="H185" s="256" t="s">
        <v>3627</v>
      </c>
      <c r="I185" s="259" t="s">
        <v>401</v>
      </c>
      <c r="J185" s="256" t="s">
        <v>3629</v>
      </c>
      <c r="K185" s="354" t="s">
        <v>3810</v>
      </c>
      <c r="L185" s="376"/>
      <c r="M185" s="397">
        <v>46078.95922236111</v>
      </c>
      <c r="N185" s="263"/>
      <c r="O185" s="256" t="b">
        <v>0</v>
      </c>
      <c r="P185" s="260"/>
      <c r="Q185" s="392"/>
      <c r="R185" s="393"/>
      <c r="S185" s="393"/>
    </row>
    <row r="186" ht="20.25" customHeight="1">
      <c r="A186" s="256" t="s">
        <v>17</v>
      </c>
      <c r="B186" s="256" t="s">
        <v>53</v>
      </c>
      <c r="C186" s="256" t="s">
        <v>1451</v>
      </c>
      <c r="D186" s="339">
        <v>46058.0</v>
      </c>
      <c r="E186" s="256" t="s">
        <v>3816</v>
      </c>
      <c r="F186" s="256" t="s">
        <v>3817</v>
      </c>
      <c r="G186" s="256" t="s">
        <v>3819</v>
      </c>
      <c r="H186" s="256" t="s">
        <v>3820</v>
      </c>
      <c r="I186" s="259" t="s">
        <v>581</v>
      </c>
      <c r="J186" s="256" t="s">
        <v>3822</v>
      </c>
      <c r="K186" s="354" t="s">
        <v>3824</v>
      </c>
      <c r="L186" s="376"/>
      <c r="M186" s="397">
        <v>46086.87137724537</v>
      </c>
      <c r="N186" s="263"/>
      <c r="O186" s="256" t="b">
        <v>0</v>
      </c>
      <c r="P186" s="260"/>
      <c r="Q186" s="392"/>
      <c r="R186" s="393"/>
      <c r="S186" s="393"/>
    </row>
    <row r="187" ht="20.25" customHeight="1">
      <c r="A187" s="256" t="s">
        <v>22</v>
      </c>
      <c r="B187" s="256" t="s">
        <v>23</v>
      </c>
      <c r="C187" s="256" t="s">
        <v>1451</v>
      </c>
      <c r="D187" s="339">
        <v>45896.0</v>
      </c>
      <c r="E187" s="256" t="s">
        <v>3828</v>
      </c>
      <c r="F187" s="256" t="s">
        <v>3830</v>
      </c>
      <c r="G187" s="256" t="s">
        <v>3833</v>
      </c>
      <c r="H187" s="256" t="s">
        <v>3834</v>
      </c>
      <c r="I187" s="259" t="s">
        <v>3835</v>
      </c>
      <c r="J187" s="256" t="s">
        <v>3836</v>
      </c>
      <c r="K187" s="354" t="s">
        <v>3837</v>
      </c>
      <c r="L187" s="376"/>
      <c r="M187" s="397"/>
      <c r="N187" s="263" t="s">
        <v>3839</v>
      </c>
      <c r="O187" s="256" t="b">
        <v>0</v>
      </c>
      <c r="P187" s="260"/>
      <c r="Q187" s="392"/>
      <c r="R187" s="393"/>
      <c r="S187" s="393"/>
    </row>
    <row r="188" ht="20.25" customHeight="1">
      <c r="A188" s="256" t="s">
        <v>410</v>
      </c>
      <c r="B188" s="256" t="s">
        <v>23</v>
      </c>
      <c r="C188" s="256" t="s">
        <v>1451</v>
      </c>
      <c r="D188" s="339">
        <v>45887.0</v>
      </c>
      <c r="E188" s="256" t="s">
        <v>3843</v>
      </c>
      <c r="F188" s="256" t="s">
        <v>3844</v>
      </c>
      <c r="G188" s="256" t="s">
        <v>3845</v>
      </c>
      <c r="H188" s="256" t="s">
        <v>3846</v>
      </c>
      <c r="I188" s="259" t="s">
        <v>3847</v>
      </c>
      <c r="J188" s="256" t="s">
        <v>3849</v>
      </c>
      <c r="K188" s="354" t="s">
        <v>3850</v>
      </c>
      <c r="L188" s="354" t="s">
        <v>3851</v>
      </c>
      <c r="M188" s="397">
        <v>46086.915437118056</v>
      </c>
      <c r="N188" s="263"/>
      <c r="O188" s="256" t="b">
        <v>0</v>
      </c>
      <c r="P188" s="260"/>
      <c r="Q188" s="392"/>
      <c r="R188" s="393"/>
      <c r="S188" s="393"/>
    </row>
    <row r="189" ht="20.25" customHeight="1">
      <c r="A189" s="256" t="s">
        <v>17</v>
      </c>
      <c r="B189" s="256" t="s">
        <v>225</v>
      </c>
      <c r="C189" s="256" t="s">
        <v>1451</v>
      </c>
      <c r="D189" s="339">
        <v>46083.0</v>
      </c>
      <c r="E189" s="256" t="s">
        <v>3856</v>
      </c>
      <c r="F189" s="256" t="s">
        <v>3857</v>
      </c>
      <c r="G189" s="256" t="s">
        <v>3859</v>
      </c>
      <c r="H189" s="256" t="s">
        <v>3860</v>
      </c>
      <c r="I189" s="259" t="s">
        <v>686</v>
      </c>
      <c r="J189" s="256" t="s">
        <v>3861</v>
      </c>
      <c r="K189" s="354" t="s">
        <v>3862</v>
      </c>
      <c r="L189" s="376"/>
      <c r="M189" s="397">
        <v>46091.805811238424</v>
      </c>
      <c r="N189" s="263"/>
      <c r="O189" s="256" t="b">
        <v>0</v>
      </c>
      <c r="P189" s="260"/>
      <c r="Q189" s="392"/>
      <c r="R189" s="393"/>
      <c r="S189" s="393"/>
    </row>
    <row r="190" ht="20.25" customHeight="1">
      <c r="A190" s="256" t="s">
        <v>17</v>
      </c>
      <c r="B190" s="256" t="s">
        <v>19</v>
      </c>
      <c r="C190" s="256" t="s">
        <v>1451</v>
      </c>
      <c r="D190" s="339">
        <v>46100.0</v>
      </c>
      <c r="E190" s="256" t="s">
        <v>3873</v>
      </c>
      <c r="F190" s="256" t="s">
        <v>3874</v>
      </c>
      <c r="G190" s="256" t="s">
        <v>3875</v>
      </c>
      <c r="H190" s="256" t="s">
        <v>3877</v>
      </c>
      <c r="I190" s="259" t="s">
        <v>3878</v>
      </c>
      <c r="J190" s="256" t="s">
        <v>3879</v>
      </c>
      <c r="K190" s="354"/>
      <c r="L190" s="376"/>
      <c r="M190" s="397"/>
      <c r="N190" s="263"/>
      <c r="O190" s="256" t="b">
        <v>0</v>
      </c>
      <c r="P190" s="260"/>
      <c r="Q190" s="392"/>
      <c r="R190" s="393"/>
      <c r="S190" s="393"/>
    </row>
    <row r="191" ht="20.25" customHeight="1">
      <c r="A191" s="256" t="s">
        <v>22</v>
      </c>
      <c r="B191" s="256" t="s">
        <v>23</v>
      </c>
      <c r="C191" s="256" t="s">
        <v>1451</v>
      </c>
      <c r="D191" s="339">
        <v>46098.0</v>
      </c>
      <c r="E191" s="256" t="s">
        <v>3887</v>
      </c>
      <c r="F191" s="256" t="s">
        <v>3888</v>
      </c>
      <c r="G191" s="256" t="s">
        <v>3889</v>
      </c>
      <c r="H191" s="256" t="s">
        <v>3891</v>
      </c>
      <c r="I191" s="259" t="s">
        <v>3892</v>
      </c>
      <c r="J191" s="256" t="s">
        <v>3893</v>
      </c>
      <c r="K191" s="354" t="s">
        <v>3895</v>
      </c>
      <c r="L191" s="376"/>
      <c r="M191" s="397">
        <v>46105.93520317129</v>
      </c>
      <c r="N191" s="263"/>
      <c r="O191" s="256" t="b">
        <v>0</v>
      </c>
      <c r="P191" s="260"/>
      <c r="Q191" s="392"/>
      <c r="R191" s="393"/>
      <c r="S191" s="393"/>
    </row>
    <row r="192" ht="20.25" customHeight="1">
      <c r="A192" s="256" t="s">
        <v>2992</v>
      </c>
      <c r="B192" s="256" t="s">
        <v>19</v>
      </c>
      <c r="C192" s="256" t="s">
        <v>1410</v>
      </c>
      <c r="D192" s="339">
        <v>45978.0</v>
      </c>
      <c r="E192" s="256" t="s">
        <v>3352</v>
      </c>
      <c r="F192" s="256" t="s">
        <v>3353</v>
      </c>
      <c r="G192" s="256" t="s">
        <v>3355</v>
      </c>
      <c r="H192" s="256" t="s">
        <v>3356</v>
      </c>
      <c r="I192" s="259" t="s">
        <v>3359</v>
      </c>
      <c r="J192" s="256" t="s">
        <v>3360</v>
      </c>
      <c r="K192" s="354" t="s">
        <v>3902</v>
      </c>
      <c r="L192" s="376"/>
      <c r="M192" s="397">
        <v>46090.98028754629</v>
      </c>
      <c r="N192" s="263"/>
      <c r="O192" s="256" t="b">
        <v>0</v>
      </c>
      <c r="P192" s="260"/>
      <c r="Q192" s="392"/>
      <c r="R192" s="393"/>
      <c r="S192" s="393"/>
    </row>
    <row r="193" ht="20.25" customHeight="1">
      <c r="A193" s="256" t="s">
        <v>17</v>
      </c>
      <c r="B193" s="256" t="s">
        <v>225</v>
      </c>
      <c r="C193" s="256" t="s">
        <v>1451</v>
      </c>
      <c r="D193" s="339">
        <v>46108.0</v>
      </c>
      <c r="E193" s="256" t="s">
        <v>3910</v>
      </c>
      <c r="F193" s="256" t="s">
        <v>3912</v>
      </c>
      <c r="G193" s="256" t="s">
        <v>3913</v>
      </c>
      <c r="H193" s="256" t="s">
        <v>3914</v>
      </c>
      <c r="I193" s="259" t="s">
        <v>1508</v>
      </c>
      <c r="J193" s="256" t="s">
        <v>3917</v>
      </c>
      <c r="K193" s="354"/>
      <c r="L193" s="376"/>
      <c r="M193" s="397"/>
      <c r="N193" s="263"/>
      <c r="O193" s="256" t="b">
        <v>0</v>
      </c>
      <c r="P193" s="260"/>
      <c r="Q193" s="392"/>
      <c r="R193" s="393"/>
      <c r="S193" s="393"/>
    </row>
    <row r="194" ht="20.25" customHeight="1">
      <c r="A194" s="256" t="s">
        <v>22</v>
      </c>
      <c r="B194" s="256" t="s">
        <v>53</v>
      </c>
      <c r="C194" s="256" t="s">
        <v>1451</v>
      </c>
      <c r="D194" s="339">
        <v>46091.0</v>
      </c>
      <c r="E194" s="256" t="s">
        <v>3927</v>
      </c>
      <c r="F194" s="256" t="s">
        <v>3929</v>
      </c>
      <c r="G194" s="256" t="s">
        <v>3930</v>
      </c>
      <c r="H194" s="256" t="s">
        <v>3931</v>
      </c>
      <c r="I194" s="259" t="s">
        <v>3932</v>
      </c>
      <c r="J194" s="256" t="s">
        <v>3934</v>
      </c>
      <c r="K194" s="354" t="s">
        <v>3935</v>
      </c>
      <c r="L194" s="376"/>
      <c r="M194" s="397">
        <v>46112.89476188658</v>
      </c>
      <c r="N194" s="263"/>
      <c r="O194" s="256" t="b">
        <v>0</v>
      </c>
      <c r="P194" s="260"/>
      <c r="Q194" s="392"/>
      <c r="R194" s="393"/>
      <c r="S194" s="393"/>
    </row>
    <row r="195" ht="20.25" customHeight="1">
      <c r="A195" s="403" t="s">
        <v>22</v>
      </c>
      <c r="B195" s="374" t="s">
        <v>23</v>
      </c>
      <c r="C195" s="341" t="s">
        <v>1451</v>
      </c>
      <c r="D195" s="342">
        <v>46097.0</v>
      </c>
      <c r="E195" s="374" t="s">
        <v>3943</v>
      </c>
      <c r="F195" s="374" t="s">
        <v>3945</v>
      </c>
      <c r="G195" s="374" t="s">
        <v>3946</v>
      </c>
      <c r="H195" s="374" t="s">
        <v>3947</v>
      </c>
      <c r="I195" s="373" t="str">
        <f>HYPERLINK("https://calendar.google.com/calendar/u/0/r/eventedit/MnQyaDdoNmx1czgyZHI1aGZiMThpdDN2cWIgYzM5ZjIxNjY2YTJjNzBkNjQ0MDI0YmQyOWM3ZmM5ODM3OTY2MmY3OTJlNWEwNDdjZGIzNTdhNDJiM2M1N2QwNEBn?pli=1", "Fri 9:00 PM")
</f>
        <v>Fri 9:00 PM</v>
      </c>
      <c r="J195" s="374" t="s">
        <v>3952</v>
      </c>
      <c r="K195" s="348"/>
      <c r="L195" s="344"/>
      <c r="M195" s="404"/>
      <c r="N195" s="348"/>
      <c r="O195" s="341" t="b">
        <v>0</v>
      </c>
      <c r="P195" s="405"/>
      <c r="Q195" s="405"/>
      <c r="R195" s="406"/>
      <c r="S195" s="406"/>
    </row>
    <row r="196" ht="20.25" customHeight="1">
      <c r="A196" s="256" t="s">
        <v>17</v>
      </c>
      <c r="B196" s="256" t="s">
        <v>23</v>
      </c>
      <c r="C196" s="256" t="s">
        <v>1451</v>
      </c>
      <c r="D196" s="339">
        <v>46056.0</v>
      </c>
      <c r="E196" s="256" t="s">
        <v>3793</v>
      </c>
      <c r="F196" s="256" t="s">
        <v>3795</v>
      </c>
      <c r="G196" s="256" t="s">
        <v>3798</v>
      </c>
      <c r="H196" s="256" t="s">
        <v>3799</v>
      </c>
      <c r="I196" s="259" t="s">
        <v>1174</v>
      </c>
      <c r="J196" s="256" t="s">
        <v>3801</v>
      </c>
      <c r="K196" s="354" t="s">
        <v>3958</v>
      </c>
      <c r="L196" s="376"/>
      <c r="M196" s="397">
        <v>46114.67792744213</v>
      </c>
      <c r="N196" s="263"/>
      <c r="O196" s="256"/>
      <c r="P196" s="263"/>
      <c r="Q196" s="405"/>
      <c r="R196" s="406"/>
      <c r="S196" s="406"/>
    </row>
    <row r="197" ht="20.25" customHeight="1">
      <c r="A197" s="256" t="s">
        <v>17</v>
      </c>
      <c r="B197" s="256" t="s">
        <v>53</v>
      </c>
      <c r="C197" s="256" t="s">
        <v>1451</v>
      </c>
      <c r="D197" s="339">
        <v>46113.0</v>
      </c>
      <c r="E197" s="256" t="s">
        <v>3967</v>
      </c>
      <c r="F197" s="256" t="s">
        <v>3969</v>
      </c>
      <c r="G197" s="256" t="s">
        <v>3971</v>
      </c>
      <c r="H197" s="256" t="s">
        <v>3974</v>
      </c>
      <c r="I197" s="259" t="s">
        <v>3975</v>
      </c>
      <c r="J197" s="256" t="s">
        <v>3976</v>
      </c>
      <c r="K197" s="354" t="s">
        <v>3977</v>
      </c>
      <c r="L197" s="376"/>
      <c r="M197" s="397">
        <v>46121.75262837963</v>
      </c>
      <c r="N197" s="263"/>
      <c r="O197" s="256" t="b">
        <v>0</v>
      </c>
      <c r="P197" s="263"/>
      <c r="Q197" s="405"/>
      <c r="R197" s="406"/>
      <c r="S197" s="406"/>
    </row>
    <row r="198" ht="20.25" customHeight="1">
      <c r="A198" s="256" t="s">
        <v>62</v>
      </c>
      <c r="B198" s="256" t="s">
        <v>225</v>
      </c>
      <c r="C198" s="256" t="s">
        <v>1451</v>
      </c>
      <c r="D198" s="339">
        <v>46086.0</v>
      </c>
      <c r="E198" s="256" t="s">
        <v>3981</v>
      </c>
      <c r="F198" s="256" t="s">
        <v>3982</v>
      </c>
      <c r="G198" s="256" t="s">
        <v>3983</v>
      </c>
      <c r="H198" s="256" t="s">
        <v>3984</v>
      </c>
      <c r="I198" s="259" t="s">
        <v>3985</v>
      </c>
      <c r="J198" s="256" t="s">
        <v>3986</v>
      </c>
      <c r="K198" s="354" t="s">
        <v>3987</v>
      </c>
      <c r="L198" s="376"/>
      <c r="M198" s="397">
        <v>46090.81503637732</v>
      </c>
      <c r="N198" s="263"/>
      <c r="O198" s="256" t="b">
        <v>0</v>
      </c>
      <c r="P198" s="263"/>
      <c r="Q198" s="405"/>
      <c r="R198" s="406"/>
      <c r="S198" s="406"/>
    </row>
    <row r="199" ht="20.25" customHeight="1">
      <c r="A199" s="256" t="s">
        <v>62</v>
      </c>
      <c r="B199" s="256" t="s">
        <v>225</v>
      </c>
      <c r="C199" s="256" t="s">
        <v>1451</v>
      </c>
      <c r="D199" s="339">
        <v>46099.0</v>
      </c>
      <c r="E199" s="256" t="s">
        <v>3988</v>
      </c>
      <c r="F199" s="256" t="s">
        <v>3989</v>
      </c>
      <c r="G199" s="256" t="s">
        <v>3990</v>
      </c>
      <c r="H199" s="256" t="s">
        <v>3991</v>
      </c>
      <c r="I199" s="259" t="s">
        <v>2579</v>
      </c>
      <c r="J199" s="256" t="s">
        <v>3992</v>
      </c>
      <c r="K199" s="354"/>
      <c r="L199" s="376"/>
      <c r="M199" s="397"/>
      <c r="N199" s="263"/>
      <c r="O199" s="256"/>
      <c r="P199" s="263"/>
      <c r="Q199" s="405"/>
      <c r="R199" s="406"/>
      <c r="S199" s="406"/>
    </row>
    <row r="200" ht="20.25" customHeight="1">
      <c r="A200" s="256" t="s">
        <v>62</v>
      </c>
      <c r="B200" s="256" t="s">
        <v>225</v>
      </c>
      <c r="C200" s="256" t="s">
        <v>1451</v>
      </c>
      <c r="D200" s="339">
        <v>46115.0</v>
      </c>
      <c r="E200" s="256" t="s">
        <v>3996</v>
      </c>
      <c r="F200" s="256" t="s">
        <v>3997</v>
      </c>
      <c r="G200" s="256" t="s">
        <v>3998</v>
      </c>
      <c r="H200" s="256" t="s">
        <v>4000</v>
      </c>
      <c r="I200" s="259" t="s">
        <v>2526</v>
      </c>
      <c r="J200" s="256" t="s">
        <v>4001</v>
      </c>
      <c r="K200" s="354"/>
      <c r="L200" s="376"/>
      <c r="M200" s="397"/>
      <c r="N200" s="263"/>
      <c r="O200" s="256" t="b">
        <v>0</v>
      </c>
      <c r="P200" s="263"/>
      <c r="Q200" s="405"/>
      <c r="R200" s="406"/>
      <c r="S200" s="406"/>
    </row>
    <row r="201" ht="20.25" customHeight="1">
      <c r="A201" s="256" t="s">
        <v>22</v>
      </c>
      <c r="B201" s="256" t="s">
        <v>225</v>
      </c>
      <c r="C201" s="256" t="s">
        <v>1451</v>
      </c>
      <c r="D201" s="339">
        <v>46065.0</v>
      </c>
      <c r="E201" s="256" t="s">
        <v>2151</v>
      </c>
      <c r="F201" s="256" t="s">
        <v>2154</v>
      </c>
      <c r="G201" s="256" t="s">
        <v>4005</v>
      </c>
      <c r="H201" s="256" t="s">
        <v>2158</v>
      </c>
      <c r="I201" s="259" t="s">
        <v>1584</v>
      </c>
      <c r="J201" s="256"/>
      <c r="K201" s="354" t="s">
        <v>4008</v>
      </c>
      <c r="L201" s="376"/>
      <c r="M201" s="397">
        <v>46071.82304949074</v>
      </c>
      <c r="N201" s="263"/>
      <c r="O201" s="256" t="b">
        <v>0</v>
      </c>
      <c r="P201" s="263"/>
      <c r="Q201" s="405"/>
      <c r="R201" s="406"/>
      <c r="S201" s="406"/>
    </row>
    <row r="202" ht="20.25" customHeight="1">
      <c r="A202" s="256" t="s">
        <v>62</v>
      </c>
      <c r="B202" s="256" t="s">
        <v>53</v>
      </c>
      <c r="C202" s="256" t="s">
        <v>3021</v>
      </c>
      <c r="D202" s="339">
        <v>46125.0</v>
      </c>
      <c r="E202" s="256" t="s">
        <v>4011</v>
      </c>
      <c r="F202" s="256" t="s">
        <v>4013</v>
      </c>
      <c r="G202" s="256" t="s">
        <v>4014</v>
      </c>
      <c r="H202" s="256" t="s">
        <v>4015</v>
      </c>
      <c r="I202" s="259" t="s">
        <v>401</v>
      </c>
      <c r="J202" s="256" t="s">
        <v>4016</v>
      </c>
      <c r="K202" s="354"/>
      <c r="L202" s="376"/>
      <c r="M202" s="397"/>
      <c r="N202" s="263"/>
      <c r="O202" s="256" t="b">
        <v>0</v>
      </c>
      <c r="P202" s="263"/>
      <c r="Q202" s="405"/>
      <c r="R202" s="406"/>
      <c r="S202" s="406"/>
    </row>
    <row r="203" ht="20.25" customHeight="1">
      <c r="A203" s="256" t="s">
        <v>62</v>
      </c>
      <c r="B203" s="256" t="s">
        <v>19</v>
      </c>
      <c r="C203" s="256" t="s">
        <v>1410</v>
      </c>
      <c r="D203" s="339">
        <v>46118.0</v>
      </c>
      <c r="E203" s="256" t="s">
        <v>4021</v>
      </c>
      <c r="F203" s="256" t="s">
        <v>4023</v>
      </c>
      <c r="G203" s="256" t="s">
        <v>4025</v>
      </c>
      <c r="H203" s="256" t="s">
        <v>4027</v>
      </c>
      <c r="I203" s="259" t="s">
        <v>2160</v>
      </c>
      <c r="J203" s="256" t="s">
        <v>4028</v>
      </c>
      <c r="K203" s="354" t="s">
        <v>4029</v>
      </c>
      <c r="L203" s="376"/>
      <c r="M203" s="397">
        <v>46129.917691469906</v>
      </c>
      <c r="N203" s="263"/>
      <c r="O203" s="256" t="b">
        <v>0</v>
      </c>
      <c r="P203" s="263"/>
      <c r="Q203" s="405"/>
      <c r="R203" s="406"/>
      <c r="S203" s="406"/>
    </row>
    <row r="204" ht="20.25" customHeight="1">
      <c r="A204" s="256" t="s">
        <v>62</v>
      </c>
      <c r="B204" s="256" t="s">
        <v>53</v>
      </c>
      <c r="C204" s="256" t="s">
        <v>3021</v>
      </c>
      <c r="D204" s="339">
        <v>46128.0</v>
      </c>
      <c r="E204" s="256" t="s">
        <v>4032</v>
      </c>
      <c r="F204" s="256" t="s">
        <v>4033</v>
      </c>
      <c r="G204" s="256" t="s">
        <v>4034</v>
      </c>
      <c r="H204" s="256" t="s">
        <v>4036</v>
      </c>
      <c r="I204" s="259" t="s">
        <v>2302</v>
      </c>
      <c r="J204" s="256" t="s">
        <v>4037</v>
      </c>
      <c r="K204" s="354" t="s">
        <v>4039</v>
      </c>
      <c r="L204" s="376"/>
      <c r="M204" s="397">
        <v>46135.761925983796</v>
      </c>
      <c r="N204" s="263"/>
      <c r="O204" s="256" t="b">
        <v>0</v>
      </c>
      <c r="P204" s="263"/>
      <c r="Q204" s="405"/>
      <c r="R204" s="406"/>
      <c r="S204" s="406"/>
    </row>
    <row r="205" ht="20.25" customHeight="1">
      <c r="A205" s="256" t="s">
        <v>22</v>
      </c>
      <c r="B205" s="256" t="s">
        <v>53</v>
      </c>
      <c r="C205" s="256" t="s">
        <v>1451</v>
      </c>
      <c r="D205" s="339">
        <v>46140.0</v>
      </c>
      <c r="E205" s="256" t="s">
        <v>4041</v>
      </c>
      <c r="F205" s="256" t="s">
        <v>4042</v>
      </c>
      <c r="G205" s="256" t="s">
        <v>4044</v>
      </c>
      <c r="H205" s="256" t="s">
        <v>4045</v>
      </c>
      <c r="I205" s="259" t="s">
        <v>359</v>
      </c>
      <c r="J205" s="256" t="s">
        <v>4047</v>
      </c>
      <c r="K205" s="354"/>
      <c r="L205" s="376"/>
      <c r="M205" s="397">
        <v>46141.702655960646</v>
      </c>
      <c r="N205" s="263"/>
      <c r="O205" s="256" t="b">
        <v>0</v>
      </c>
      <c r="P205" s="263"/>
      <c r="Q205" s="405"/>
      <c r="R205" s="406"/>
      <c r="S205" s="406"/>
    </row>
    <row r="206" ht="20.25" customHeight="1">
      <c r="A206" s="375" t="s">
        <v>22</v>
      </c>
      <c r="B206" s="354" t="s">
        <v>23</v>
      </c>
      <c r="C206" s="256" t="s">
        <v>1410</v>
      </c>
      <c r="D206" s="407">
        <v>46090.0</v>
      </c>
      <c r="E206" s="408" t="s">
        <v>4052</v>
      </c>
      <c r="F206" s="408" t="s">
        <v>4053</v>
      </c>
      <c r="G206" s="409" t="s">
        <v>4054</v>
      </c>
      <c r="H206" s="410"/>
      <c r="I206" s="408" t="s">
        <v>30</v>
      </c>
      <c r="J206" s="408" t="s">
        <v>4055</v>
      </c>
      <c r="K206" s="354" t="s">
        <v>4056</v>
      </c>
      <c r="L206" s="411"/>
      <c r="M206" s="412">
        <v>46092.70153951389</v>
      </c>
      <c r="N206" s="413"/>
      <c r="O206" s="354" t="b">
        <v>0</v>
      </c>
      <c r="P206" s="414"/>
      <c r="Q206" s="414"/>
      <c r="R206" s="415"/>
      <c r="S206" s="415"/>
    </row>
    <row r="207" ht="20.25" customHeight="1">
      <c r="A207" s="375" t="s">
        <v>17</v>
      </c>
      <c r="B207" s="354" t="s">
        <v>53</v>
      </c>
      <c r="C207" s="256" t="s">
        <v>1410</v>
      </c>
      <c r="D207" s="407">
        <v>46035.0</v>
      </c>
      <c r="E207" s="408" t="s">
        <v>3920</v>
      </c>
      <c r="F207" s="408" t="s">
        <v>3921</v>
      </c>
      <c r="G207" s="409" t="s">
        <v>3923</v>
      </c>
      <c r="H207" s="410" t="s">
        <v>3924</v>
      </c>
      <c r="I207" s="408" t="s">
        <v>1059</v>
      </c>
      <c r="J207" s="408" t="s">
        <v>3925</v>
      </c>
      <c r="K207" s="354" t="s">
        <v>3926</v>
      </c>
      <c r="L207" s="411"/>
      <c r="M207" s="412">
        <v>46143.705536134265</v>
      </c>
      <c r="N207" s="375" t="b">
        <v>0</v>
      </c>
      <c r="O207" s="354"/>
      <c r="P207" s="414"/>
      <c r="Q207" s="414"/>
      <c r="R207" s="415"/>
      <c r="S207" s="415"/>
    </row>
    <row r="208" ht="20.25" customHeight="1">
      <c r="A208" s="375" t="s">
        <v>18</v>
      </c>
      <c r="B208" s="354" t="s">
        <v>53</v>
      </c>
      <c r="C208" s="256" t="s">
        <v>1451</v>
      </c>
      <c r="D208" s="407">
        <v>45975.0</v>
      </c>
      <c r="E208" s="408" t="s">
        <v>4070</v>
      </c>
      <c r="F208" s="408" t="s">
        <v>4071</v>
      </c>
      <c r="G208" s="409" t="s">
        <v>4073</v>
      </c>
      <c r="H208" s="410" t="s">
        <v>4075</v>
      </c>
      <c r="I208" s="408" t="s">
        <v>4076</v>
      </c>
      <c r="J208" s="408" t="s">
        <v>4077</v>
      </c>
      <c r="K208" s="354" t="s">
        <v>4078</v>
      </c>
      <c r="L208" s="411"/>
      <c r="M208" s="412">
        <v>46111.91804819445</v>
      </c>
      <c r="N208" s="375"/>
      <c r="O208" s="354" t="b">
        <v>0</v>
      </c>
      <c r="P208" s="414"/>
      <c r="Q208" s="414"/>
      <c r="R208" s="415"/>
      <c r="S208" s="415"/>
    </row>
    <row r="209" ht="20.25" customHeight="1">
      <c r="A209" s="375" t="s">
        <v>22</v>
      </c>
      <c r="B209" s="354" t="s">
        <v>19</v>
      </c>
      <c r="C209" s="256" t="s">
        <v>1451</v>
      </c>
      <c r="D209" s="407">
        <v>46085.0</v>
      </c>
      <c r="E209" s="408" t="s">
        <v>4082</v>
      </c>
      <c r="F209" s="408" t="s">
        <v>4083</v>
      </c>
      <c r="G209" s="409" t="s">
        <v>4084</v>
      </c>
      <c r="H209" s="410" t="s">
        <v>4085</v>
      </c>
      <c r="I209" s="408" t="s">
        <v>1170</v>
      </c>
      <c r="J209" s="408" t="s">
        <v>4086</v>
      </c>
      <c r="K209" s="354" t="s">
        <v>4087</v>
      </c>
      <c r="L209" s="411"/>
      <c r="M209" s="412">
        <v>46091.86852266204</v>
      </c>
      <c r="N209" s="375"/>
      <c r="O209" s="354" t="b">
        <v>0</v>
      </c>
      <c r="P209" s="414"/>
      <c r="Q209" s="375" t="s">
        <v>4088</v>
      </c>
      <c r="R209" s="416"/>
      <c r="S209" s="416"/>
    </row>
    <row r="210" ht="20.25" customHeight="1">
      <c r="A210" s="372" t="s">
        <v>22</v>
      </c>
      <c r="B210" s="341" t="s">
        <v>23</v>
      </c>
      <c r="C210" s="341" t="s">
        <v>1527</v>
      </c>
      <c r="D210" s="342">
        <v>46150.0</v>
      </c>
      <c r="E210" s="341" t="s">
        <v>4095</v>
      </c>
      <c r="F210" s="341" t="s">
        <v>4097</v>
      </c>
      <c r="G210" s="341" t="s">
        <v>4099</v>
      </c>
      <c r="H210" s="341" t="s">
        <v>4101</v>
      </c>
      <c r="I210" s="343" t="str">
        <f>HYPERLINK("https://calendar.google.com/calendar/u/0/r/eventedit/NTJzamQ4Z2ptNnZsYmYzdm01Z3NsZWRpOWYgYzM5ZjIxNjY2YTJjNzBkNjQ0MDI0YmQyOWM3ZmM5ODM3OTY2MmY3OTJlNWEwNDdjZGIzNTdhNDJiM2M1N2QwNEBn?pli=1", "Mon 8:00 PM 05/13/26")
</f>
        <v>Mon 8:00 PM 05/13/26</v>
      </c>
      <c r="J210" s="341" t="s">
        <v>4110</v>
      </c>
      <c r="K210" s="341" t="s">
        <v>4111</v>
      </c>
      <c r="L210" s="417"/>
      <c r="M210" s="418">
        <v>46153.83877347222</v>
      </c>
      <c r="N210" s="346"/>
      <c r="O210" s="346"/>
      <c r="P210" s="396"/>
      <c r="Q210" s="396"/>
      <c r="R210" s="400"/>
      <c r="S210" s="400"/>
    </row>
    <row r="211" ht="20.25" customHeight="1">
      <c r="A211" s="375" t="s">
        <v>410</v>
      </c>
      <c r="B211" s="354" t="s">
        <v>225</v>
      </c>
      <c r="C211" s="354" t="s">
        <v>1451</v>
      </c>
      <c r="D211" s="376">
        <v>46148.0</v>
      </c>
      <c r="E211" s="354" t="s">
        <v>4119</v>
      </c>
      <c r="F211" s="354" t="s">
        <v>4120</v>
      </c>
      <c r="G211" s="354" t="s">
        <v>4121</v>
      </c>
      <c r="H211" s="354" t="s">
        <v>4122</v>
      </c>
      <c r="I211" s="386" t="s">
        <v>1089</v>
      </c>
      <c r="J211" s="354" t="s">
        <v>4123</v>
      </c>
      <c r="K211" s="354" t="s">
        <v>4124</v>
      </c>
      <c r="L211" s="417"/>
      <c r="M211" s="397">
        <v>46153.956735914355</v>
      </c>
      <c r="N211" s="346"/>
      <c r="O211" s="419" t="b">
        <v>0</v>
      </c>
      <c r="P211" s="396"/>
      <c r="Q211" s="396"/>
      <c r="R211" s="400"/>
      <c r="S211" s="400"/>
    </row>
    <row r="212" ht="20.25" customHeight="1">
      <c r="A212" s="375" t="s">
        <v>22</v>
      </c>
      <c r="B212" s="354" t="s">
        <v>53</v>
      </c>
      <c r="C212" s="354" t="s">
        <v>1451</v>
      </c>
      <c r="D212" s="376">
        <v>46154.0</v>
      </c>
      <c r="E212" s="354" t="s">
        <v>4128</v>
      </c>
      <c r="F212" s="354" t="s">
        <v>4130</v>
      </c>
      <c r="G212" s="354" t="s">
        <v>4131</v>
      </c>
      <c r="H212" s="354" t="s">
        <v>4132</v>
      </c>
      <c r="I212" s="386" t="s">
        <v>4133</v>
      </c>
      <c r="J212" s="354" t="s">
        <v>4134</v>
      </c>
      <c r="K212" s="354" t="s">
        <v>4135</v>
      </c>
      <c r="L212" s="417"/>
      <c r="M212" s="397">
        <v>46155.84667262732</v>
      </c>
      <c r="N212" s="346"/>
      <c r="O212" s="419"/>
      <c r="P212" s="396"/>
      <c r="Q212" s="396"/>
      <c r="R212" s="400"/>
      <c r="S212" s="400"/>
    </row>
    <row r="213" ht="20.25" customHeight="1">
      <c r="A213" s="375" t="s">
        <v>17</v>
      </c>
      <c r="B213" s="354" t="s">
        <v>23</v>
      </c>
      <c r="C213" s="354" t="s">
        <v>1451</v>
      </c>
      <c r="D213" s="376">
        <v>46148.0</v>
      </c>
      <c r="E213" s="354" t="s">
        <v>4141</v>
      </c>
      <c r="F213" s="354" t="s">
        <v>4142</v>
      </c>
      <c r="G213" s="354" t="s">
        <v>4143</v>
      </c>
      <c r="H213" s="354" t="s">
        <v>4146</v>
      </c>
      <c r="I213" s="386" t="s">
        <v>1181</v>
      </c>
      <c r="J213" s="354" t="s">
        <v>4148</v>
      </c>
      <c r="K213" s="354" t="s">
        <v>4150</v>
      </c>
      <c r="L213" s="417"/>
      <c r="M213" s="397">
        <v>46155.87819747685</v>
      </c>
      <c r="N213" s="346"/>
      <c r="O213" s="419" t="b">
        <v>0</v>
      </c>
      <c r="P213" s="396"/>
      <c r="Q213" s="396"/>
      <c r="R213" s="400"/>
      <c r="S213" s="400"/>
    </row>
    <row r="214" ht="20.25" customHeight="1">
      <c r="A214" s="375" t="s">
        <v>22</v>
      </c>
      <c r="B214" s="354" t="s">
        <v>53</v>
      </c>
      <c r="C214" s="354" t="s">
        <v>1410</v>
      </c>
      <c r="D214" s="376">
        <v>45861.0</v>
      </c>
      <c r="E214" s="354" t="s">
        <v>1937</v>
      </c>
      <c r="F214" s="354" t="s">
        <v>1939</v>
      </c>
      <c r="G214" s="354" t="s">
        <v>4157</v>
      </c>
      <c r="H214" s="354" t="s">
        <v>1943</v>
      </c>
      <c r="I214" s="386" t="s">
        <v>381</v>
      </c>
      <c r="J214" s="354" t="s">
        <v>2884</v>
      </c>
      <c r="K214" s="354" t="s">
        <v>4159</v>
      </c>
      <c r="L214" s="417"/>
      <c r="M214" s="397"/>
      <c r="N214" s="346"/>
      <c r="O214" s="419" t="b">
        <v>0</v>
      </c>
      <c r="P214" s="396"/>
      <c r="Q214" s="396"/>
      <c r="R214" s="400"/>
      <c r="S214" s="400"/>
    </row>
    <row r="215" ht="20.25" customHeight="1">
      <c r="A215" s="375" t="s">
        <v>22</v>
      </c>
      <c r="B215" s="354" t="s">
        <v>19</v>
      </c>
      <c r="C215" s="354" t="s">
        <v>1451</v>
      </c>
      <c r="D215" s="376">
        <v>46063.0</v>
      </c>
      <c r="E215" s="354" t="s">
        <v>4163</v>
      </c>
      <c r="F215" s="354" t="s">
        <v>4164</v>
      </c>
      <c r="G215" s="354" t="s">
        <v>4165</v>
      </c>
      <c r="H215" s="354" t="s">
        <v>4166</v>
      </c>
      <c r="I215" s="386" t="s">
        <v>4167</v>
      </c>
      <c r="J215" s="354" t="s">
        <v>4168</v>
      </c>
      <c r="K215" s="354" t="s">
        <v>4170</v>
      </c>
      <c r="L215" s="417"/>
      <c r="M215" s="397">
        <v>46156.931016539354</v>
      </c>
      <c r="N215" s="346"/>
      <c r="O215" s="419" t="b">
        <v>0</v>
      </c>
      <c r="P215" s="396"/>
      <c r="Q215" s="419" t="s">
        <v>86</v>
      </c>
      <c r="R215" s="420"/>
      <c r="S215" s="420"/>
    </row>
    <row r="216" ht="20.25" customHeight="1">
      <c r="A216" s="375" t="s">
        <v>22</v>
      </c>
      <c r="B216" s="354" t="s">
        <v>23</v>
      </c>
      <c r="C216" s="354" t="s">
        <v>1451</v>
      </c>
      <c r="D216" s="376">
        <v>46153.0</v>
      </c>
      <c r="E216" s="354" t="s">
        <v>4171</v>
      </c>
      <c r="F216" s="354" t="s">
        <v>4172</v>
      </c>
      <c r="G216" s="354" t="s">
        <v>4173</v>
      </c>
      <c r="H216" s="354" t="s">
        <v>4174</v>
      </c>
      <c r="I216" s="386" t="s">
        <v>453</v>
      </c>
      <c r="J216" s="354" t="s">
        <v>4175</v>
      </c>
      <c r="K216" s="354" t="s">
        <v>4176</v>
      </c>
      <c r="L216" s="417"/>
      <c r="M216" s="397">
        <v>46156.95881871528</v>
      </c>
      <c r="N216" s="346"/>
      <c r="O216" s="419"/>
      <c r="P216" s="396"/>
      <c r="Q216" s="419"/>
      <c r="R216" s="420"/>
      <c r="S216" s="420"/>
    </row>
    <row r="217" ht="20.25" customHeight="1">
      <c r="A217" s="375" t="s">
        <v>17</v>
      </c>
      <c r="B217" s="354" t="s">
        <v>53</v>
      </c>
      <c r="C217" s="354" t="s">
        <v>1451</v>
      </c>
      <c r="D217" s="376">
        <v>46153.0</v>
      </c>
      <c r="E217" s="354" t="s">
        <v>4178</v>
      </c>
      <c r="F217" s="354" t="s">
        <v>4179</v>
      </c>
      <c r="G217" s="354" t="s">
        <v>4180</v>
      </c>
      <c r="H217" s="354" t="s">
        <v>4181</v>
      </c>
      <c r="I217" s="386" t="s">
        <v>4183</v>
      </c>
      <c r="J217" s="354" t="s">
        <v>4185</v>
      </c>
      <c r="K217" s="354" t="s">
        <v>4187</v>
      </c>
      <c r="L217" s="417"/>
      <c r="M217" s="397">
        <v>46154.78474869213</v>
      </c>
      <c r="N217" s="346"/>
      <c r="O217" s="419"/>
      <c r="P217" s="396"/>
      <c r="Q217" s="419"/>
      <c r="R217" s="420"/>
      <c r="S217" s="420"/>
    </row>
    <row r="218" ht="20.25" customHeight="1">
      <c r="A218" s="375" t="s">
        <v>17</v>
      </c>
      <c r="B218" s="354" t="s">
        <v>23</v>
      </c>
      <c r="C218" s="354" t="s">
        <v>1527</v>
      </c>
      <c r="D218" s="376">
        <v>45922.0</v>
      </c>
      <c r="E218" s="354" t="s">
        <v>4192</v>
      </c>
      <c r="F218" s="354" t="s">
        <v>4193</v>
      </c>
      <c r="G218" s="354" t="s">
        <v>4194</v>
      </c>
      <c r="H218" s="354" t="s">
        <v>4195</v>
      </c>
      <c r="I218" s="386" t="s">
        <v>123</v>
      </c>
      <c r="J218" s="354" t="s">
        <v>4196</v>
      </c>
      <c r="K218" s="354" t="s">
        <v>4197</v>
      </c>
      <c r="L218" s="417"/>
      <c r="M218" s="397"/>
      <c r="N218" s="346"/>
      <c r="O218" s="419" t="b">
        <v>0</v>
      </c>
      <c r="P218" s="396"/>
      <c r="Q218" s="419"/>
      <c r="R218" s="420"/>
      <c r="S218" s="420"/>
    </row>
    <row r="219" ht="20.25" customHeight="1">
      <c r="A219" s="375" t="s">
        <v>906</v>
      </c>
      <c r="B219" s="354" t="s">
        <v>225</v>
      </c>
      <c r="C219" s="354" t="s">
        <v>1451</v>
      </c>
      <c r="D219" s="376">
        <v>46150.0</v>
      </c>
      <c r="E219" s="354" t="s">
        <v>4201</v>
      </c>
      <c r="F219" s="354" t="s">
        <v>4202</v>
      </c>
      <c r="G219" s="354" t="s">
        <v>4203</v>
      </c>
      <c r="H219" s="354" t="s">
        <v>4205</v>
      </c>
      <c r="I219" s="386" t="s">
        <v>4207</v>
      </c>
      <c r="J219" s="354" t="s">
        <v>4208</v>
      </c>
      <c r="K219" s="354"/>
      <c r="L219" s="417"/>
      <c r="M219" s="397"/>
      <c r="N219" s="346"/>
      <c r="O219" s="419"/>
      <c r="P219" s="396"/>
      <c r="Q219" s="419"/>
      <c r="R219" s="420"/>
      <c r="S219" s="420"/>
    </row>
    <row r="220" ht="20.25" customHeight="1">
      <c r="A220" s="375" t="s">
        <v>17</v>
      </c>
      <c r="B220" s="354" t="s">
        <v>53</v>
      </c>
      <c r="C220" s="354" t="s">
        <v>1451</v>
      </c>
      <c r="D220" s="376">
        <v>46160.0</v>
      </c>
      <c r="E220" s="354" t="s">
        <v>4212</v>
      </c>
      <c r="F220" s="354" t="s">
        <v>4213</v>
      </c>
      <c r="G220" s="354" t="s">
        <v>4215</v>
      </c>
      <c r="H220" s="354" t="s">
        <v>4216</v>
      </c>
      <c r="I220" s="386" t="s">
        <v>1155</v>
      </c>
      <c r="J220" s="354" t="s">
        <v>4218</v>
      </c>
      <c r="K220" s="354" t="s">
        <v>4220</v>
      </c>
      <c r="L220" s="417"/>
      <c r="M220" s="397">
        <v>46163.90014673611</v>
      </c>
      <c r="N220" s="346"/>
      <c r="O220" s="419"/>
      <c r="P220" s="396"/>
      <c r="Q220" s="419"/>
      <c r="R220" s="420"/>
      <c r="S220" s="420"/>
    </row>
    <row r="221" ht="20.25" customHeight="1">
      <c r="A221" s="375" t="s">
        <v>22</v>
      </c>
      <c r="B221" s="354" t="s">
        <v>19</v>
      </c>
      <c r="C221" s="354" t="s">
        <v>1451</v>
      </c>
      <c r="D221" s="376">
        <v>46097.0</v>
      </c>
      <c r="E221" s="354" t="s">
        <v>4222</v>
      </c>
      <c r="F221" s="354" t="s">
        <v>4223</v>
      </c>
      <c r="G221" s="354" t="s">
        <v>4225</v>
      </c>
      <c r="H221" s="354" t="s">
        <v>4226</v>
      </c>
      <c r="I221" s="386" t="s">
        <v>4227</v>
      </c>
      <c r="J221" s="354" t="s">
        <v>4228</v>
      </c>
      <c r="K221" s="354" t="s">
        <v>4229</v>
      </c>
      <c r="L221" s="417"/>
      <c r="M221" s="397">
        <v>46171.81052020833</v>
      </c>
      <c r="N221" s="346"/>
      <c r="O221" s="419" t="b">
        <v>0</v>
      </c>
      <c r="P221" s="396"/>
      <c r="Q221" s="419"/>
      <c r="R221" s="420"/>
      <c r="S221" s="420"/>
    </row>
    <row r="222" ht="20.25" customHeight="1">
      <c r="A222" s="375" t="s">
        <v>22</v>
      </c>
      <c r="B222" s="354" t="s">
        <v>23</v>
      </c>
      <c r="C222" s="354" t="s">
        <v>1451</v>
      </c>
      <c r="D222" s="376">
        <v>46153.0</v>
      </c>
      <c r="E222" s="354" t="s">
        <v>4231</v>
      </c>
      <c r="F222" s="354" t="s">
        <v>4232</v>
      </c>
      <c r="G222" s="354" t="s">
        <v>4233</v>
      </c>
      <c r="H222" s="354" t="s">
        <v>4234</v>
      </c>
      <c r="I222" s="386" t="s">
        <v>4235</v>
      </c>
      <c r="J222" s="354" t="s">
        <v>4237</v>
      </c>
      <c r="K222" s="354" t="s">
        <v>4238</v>
      </c>
      <c r="L222" s="417"/>
      <c r="M222" s="397">
        <v>46160.75800221065</v>
      </c>
      <c r="N222" s="346"/>
      <c r="O222" s="419"/>
      <c r="P222" s="396"/>
      <c r="Q222" s="419"/>
      <c r="R222" s="420"/>
      <c r="S222" s="420"/>
    </row>
    <row r="223" ht="20.25" customHeight="1">
      <c r="A223" s="375" t="s">
        <v>906</v>
      </c>
      <c r="B223" s="354" t="s">
        <v>225</v>
      </c>
      <c r="C223" s="354" t="s">
        <v>1451</v>
      </c>
      <c r="D223" s="376">
        <v>46155.0</v>
      </c>
      <c r="E223" s="354" t="s">
        <v>4243</v>
      </c>
      <c r="F223" s="354" t="s">
        <v>4245</v>
      </c>
      <c r="G223" s="354" t="s">
        <v>4246</v>
      </c>
      <c r="H223" s="354" t="s">
        <v>4247</v>
      </c>
      <c r="I223" s="386" t="s">
        <v>2554</v>
      </c>
      <c r="J223" s="354" t="s">
        <v>4249</v>
      </c>
      <c r="K223" s="354" t="s">
        <v>4250</v>
      </c>
      <c r="L223" s="417"/>
      <c r="M223" s="397">
        <v>46175.82366601852</v>
      </c>
      <c r="N223" s="346"/>
      <c r="O223" s="419"/>
      <c r="P223" s="396"/>
      <c r="Q223" s="419"/>
      <c r="R223" s="420"/>
      <c r="S223" s="420"/>
    </row>
    <row r="224" ht="20.25" customHeight="1">
      <c r="A224" s="375" t="s">
        <v>117</v>
      </c>
      <c r="B224" s="354" t="s">
        <v>53</v>
      </c>
      <c r="C224" s="354" t="s">
        <v>1451</v>
      </c>
      <c r="D224" s="376">
        <v>46174.0</v>
      </c>
      <c r="E224" s="354" t="s">
        <v>4252</v>
      </c>
      <c r="F224" s="354" t="s">
        <v>4253</v>
      </c>
      <c r="G224" s="354" t="s">
        <v>4255</v>
      </c>
      <c r="H224" s="354" t="s">
        <v>4256</v>
      </c>
      <c r="I224" s="386" t="s">
        <v>1760</v>
      </c>
      <c r="J224" s="354" t="s">
        <v>4258</v>
      </c>
      <c r="K224" s="354" t="s">
        <v>4259</v>
      </c>
      <c r="L224" s="417"/>
      <c r="M224" s="397">
        <v>46176.93020270833</v>
      </c>
      <c r="N224" s="346"/>
      <c r="O224" s="419"/>
      <c r="P224" s="396"/>
      <c r="Q224" s="419"/>
      <c r="R224" s="420"/>
      <c r="S224" s="420"/>
    </row>
    <row r="225" ht="20.25" customHeight="1">
      <c r="A225" s="375" t="s">
        <v>17</v>
      </c>
      <c r="B225" s="354" t="s">
        <v>53</v>
      </c>
      <c r="C225" s="354" t="s">
        <v>1451</v>
      </c>
      <c r="D225" s="376">
        <v>45709.0</v>
      </c>
      <c r="E225" s="354" t="s">
        <v>4267</v>
      </c>
      <c r="F225" s="354" t="s">
        <v>4268</v>
      </c>
      <c r="G225" s="354" t="s">
        <v>4269</v>
      </c>
      <c r="H225" s="354"/>
      <c r="I225" s="386" t="s">
        <v>534</v>
      </c>
      <c r="J225" s="354" t="s">
        <v>4277</v>
      </c>
      <c r="K225" s="354" t="s">
        <v>4279</v>
      </c>
      <c r="L225" s="417"/>
      <c r="M225" s="354" t="s">
        <v>4280</v>
      </c>
      <c r="N225" s="419" t="s">
        <v>64</v>
      </c>
      <c r="O225" s="419" t="b">
        <v>0</v>
      </c>
      <c r="P225" s="396"/>
      <c r="Q225" s="419"/>
      <c r="R225" s="420"/>
      <c r="S225" s="420"/>
    </row>
    <row r="226" ht="20.25" customHeight="1">
      <c r="A226" s="375" t="s">
        <v>62</v>
      </c>
      <c r="B226" s="354" t="s">
        <v>19</v>
      </c>
      <c r="C226" s="354" t="s">
        <v>1451</v>
      </c>
      <c r="D226" s="376">
        <v>46129.0</v>
      </c>
      <c r="E226" s="354" t="s">
        <v>4285</v>
      </c>
      <c r="F226" s="354" t="s">
        <v>4286</v>
      </c>
      <c r="G226" s="354" t="s">
        <v>4287</v>
      </c>
      <c r="H226" s="354" t="s">
        <v>4288</v>
      </c>
      <c r="I226" s="386" t="s">
        <v>4289</v>
      </c>
      <c r="J226" s="354" t="s">
        <v>4291</v>
      </c>
      <c r="K226" s="354" t="s">
        <v>4292</v>
      </c>
      <c r="L226" s="417"/>
      <c r="M226" s="397">
        <v>46129.88202002315</v>
      </c>
      <c r="N226" s="419"/>
      <c r="O226" s="419" t="b">
        <v>0</v>
      </c>
      <c r="P226" s="396"/>
      <c r="Q226" s="419"/>
      <c r="R226" s="420"/>
      <c r="S226" s="420"/>
    </row>
    <row r="227" ht="20.25" customHeight="1">
      <c r="A227" s="375" t="s">
        <v>22</v>
      </c>
      <c r="B227" s="354" t="s">
        <v>53</v>
      </c>
      <c r="C227" s="354" t="s">
        <v>1451</v>
      </c>
      <c r="D227" s="376">
        <v>46098.0</v>
      </c>
      <c r="E227" s="354" t="s">
        <v>4296</v>
      </c>
      <c r="F227" s="354" t="s">
        <v>3439</v>
      </c>
      <c r="G227" s="354" t="s">
        <v>4297</v>
      </c>
      <c r="H227" s="354" t="s">
        <v>4298</v>
      </c>
      <c r="I227" s="386" t="s">
        <v>4300</v>
      </c>
      <c r="J227" s="354" t="s">
        <v>4301</v>
      </c>
      <c r="K227" s="354" t="s">
        <v>4303</v>
      </c>
      <c r="L227" s="417"/>
      <c r="M227" s="397">
        <v>46183.86705583333</v>
      </c>
      <c r="N227" s="419"/>
      <c r="O227" s="419" t="b">
        <v>0</v>
      </c>
      <c r="P227" s="396"/>
      <c r="Q227" s="419"/>
      <c r="R227" s="420"/>
      <c r="S227" s="420"/>
    </row>
    <row r="228" ht="20.25" customHeight="1">
      <c r="A228" s="375" t="s">
        <v>22</v>
      </c>
      <c r="B228" s="354" t="s">
        <v>53</v>
      </c>
      <c r="C228" s="354" t="s">
        <v>1451</v>
      </c>
      <c r="D228" s="376">
        <v>46090.0</v>
      </c>
      <c r="E228" s="354" t="s">
        <v>4305</v>
      </c>
      <c r="F228" s="354" t="s">
        <v>4307</v>
      </c>
      <c r="G228" s="354" t="s">
        <v>4308</v>
      </c>
      <c r="H228" s="354" t="s">
        <v>4309</v>
      </c>
      <c r="I228" s="386" t="s">
        <v>1405</v>
      </c>
      <c r="J228" s="354" t="s">
        <v>4310</v>
      </c>
      <c r="K228" s="354" t="s">
        <v>4311</v>
      </c>
      <c r="L228" s="417"/>
      <c r="M228" s="397">
        <v>46140.860062673615</v>
      </c>
      <c r="N228" s="419"/>
      <c r="O228" s="419" t="b">
        <v>0</v>
      </c>
      <c r="P228" s="396"/>
      <c r="Q228" s="419" t="s">
        <v>86</v>
      </c>
      <c r="R228" s="420"/>
      <c r="S228" s="420"/>
    </row>
    <row r="229" ht="20.25" customHeight="1">
      <c r="A229" s="256" t="s">
        <v>906</v>
      </c>
      <c r="B229" s="256" t="s">
        <v>23</v>
      </c>
      <c r="C229" s="256" t="s">
        <v>1451</v>
      </c>
      <c r="D229" s="257">
        <v>46181.0</v>
      </c>
      <c r="E229" s="256" t="s">
        <v>4314</v>
      </c>
      <c r="F229" s="256" t="s">
        <v>4315</v>
      </c>
      <c r="G229" s="256" t="s">
        <v>4316</v>
      </c>
      <c r="H229" s="256" t="s">
        <v>4317</v>
      </c>
      <c r="I229" s="421" t="str">
        <f>HYPERLINK("https://calendar.google.com/calendar/u/0/r/eventedit/MmNsZXUzamxvNjFscWk5dTlmcWh0ZWFuMXMgbWVldGluZ3MuZG1lZGVza2FpQG0?pli=1", "Tue 8:00 PM")
</f>
        <v>Tue 8:00 PM</v>
      </c>
      <c r="J229" s="256" t="s">
        <v>4320</v>
      </c>
      <c r="K229" s="256"/>
      <c r="L229" s="256"/>
      <c r="M229" s="256"/>
      <c r="N229" s="256"/>
      <c r="O229" s="256"/>
      <c r="P229" s="256"/>
      <c r="Q229" s="256"/>
      <c r="R229" s="353"/>
      <c r="S229" s="353"/>
    </row>
    <row r="230" ht="20.25" customHeight="1">
      <c r="A230" s="256" t="s">
        <v>117</v>
      </c>
      <c r="B230" s="256" t="s">
        <v>53</v>
      </c>
      <c r="C230" s="256" t="s">
        <v>1451</v>
      </c>
      <c r="D230" s="339">
        <v>46182.0</v>
      </c>
      <c r="E230" s="256" t="s">
        <v>4323</v>
      </c>
      <c r="F230" s="256" t="s">
        <v>4324</v>
      </c>
      <c r="G230" s="256" t="s">
        <v>4325</v>
      </c>
      <c r="H230" s="256" t="s">
        <v>4326</v>
      </c>
      <c r="I230" s="388" t="s">
        <v>762</v>
      </c>
      <c r="J230" s="256" t="s">
        <v>4328</v>
      </c>
      <c r="K230" s="256" t="s">
        <v>4329</v>
      </c>
      <c r="L230" s="256"/>
      <c r="M230" s="422">
        <v>46185.77326019676</v>
      </c>
      <c r="N230" s="256"/>
      <c r="O230" s="256"/>
      <c r="P230" s="256"/>
      <c r="Q230" s="256"/>
      <c r="R230" s="353"/>
      <c r="S230" s="353"/>
    </row>
    <row r="231" ht="20.25" customHeight="1">
      <c r="A231" s="256" t="s">
        <v>62</v>
      </c>
      <c r="B231" s="256" t="s">
        <v>225</v>
      </c>
      <c r="C231" s="256" t="s">
        <v>1451</v>
      </c>
      <c r="D231" s="339">
        <v>46185.0</v>
      </c>
      <c r="E231" s="256" t="s">
        <v>4335</v>
      </c>
      <c r="F231" s="256" t="s">
        <v>4336</v>
      </c>
      <c r="G231" s="256" t="s">
        <v>4337</v>
      </c>
      <c r="H231" s="256" t="s">
        <v>4338</v>
      </c>
      <c r="I231" s="388" t="s">
        <v>4339</v>
      </c>
      <c r="J231" s="256" t="s">
        <v>4340</v>
      </c>
      <c r="K231" s="256" t="s">
        <v>4341</v>
      </c>
      <c r="L231" s="256"/>
      <c r="M231" s="422">
        <v>46188.96695855324</v>
      </c>
      <c r="N231" s="256"/>
      <c r="O231" s="256"/>
      <c r="P231" s="256"/>
      <c r="Q231" s="256"/>
      <c r="R231" s="353"/>
      <c r="S231" s="353"/>
    </row>
    <row r="232" ht="20.25" customHeight="1">
      <c r="A232" s="256" t="s">
        <v>906</v>
      </c>
      <c r="B232" s="256" t="s">
        <v>53</v>
      </c>
      <c r="C232" s="256" t="s">
        <v>1451</v>
      </c>
      <c r="D232" s="339">
        <v>46183.0</v>
      </c>
      <c r="E232" s="256" t="s">
        <v>4343</v>
      </c>
      <c r="F232" s="256" t="s">
        <v>4344</v>
      </c>
      <c r="G232" s="256" t="s">
        <v>4345</v>
      </c>
      <c r="H232" s="256" t="s">
        <v>4346</v>
      </c>
      <c r="I232" s="388" t="s">
        <v>4347</v>
      </c>
      <c r="J232" s="256" t="s">
        <v>4348</v>
      </c>
      <c r="K232" s="256"/>
      <c r="L232" s="256"/>
      <c r="M232" s="422"/>
      <c r="N232" s="256"/>
      <c r="O232" s="256"/>
      <c r="P232" s="256"/>
      <c r="Q232" s="256"/>
      <c r="R232" s="353"/>
      <c r="S232" s="353"/>
    </row>
    <row r="233" ht="20.25" customHeight="1">
      <c r="A233" s="256" t="s">
        <v>62</v>
      </c>
      <c r="B233" s="256" t="s">
        <v>225</v>
      </c>
      <c r="C233" s="256" t="s">
        <v>1451</v>
      </c>
      <c r="D233" s="339">
        <v>46128.0</v>
      </c>
      <c r="E233" s="256" t="s">
        <v>4351</v>
      </c>
      <c r="F233" s="256" t="s">
        <v>4353</v>
      </c>
      <c r="G233" s="256" t="s">
        <v>4354</v>
      </c>
      <c r="H233" s="256" t="s">
        <v>4355</v>
      </c>
      <c r="I233" s="388" t="s">
        <v>3878</v>
      </c>
      <c r="J233" s="256" t="s">
        <v>4357</v>
      </c>
      <c r="K233" s="256" t="s">
        <v>4358</v>
      </c>
      <c r="L233" s="256"/>
      <c r="M233" s="422">
        <v>46155.95675628472</v>
      </c>
      <c r="N233" s="256"/>
      <c r="O233" s="256" t="b">
        <v>0</v>
      </c>
      <c r="P233" s="256"/>
      <c r="Q233" s="256"/>
      <c r="R233" s="353"/>
      <c r="S233" s="353"/>
    </row>
    <row r="234" ht="20.25" customHeight="1">
      <c r="A234" s="256" t="s">
        <v>22</v>
      </c>
      <c r="B234" s="256" t="s">
        <v>23</v>
      </c>
      <c r="C234" s="256" t="s">
        <v>1451</v>
      </c>
      <c r="D234" s="257">
        <v>46190.0</v>
      </c>
      <c r="E234" s="256" t="s">
        <v>4360</v>
      </c>
      <c r="F234" s="256" t="s">
        <v>4361</v>
      </c>
      <c r="G234" s="256" t="s">
        <v>4363</v>
      </c>
      <c r="H234" s="256" t="s">
        <v>4364</v>
      </c>
      <c r="I234" s="421" t="str">
        <f>HYPERLINK("https://calendar.google.com/calendar/u/0/r/eventedit/NGppb3RsZ203Yjdsdmduc3Jkb2x0MGQ3dDggYzM5ZjIxNjY2YTJjNzBkNjQ0MDI0YmQyOWM3ZmM5ODM3OTY2MmY3OTJlNWEwNDdjZGIzNTdhNDJiM2M1N2QwNEBn?pli=1", "FRI 7:00 PM")
</f>
        <v>FRI 7:00 PM</v>
      </c>
      <c r="J234" s="256" t="s">
        <v>4367</v>
      </c>
      <c r="K234" s="256" t="s">
        <v>4368</v>
      </c>
      <c r="L234" s="256"/>
      <c r="M234" s="339">
        <v>46196.71214645833</v>
      </c>
      <c r="N234" s="256"/>
      <c r="O234" s="256"/>
      <c r="P234" s="256"/>
      <c r="Q234" s="256"/>
      <c r="R234" s="353"/>
      <c r="S234" s="353"/>
    </row>
    <row r="235" ht="20.25" customHeight="1">
      <c r="A235" s="256" t="s">
        <v>22</v>
      </c>
      <c r="B235" s="256" t="s">
        <v>53</v>
      </c>
      <c r="C235" s="256" t="s">
        <v>3021</v>
      </c>
      <c r="D235" s="339">
        <v>46189.0</v>
      </c>
      <c r="E235" s="256" t="s">
        <v>4372</v>
      </c>
      <c r="F235" s="256" t="s">
        <v>4373</v>
      </c>
      <c r="G235" s="256" t="s">
        <v>4374</v>
      </c>
      <c r="H235" s="256" t="s">
        <v>4376</v>
      </c>
      <c r="I235" s="388" t="s">
        <v>590</v>
      </c>
      <c r="J235" s="256" t="s">
        <v>4377</v>
      </c>
      <c r="K235" s="256" t="s">
        <v>4378</v>
      </c>
      <c r="L235" s="256"/>
      <c r="M235" s="422">
        <v>46196.746996145834</v>
      </c>
      <c r="N235" s="256"/>
      <c r="O235" s="256"/>
      <c r="P235" s="256"/>
      <c r="Q235" s="256"/>
      <c r="R235" s="353"/>
      <c r="S235" s="353"/>
    </row>
    <row r="236" ht="20.25" customHeight="1">
      <c r="A236" s="256" t="s">
        <v>22</v>
      </c>
      <c r="B236" s="256" t="s">
        <v>23</v>
      </c>
      <c r="C236" s="256" t="s">
        <v>1451</v>
      </c>
      <c r="D236" s="257">
        <v>46195.0</v>
      </c>
      <c r="E236" s="256" t="s">
        <v>4384</v>
      </c>
      <c r="F236" s="256" t="s">
        <v>4385</v>
      </c>
      <c r="G236" s="256" t="s">
        <v>4387</v>
      </c>
      <c r="H236" s="256" t="s">
        <v>4388</v>
      </c>
      <c r="I236" s="421" t="str">
        <f>HYPERLINK("https://calendar.google.com/calendar/u/0/r/eventedit/MTVnMGY5b2k0YmEzZTdzdmUzOWR0dmJwM3EgYzM5ZjIxNjY2YTJjNzBkNjQ0MDI0YmQyOWM3ZmM5ODM3OTY2MmY3OTJlNWEwNDdjZGIzNTdhNDJiM2M1N2QwNEBn?pli=1", "Tue 5:30 PM")
</f>
        <v>Tue 5:30 PM</v>
      </c>
      <c r="J236" s="256" t="s">
        <v>4394</v>
      </c>
      <c r="K236" s="256" t="s">
        <v>4395</v>
      </c>
      <c r="L236" s="256"/>
      <c r="M236" s="339">
        <v>46196.82500861111</v>
      </c>
      <c r="N236" s="256"/>
      <c r="O236" s="256"/>
      <c r="P236" s="256"/>
      <c r="Q236" s="256">
        <v>1.457236069E9</v>
      </c>
      <c r="R236" s="353"/>
      <c r="S236" s="353"/>
    </row>
    <row r="237" ht="20.25" customHeight="1">
      <c r="A237" s="256" t="s">
        <v>62</v>
      </c>
      <c r="B237" s="256" t="s">
        <v>25</v>
      </c>
      <c r="C237" s="256" t="s">
        <v>1451</v>
      </c>
      <c r="D237" s="339">
        <v>46191.0</v>
      </c>
      <c r="E237" s="256" t="s">
        <v>4400</v>
      </c>
      <c r="F237" s="256" t="s">
        <v>4402</v>
      </c>
      <c r="G237" s="256" t="s">
        <v>4404</v>
      </c>
      <c r="H237" s="256" t="s">
        <v>4406</v>
      </c>
      <c r="I237" s="388" t="s">
        <v>947</v>
      </c>
      <c r="J237" s="256" t="s">
        <v>4409</v>
      </c>
      <c r="K237" s="256" t="s">
        <v>4412</v>
      </c>
      <c r="L237" s="256"/>
      <c r="M237" s="422">
        <v>46191.9308496875</v>
      </c>
      <c r="N237" s="256"/>
      <c r="O237" s="256"/>
      <c r="P237" s="256"/>
      <c r="Q237" s="256"/>
      <c r="R237" s="353"/>
      <c r="S237" s="353"/>
    </row>
    <row r="238" ht="20.25" customHeight="1">
      <c r="A238" s="256" t="s">
        <v>17</v>
      </c>
      <c r="B238" s="256" t="s">
        <v>23</v>
      </c>
      <c r="C238" s="256" t="s">
        <v>1451</v>
      </c>
      <c r="D238" s="339">
        <v>46160.0</v>
      </c>
      <c r="E238" s="256" t="s">
        <v>4421</v>
      </c>
      <c r="F238" s="256" t="s">
        <v>4423</v>
      </c>
      <c r="G238" s="256" t="s">
        <v>4424</v>
      </c>
      <c r="H238" s="256" t="s">
        <v>4425</v>
      </c>
      <c r="I238" s="388" t="s">
        <v>1831</v>
      </c>
      <c r="J238" s="256" t="s">
        <v>4427</v>
      </c>
      <c r="K238" s="256"/>
      <c r="L238" s="256"/>
      <c r="M238" s="422"/>
      <c r="N238" s="256"/>
      <c r="O238" s="256"/>
      <c r="P238" s="256"/>
      <c r="Q238" s="256"/>
      <c r="R238" s="353"/>
      <c r="S238" s="353"/>
    </row>
    <row r="239" ht="20.25" customHeight="1">
      <c r="A239" s="256" t="s">
        <v>22</v>
      </c>
      <c r="B239" s="256" t="s">
        <v>23</v>
      </c>
      <c r="C239" s="256" t="s">
        <v>1451</v>
      </c>
      <c r="D239" s="339">
        <v>46191.0</v>
      </c>
      <c r="E239" s="256" t="s">
        <v>4432</v>
      </c>
      <c r="F239" s="256" t="s">
        <v>4433</v>
      </c>
      <c r="G239" s="256" t="s">
        <v>4434</v>
      </c>
      <c r="H239" s="256" t="s">
        <v>4436</v>
      </c>
      <c r="I239" s="388" t="s">
        <v>548</v>
      </c>
      <c r="J239" s="256" t="s">
        <v>4438</v>
      </c>
      <c r="K239" s="256"/>
      <c r="L239" s="256"/>
      <c r="M239" s="422"/>
      <c r="N239" s="256"/>
      <c r="O239" s="256"/>
      <c r="P239" s="256"/>
      <c r="Q239" s="256">
        <v>1.922139104E9</v>
      </c>
      <c r="R239" s="353"/>
      <c r="S239" s="353"/>
    </row>
    <row r="240" ht="20.25" customHeight="1">
      <c r="A240" s="256" t="s">
        <v>117</v>
      </c>
      <c r="B240" s="256" t="s">
        <v>25</v>
      </c>
      <c r="C240" s="256" t="s">
        <v>1451</v>
      </c>
      <c r="D240" s="339">
        <v>46197.0</v>
      </c>
      <c r="E240" s="256" t="s">
        <v>4441</v>
      </c>
      <c r="F240" s="256" t="s">
        <v>4442</v>
      </c>
      <c r="G240" s="256" t="s">
        <v>4443</v>
      </c>
      <c r="H240" s="256" t="s">
        <v>4445</v>
      </c>
      <c r="I240" s="388" t="s">
        <v>4446</v>
      </c>
      <c r="J240" s="256" t="s">
        <v>4450</v>
      </c>
      <c r="K240" s="256"/>
      <c r="L240" s="256"/>
      <c r="M240" s="422"/>
      <c r="N240" s="256"/>
      <c r="O240" s="256"/>
      <c r="P240" s="256"/>
      <c r="Q240" s="256"/>
      <c r="R240" s="353"/>
      <c r="S240" s="353"/>
    </row>
    <row r="241" ht="20.25" customHeight="1">
      <c r="A241" s="256" t="s">
        <v>22</v>
      </c>
      <c r="B241" s="256" t="s">
        <v>53</v>
      </c>
      <c r="C241" s="256" t="s">
        <v>1451</v>
      </c>
      <c r="D241" s="339">
        <v>46031.0</v>
      </c>
      <c r="E241" s="256" t="s">
        <v>3229</v>
      </c>
      <c r="F241" s="256" t="s">
        <v>3570</v>
      </c>
      <c r="G241" s="256" t="s">
        <v>4452</v>
      </c>
      <c r="H241" s="256" t="s">
        <v>4453</v>
      </c>
      <c r="I241" s="388" t="s">
        <v>1654</v>
      </c>
      <c r="J241" s="256" t="s">
        <v>3577</v>
      </c>
      <c r="K241" s="256" t="s">
        <v>4455</v>
      </c>
      <c r="L241" s="256"/>
      <c r="M241" s="422">
        <v>46183.86528413194</v>
      </c>
      <c r="N241" s="256"/>
      <c r="O241" s="256" t="b">
        <v>0</v>
      </c>
      <c r="P241" s="256"/>
      <c r="Q241" s="256" t="s">
        <v>4457</v>
      </c>
      <c r="R241" s="353"/>
      <c r="S241" s="353"/>
    </row>
    <row r="242" ht="20.25" customHeight="1">
      <c r="A242" s="256" t="s">
        <v>135</v>
      </c>
      <c r="B242" s="256" t="s">
        <v>53</v>
      </c>
      <c r="C242" s="256" t="s">
        <v>1451</v>
      </c>
      <c r="D242" s="339">
        <v>46177.0</v>
      </c>
      <c r="E242" s="256" t="s">
        <v>4461</v>
      </c>
      <c r="F242" s="256" t="s">
        <v>4462</v>
      </c>
      <c r="G242" s="256" t="s">
        <v>4463</v>
      </c>
      <c r="H242" s="256" t="s">
        <v>4464</v>
      </c>
      <c r="I242" s="388" t="s">
        <v>667</v>
      </c>
      <c r="J242" s="256" t="s">
        <v>4465</v>
      </c>
      <c r="K242" s="256" t="s">
        <v>4467</v>
      </c>
      <c r="L242" s="256"/>
      <c r="M242" s="422">
        <v>46203.793512013886</v>
      </c>
      <c r="N242" s="256"/>
      <c r="O242" s="256"/>
      <c r="P242" s="256"/>
      <c r="Q242" s="256"/>
      <c r="R242" s="353"/>
      <c r="S242" s="353"/>
    </row>
    <row r="243" ht="20.25" customHeight="1">
      <c r="A243" s="256" t="s">
        <v>135</v>
      </c>
      <c r="B243" s="256" t="s">
        <v>225</v>
      </c>
      <c r="C243" s="256" t="s">
        <v>1451</v>
      </c>
      <c r="D243" s="339"/>
      <c r="E243" s="256" t="s">
        <v>4472</v>
      </c>
      <c r="F243" s="256" t="s">
        <v>4473</v>
      </c>
      <c r="G243" s="256" t="s">
        <v>4474</v>
      </c>
      <c r="H243" s="256" t="s">
        <v>4476</v>
      </c>
      <c r="I243" s="388" t="s">
        <v>4478</v>
      </c>
      <c r="J243" s="256" t="s">
        <v>4479</v>
      </c>
      <c r="K243" s="256" t="s">
        <v>4480</v>
      </c>
      <c r="L243" s="256"/>
      <c r="M243" s="422">
        <v>46142.89162108796</v>
      </c>
      <c r="N243" s="256"/>
      <c r="O243" s="256"/>
      <c r="P243" s="256" t="b">
        <v>0</v>
      </c>
      <c r="Q243" s="256"/>
      <c r="R243" s="353"/>
      <c r="S243" s="353"/>
    </row>
    <row r="244" ht="20.25" customHeight="1">
      <c r="A244" s="256" t="s">
        <v>410</v>
      </c>
      <c r="B244" s="256" t="s">
        <v>225</v>
      </c>
      <c r="C244" s="256" t="s">
        <v>1451</v>
      </c>
      <c r="D244" s="339">
        <v>46108.0</v>
      </c>
      <c r="E244" s="256" t="s">
        <v>4489</v>
      </c>
      <c r="F244" s="256" t="s">
        <v>4490</v>
      </c>
      <c r="G244" s="256" t="s">
        <v>4491</v>
      </c>
      <c r="H244" s="256" t="s">
        <v>4493</v>
      </c>
      <c r="I244" s="388" t="s">
        <v>4391</v>
      </c>
      <c r="J244" s="256" t="s">
        <v>4494</v>
      </c>
      <c r="K244" s="256" t="s">
        <v>4495</v>
      </c>
      <c r="L244" s="256"/>
      <c r="M244" s="422">
        <v>46135.874155</v>
      </c>
      <c r="N244" s="256"/>
      <c r="O244" s="256"/>
      <c r="P244" s="256"/>
      <c r="Q244" s="256"/>
      <c r="R244" s="353"/>
      <c r="S244" s="353"/>
    </row>
    <row r="245" ht="20.25" customHeight="1">
      <c r="A245" s="256" t="s">
        <v>62</v>
      </c>
      <c r="B245" s="256" t="s">
        <v>225</v>
      </c>
      <c r="C245" s="256" t="s">
        <v>1451</v>
      </c>
      <c r="D245" s="339">
        <v>46030.0</v>
      </c>
      <c r="E245" s="256" t="s">
        <v>4498</v>
      </c>
      <c r="F245" s="256" t="s">
        <v>4500</v>
      </c>
      <c r="G245" s="256" t="s">
        <v>4501</v>
      </c>
      <c r="H245" s="256" t="s">
        <v>4502</v>
      </c>
      <c r="I245" s="388" t="s">
        <v>240</v>
      </c>
      <c r="J245" s="256" t="s">
        <v>4503</v>
      </c>
      <c r="K245" s="256" t="s">
        <v>4504</v>
      </c>
      <c r="L245" s="256"/>
      <c r="M245" s="422"/>
      <c r="N245" s="256" t="b">
        <v>0</v>
      </c>
      <c r="O245" s="256"/>
      <c r="P245" s="256"/>
      <c r="Q245" s="256"/>
      <c r="R245" s="353"/>
      <c r="S245" s="353"/>
    </row>
    <row r="246" ht="20.25" customHeight="1">
      <c r="A246" s="256" t="s">
        <v>17</v>
      </c>
      <c r="B246" s="256" t="s">
        <v>225</v>
      </c>
      <c r="C246" s="256" t="s">
        <v>1451</v>
      </c>
      <c r="D246" s="339">
        <v>46111.0</v>
      </c>
      <c r="E246" s="256" t="s">
        <v>4506</v>
      </c>
      <c r="F246" s="256" t="s">
        <v>4507</v>
      </c>
      <c r="G246" s="256" t="s">
        <v>4508</v>
      </c>
      <c r="H246" s="256" t="s">
        <v>4509</v>
      </c>
      <c r="I246" s="388" t="s">
        <v>4510</v>
      </c>
      <c r="J246" s="256" t="s">
        <v>4511</v>
      </c>
      <c r="K246" s="256" t="s">
        <v>4513</v>
      </c>
      <c r="L246" s="256"/>
      <c r="M246" s="422">
        <v>46183.94813109953</v>
      </c>
      <c r="N246" s="256"/>
      <c r="O246" s="256" t="b">
        <v>0</v>
      </c>
      <c r="P246" s="256"/>
      <c r="Q246" s="256" t="s">
        <v>845</v>
      </c>
      <c r="R246" s="353"/>
      <c r="S246" s="353"/>
    </row>
    <row r="247" ht="20.25" customHeight="1">
      <c r="A247" s="256" t="s">
        <v>906</v>
      </c>
      <c r="B247" s="256" t="s">
        <v>225</v>
      </c>
      <c r="C247" s="256" t="s">
        <v>1451</v>
      </c>
      <c r="D247" s="339">
        <v>46163.0</v>
      </c>
      <c r="E247" s="256" t="s">
        <v>4517</v>
      </c>
      <c r="F247" s="256" t="s">
        <v>4518</v>
      </c>
      <c r="G247" s="256" t="s">
        <v>4519</v>
      </c>
      <c r="H247" s="256" t="s">
        <v>4520</v>
      </c>
      <c r="I247" s="388" t="s">
        <v>1811</v>
      </c>
      <c r="J247" s="256" t="s">
        <v>4521</v>
      </c>
      <c r="K247" s="256"/>
      <c r="L247" s="256"/>
      <c r="M247" s="422"/>
      <c r="N247" s="256"/>
      <c r="O247" s="256"/>
      <c r="P247" s="256"/>
      <c r="Q247" s="256"/>
      <c r="R247" s="353"/>
      <c r="S247" s="353"/>
    </row>
    <row r="248" ht="20.25" customHeight="1">
      <c r="A248" s="256" t="s">
        <v>410</v>
      </c>
      <c r="B248" s="256" t="s">
        <v>225</v>
      </c>
      <c r="C248" s="256" t="s">
        <v>1451</v>
      </c>
      <c r="D248" s="339">
        <v>46140.0</v>
      </c>
      <c r="E248" s="256" t="s">
        <v>4526</v>
      </c>
      <c r="F248" s="256" t="s">
        <v>4527</v>
      </c>
      <c r="G248" s="256" t="s">
        <v>4528</v>
      </c>
      <c r="H248" s="256" t="s">
        <v>4530</v>
      </c>
      <c r="I248" s="388" t="s">
        <v>2554</v>
      </c>
      <c r="J248" s="256" t="s">
        <v>4531</v>
      </c>
      <c r="K248" s="256" t="s">
        <v>4532</v>
      </c>
      <c r="L248" s="256"/>
      <c r="M248" s="422">
        <v>46183.861565555555</v>
      </c>
      <c r="N248" s="256"/>
      <c r="O248" s="256" t="b">
        <v>0</v>
      </c>
      <c r="P248" s="256"/>
      <c r="Q248" s="256"/>
      <c r="R248" s="353"/>
      <c r="S248" s="353"/>
    </row>
    <row r="249" ht="20.25" customHeight="1">
      <c r="A249" s="256" t="s">
        <v>62</v>
      </c>
      <c r="B249" s="256" t="s">
        <v>225</v>
      </c>
      <c r="C249" s="256" t="s">
        <v>1451</v>
      </c>
      <c r="D249" s="339">
        <v>46070.0</v>
      </c>
      <c r="E249" s="256" t="s">
        <v>4270</v>
      </c>
      <c r="F249" s="256" t="s">
        <v>4272</v>
      </c>
      <c r="G249" s="256" t="s">
        <v>4273</v>
      </c>
      <c r="H249" s="256" t="s">
        <v>4274</v>
      </c>
      <c r="I249" s="388" t="s">
        <v>4537</v>
      </c>
      <c r="J249" s="256" t="s">
        <v>4276</v>
      </c>
      <c r="K249" s="256" t="s">
        <v>4278</v>
      </c>
      <c r="L249" s="256"/>
      <c r="M249" s="422">
        <v>46071.82264628472</v>
      </c>
      <c r="N249" s="256"/>
      <c r="O249" s="256" t="b">
        <v>0</v>
      </c>
      <c r="P249" s="256"/>
      <c r="Q249" s="256"/>
      <c r="R249" s="353"/>
      <c r="S249" s="353"/>
    </row>
    <row r="250" ht="20.25" customHeight="1">
      <c r="A250" s="256" t="s">
        <v>135</v>
      </c>
      <c r="B250" s="256" t="s">
        <v>225</v>
      </c>
      <c r="C250" s="256" t="s">
        <v>1451</v>
      </c>
      <c r="D250" s="339">
        <v>46009.0</v>
      </c>
      <c r="E250" s="256" t="s">
        <v>4092</v>
      </c>
      <c r="F250" s="256" t="s">
        <v>4093</v>
      </c>
      <c r="G250" s="256" t="s">
        <v>4096</v>
      </c>
      <c r="H250" s="256" t="s">
        <v>4098</v>
      </c>
      <c r="I250" s="388" t="s">
        <v>4100</v>
      </c>
      <c r="J250" s="256" t="s">
        <v>4103</v>
      </c>
      <c r="K250" s="256" t="s">
        <v>4541</v>
      </c>
      <c r="L250" s="256"/>
      <c r="M250" s="422"/>
      <c r="N250" s="256"/>
      <c r="O250" s="256" t="b">
        <v>0</v>
      </c>
      <c r="P250" s="256"/>
      <c r="Q250" s="256"/>
      <c r="R250" s="353"/>
      <c r="S250" s="353"/>
    </row>
    <row r="251" ht="20.25" customHeight="1">
      <c r="A251" s="256" t="s">
        <v>135</v>
      </c>
      <c r="B251" s="256" t="s">
        <v>225</v>
      </c>
      <c r="C251" s="256" t="s">
        <v>1451</v>
      </c>
      <c r="D251" s="339">
        <v>45664.0</v>
      </c>
      <c r="E251" s="256" t="s">
        <v>3553</v>
      </c>
      <c r="F251" s="256" t="s">
        <v>3555</v>
      </c>
      <c r="G251" s="256" t="s">
        <v>3557</v>
      </c>
      <c r="H251" s="256" t="s">
        <v>3558</v>
      </c>
      <c r="I251" s="388" t="s">
        <v>2317</v>
      </c>
      <c r="J251" s="256" t="s">
        <v>3560</v>
      </c>
      <c r="K251" s="256" t="s">
        <v>4545</v>
      </c>
      <c r="L251" s="256"/>
      <c r="M251" s="422">
        <v>46099.915542546296</v>
      </c>
      <c r="N251" s="256"/>
      <c r="O251" s="256" t="b">
        <v>0</v>
      </c>
      <c r="P251" s="256"/>
      <c r="Q251" s="256"/>
      <c r="R251" s="353"/>
      <c r="S251" s="353"/>
    </row>
    <row r="252" ht="20.25" customHeight="1">
      <c r="A252" s="256" t="s">
        <v>62</v>
      </c>
      <c r="B252" s="256" t="s">
        <v>225</v>
      </c>
      <c r="C252" s="256" t="s">
        <v>1451</v>
      </c>
      <c r="D252" s="339">
        <v>46071.0</v>
      </c>
      <c r="E252" s="256" t="s">
        <v>4415</v>
      </c>
      <c r="F252" s="256" t="s">
        <v>4416</v>
      </c>
      <c r="G252" s="256" t="s">
        <v>4418</v>
      </c>
      <c r="H252" s="256" t="s">
        <v>4419</v>
      </c>
      <c r="I252" s="388" t="s">
        <v>1089</v>
      </c>
      <c r="J252" s="256"/>
      <c r="K252" s="256" t="s">
        <v>4548</v>
      </c>
      <c r="L252" s="256"/>
      <c r="M252" s="422">
        <v>46099.91007972222</v>
      </c>
      <c r="N252" s="256"/>
      <c r="O252" s="256" t="b">
        <v>0</v>
      </c>
      <c r="P252" s="256"/>
      <c r="Q252" s="256"/>
      <c r="R252" s="353"/>
      <c r="S252" s="353"/>
    </row>
    <row r="253" ht="20.25" customHeight="1">
      <c r="A253" s="256" t="s">
        <v>62</v>
      </c>
      <c r="B253" s="256" t="s">
        <v>225</v>
      </c>
      <c r="C253" s="256" t="s">
        <v>1451</v>
      </c>
      <c r="D253" s="339">
        <v>46080.0</v>
      </c>
      <c r="E253" s="256" t="s">
        <v>4482</v>
      </c>
      <c r="F253" s="256" t="s">
        <v>4483</v>
      </c>
      <c r="G253" s="256" t="s">
        <v>4484</v>
      </c>
      <c r="H253" s="256" t="s">
        <v>4485</v>
      </c>
      <c r="I253" s="388" t="s">
        <v>850</v>
      </c>
      <c r="J253" s="256"/>
      <c r="K253" s="256" t="s">
        <v>4550</v>
      </c>
      <c r="L253" s="256"/>
      <c r="M253" s="422">
        <v>46085.007273807874</v>
      </c>
      <c r="N253" s="256"/>
      <c r="O253" s="256" t="b">
        <v>0</v>
      </c>
      <c r="P253" s="256"/>
      <c r="Q253" s="256"/>
      <c r="R253" s="353"/>
      <c r="S253" s="353"/>
    </row>
    <row r="254" ht="20.25" customHeight="1">
      <c r="A254" s="256" t="s">
        <v>135</v>
      </c>
      <c r="B254" s="256" t="s">
        <v>225</v>
      </c>
      <c r="C254" s="256" t="s">
        <v>1451</v>
      </c>
      <c r="D254" s="339">
        <v>46013.0</v>
      </c>
      <c r="E254" s="256" t="s">
        <v>4552</v>
      </c>
      <c r="F254" s="256" t="s">
        <v>4553</v>
      </c>
      <c r="G254" s="256">
        <v>6.464509256E9</v>
      </c>
      <c r="H254" s="256" t="s">
        <v>4555</v>
      </c>
      <c r="I254" s="388" t="s">
        <v>3209</v>
      </c>
      <c r="J254" s="256" t="s">
        <v>4556</v>
      </c>
      <c r="K254" s="256" t="s">
        <v>4557</v>
      </c>
      <c r="L254" s="256"/>
      <c r="M254" s="422"/>
      <c r="N254" s="256" t="b">
        <v>0</v>
      </c>
      <c r="O254" s="256"/>
      <c r="P254" s="256"/>
      <c r="Q254" s="256"/>
      <c r="R254" s="353"/>
      <c r="S254" s="353"/>
    </row>
    <row r="255" ht="20.25" customHeight="1">
      <c r="A255" s="256" t="s">
        <v>17</v>
      </c>
      <c r="B255" s="256" t="s">
        <v>225</v>
      </c>
      <c r="C255" s="256" t="s">
        <v>1451</v>
      </c>
      <c r="D255" s="339">
        <v>46038.0</v>
      </c>
      <c r="E255" s="256" t="s">
        <v>3645</v>
      </c>
      <c r="F255" s="256" t="s">
        <v>3647</v>
      </c>
      <c r="G255" s="256" t="s">
        <v>3649</v>
      </c>
      <c r="H255" s="256" t="s">
        <v>3650</v>
      </c>
      <c r="I255" s="388" t="s">
        <v>2827</v>
      </c>
      <c r="J255" s="256" t="s">
        <v>3652</v>
      </c>
      <c r="K255" s="256" t="s">
        <v>4561</v>
      </c>
      <c r="L255" s="256"/>
      <c r="M255" s="422"/>
      <c r="N255" s="256"/>
      <c r="O255" s="256" t="b">
        <v>0</v>
      </c>
      <c r="P255" s="256"/>
      <c r="Q255" s="256"/>
      <c r="R255" s="353"/>
      <c r="S255" s="353"/>
    </row>
    <row r="256" ht="20.25" customHeight="1">
      <c r="A256" s="256" t="s">
        <v>62</v>
      </c>
      <c r="B256" s="256" t="s">
        <v>225</v>
      </c>
      <c r="C256" s="256" t="s">
        <v>1451</v>
      </c>
      <c r="D256" s="339">
        <v>46043.0</v>
      </c>
      <c r="E256" s="256" t="s">
        <v>3904</v>
      </c>
      <c r="F256" s="256" t="s">
        <v>3905</v>
      </c>
      <c r="G256" s="256" t="s">
        <v>3906</v>
      </c>
      <c r="H256" s="256" t="s">
        <v>3907</v>
      </c>
      <c r="I256" s="388" t="s">
        <v>497</v>
      </c>
      <c r="J256" s="256" t="s">
        <v>3908</v>
      </c>
      <c r="K256" s="256" t="s">
        <v>1000</v>
      </c>
      <c r="L256" s="256"/>
      <c r="M256" s="422">
        <v>46099.91582545139</v>
      </c>
      <c r="N256" s="256"/>
      <c r="O256" s="256"/>
      <c r="P256" s="256"/>
      <c r="Q256" s="256"/>
      <c r="R256" s="353"/>
      <c r="S256" s="353"/>
    </row>
    <row r="257" ht="20.25" customHeight="1">
      <c r="A257" s="256" t="s">
        <v>62</v>
      </c>
      <c r="B257" s="256" t="s">
        <v>225</v>
      </c>
      <c r="C257" s="256" t="s">
        <v>1451</v>
      </c>
      <c r="D257" s="339">
        <v>46052.0</v>
      </c>
      <c r="E257" s="256" t="s">
        <v>3758</v>
      </c>
      <c r="F257" s="256" t="s">
        <v>3759</v>
      </c>
      <c r="G257" s="256" t="s">
        <v>3760</v>
      </c>
      <c r="H257" s="256" t="s">
        <v>3761</v>
      </c>
      <c r="I257" s="388" t="s">
        <v>4568</v>
      </c>
      <c r="J257" s="256" t="s">
        <v>3764</v>
      </c>
      <c r="K257" s="256" t="s">
        <v>4569</v>
      </c>
      <c r="L257" s="256"/>
      <c r="M257" s="422">
        <v>46064.882049907406</v>
      </c>
      <c r="N257" s="256"/>
      <c r="O257" s="256" t="b">
        <v>0</v>
      </c>
      <c r="P257" s="256"/>
      <c r="Q257" s="256"/>
      <c r="R257" s="353"/>
      <c r="S257" s="353"/>
    </row>
    <row r="258" ht="20.25" customHeight="1">
      <c r="A258" s="256" t="s">
        <v>135</v>
      </c>
      <c r="B258" s="256" t="s">
        <v>225</v>
      </c>
      <c r="C258" s="256" t="s">
        <v>1451</v>
      </c>
      <c r="D258" s="339">
        <v>46203.0</v>
      </c>
      <c r="E258" s="256" t="s">
        <v>4572</v>
      </c>
      <c r="F258" s="256" t="s">
        <v>4573</v>
      </c>
      <c r="G258" s="256" t="s">
        <v>4574</v>
      </c>
      <c r="H258" s="256" t="s">
        <v>4575</v>
      </c>
      <c r="I258" s="388" t="s">
        <v>1811</v>
      </c>
      <c r="J258" s="256" t="s">
        <v>4576</v>
      </c>
      <c r="K258" s="256" t="s">
        <v>4577</v>
      </c>
      <c r="L258" s="256"/>
      <c r="M258" s="422">
        <v>46205.786410416666</v>
      </c>
      <c r="N258" s="256"/>
      <c r="O258" s="256"/>
      <c r="P258" s="256"/>
      <c r="Q258" s="256"/>
      <c r="R258" s="353"/>
      <c r="S258" s="353"/>
    </row>
    <row r="259" ht="20.25" customHeight="1">
      <c r="A259" s="256" t="s">
        <v>17</v>
      </c>
      <c r="B259" s="256" t="s">
        <v>225</v>
      </c>
      <c r="C259" s="256" t="s">
        <v>1451</v>
      </c>
      <c r="D259" s="339">
        <v>46129.0</v>
      </c>
      <c r="E259" s="256" t="s">
        <v>4581</v>
      </c>
      <c r="F259" s="256" t="s">
        <v>4582</v>
      </c>
      <c r="G259" s="256" t="s">
        <v>4583</v>
      </c>
      <c r="H259" s="256" t="s">
        <v>4584</v>
      </c>
      <c r="I259" s="388" t="s">
        <v>4585</v>
      </c>
      <c r="J259" s="256" t="s">
        <v>4586</v>
      </c>
      <c r="K259" s="256" t="s">
        <v>4587</v>
      </c>
      <c r="L259" s="256"/>
      <c r="M259" s="422">
        <v>46205.85051898148</v>
      </c>
      <c r="N259" s="256"/>
      <c r="O259" s="256" t="b">
        <v>0</v>
      </c>
      <c r="P259" s="256"/>
      <c r="Q259" s="256"/>
      <c r="R259" s="353"/>
      <c r="S259" s="353"/>
    </row>
    <row r="260" ht="20.25" customHeight="1">
      <c r="A260" s="353" t="s">
        <v>62</v>
      </c>
      <c r="B260" s="353" t="s">
        <v>225</v>
      </c>
      <c r="C260" s="353" t="s">
        <v>1451</v>
      </c>
      <c r="D260" s="424">
        <v>46126.0</v>
      </c>
      <c r="E260" s="353" t="s">
        <v>4589</v>
      </c>
      <c r="F260" s="353" t="s">
        <v>4590</v>
      </c>
      <c r="G260" s="353" t="s">
        <v>4591</v>
      </c>
      <c r="H260" s="353" t="s">
        <v>4592</v>
      </c>
      <c r="I260" s="425" t="s">
        <v>2526</v>
      </c>
      <c r="J260" s="353" t="s">
        <v>4595</v>
      </c>
      <c r="K260" s="353" t="s">
        <v>4596</v>
      </c>
      <c r="L260" s="353"/>
      <c r="M260" s="426">
        <v>46155.95913042824</v>
      </c>
      <c r="N260" s="353"/>
      <c r="O260" s="353" t="b">
        <v>0</v>
      </c>
      <c r="P260" s="353"/>
      <c r="Q260" s="353"/>
      <c r="R260" s="353"/>
      <c r="S260" s="353"/>
    </row>
    <row r="261" ht="20.25" customHeight="1">
      <c r="A261" s="353" t="s">
        <v>17</v>
      </c>
      <c r="B261" s="353" t="s">
        <v>25</v>
      </c>
      <c r="C261" s="353" t="s">
        <v>1527</v>
      </c>
      <c r="D261" s="424">
        <v>46209.0</v>
      </c>
      <c r="E261" s="353" t="s">
        <v>4599</v>
      </c>
      <c r="F261" s="353" t="s">
        <v>4601</v>
      </c>
      <c r="G261" s="353" t="s">
        <v>4602</v>
      </c>
      <c r="H261" s="353" t="s">
        <v>4603</v>
      </c>
      <c r="I261" s="425" t="s">
        <v>4604</v>
      </c>
      <c r="J261" s="353" t="s">
        <v>4605</v>
      </c>
      <c r="K261" s="353"/>
      <c r="L261" s="353"/>
      <c r="M261" s="426"/>
      <c r="N261" s="353"/>
      <c r="O261" s="353"/>
      <c r="P261" s="353"/>
      <c r="Q261" s="353"/>
      <c r="R261" s="353"/>
      <c r="S261" s="353"/>
    </row>
    <row r="262" ht="20.25" customHeight="1">
      <c r="A262" s="353" t="s">
        <v>17</v>
      </c>
      <c r="B262" s="353" t="s">
        <v>53</v>
      </c>
      <c r="C262" s="353" t="s">
        <v>1451</v>
      </c>
      <c r="D262" s="424">
        <v>46038.0</v>
      </c>
      <c r="E262" s="353" t="s">
        <v>3657</v>
      </c>
      <c r="F262" s="353" t="s">
        <v>3658</v>
      </c>
      <c r="G262" s="353" t="s">
        <v>4608</v>
      </c>
      <c r="H262" s="353" t="s">
        <v>3661</v>
      </c>
      <c r="I262" s="425" t="s">
        <v>1467</v>
      </c>
      <c r="J262" s="353" t="s">
        <v>3663</v>
      </c>
      <c r="K262" s="353" t="s">
        <v>4611</v>
      </c>
      <c r="L262" s="353"/>
      <c r="M262" s="426">
        <v>46183.86926049768</v>
      </c>
      <c r="N262" s="353"/>
      <c r="O262" s="353" t="b">
        <v>0</v>
      </c>
      <c r="P262" s="353"/>
      <c r="Q262" s="353" t="s">
        <v>4613</v>
      </c>
      <c r="R262" s="353"/>
      <c r="S262" s="353"/>
    </row>
    <row r="263" ht="20.25" customHeight="1">
      <c r="A263" s="353" t="s">
        <v>22</v>
      </c>
      <c r="B263" s="353" t="s">
        <v>225</v>
      </c>
      <c r="C263" s="353" t="s">
        <v>1451</v>
      </c>
      <c r="D263" s="424">
        <v>46210.0</v>
      </c>
      <c r="E263" s="353" t="s">
        <v>4616</v>
      </c>
      <c r="F263" s="353" t="s">
        <v>4619</v>
      </c>
      <c r="G263" s="353" t="s">
        <v>4620</v>
      </c>
      <c r="H263" s="353" t="s">
        <v>4621</v>
      </c>
      <c r="I263" s="425" t="s">
        <v>548</v>
      </c>
      <c r="J263" s="353" t="s">
        <v>4623</v>
      </c>
      <c r="K263" s="353" t="s">
        <v>4624</v>
      </c>
      <c r="L263" s="353"/>
      <c r="M263" s="426">
        <v>46217.853896851855</v>
      </c>
      <c r="N263" s="353"/>
      <c r="O263" s="353"/>
      <c r="P263" s="353"/>
      <c r="Q263" s="353"/>
      <c r="R263" s="353"/>
      <c r="S263" s="353"/>
    </row>
    <row r="264" ht="20.25" customHeight="1">
      <c r="A264" s="353" t="s">
        <v>17</v>
      </c>
      <c r="B264" s="353" t="s">
        <v>53</v>
      </c>
      <c r="C264" s="353" t="s">
        <v>1451</v>
      </c>
      <c r="D264" s="424">
        <v>46198.0</v>
      </c>
      <c r="E264" s="353" t="s">
        <v>4628</v>
      </c>
      <c r="F264" s="353" t="s">
        <v>4630</v>
      </c>
      <c r="G264" s="353" t="s">
        <v>4631</v>
      </c>
      <c r="H264" s="353" t="s">
        <v>4632</v>
      </c>
      <c r="I264" s="425" t="s">
        <v>686</v>
      </c>
      <c r="J264" s="353" t="s">
        <v>4634</v>
      </c>
      <c r="K264" s="353" t="s">
        <v>4635</v>
      </c>
      <c r="L264" s="353"/>
      <c r="M264" s="426">
        <v>46218.68578679398</v>
      </c>
      <c r="N264" s="353"/>
      <c r="O264" s="353"/>
      <c r="P264" s="353"/>
      <c r="Q264" s="353"/>
      <c r="R264" s="353"/>
      <c r="S264" s="353"/>
    </row>
    <row r="265" ht="20.25" customHeight="1">
      <c r="A265" s="353" t="s">
        <v>410</v>
      </c>
      <c r="B265" s="353" t="s">
        <v>53</v>
      </c>
      <c r="C265" s="353" t="s">
        <v>1451</v>
      </c>
      <c r="D265" s="424">
        <v>46216.0</v>
      </c>
      <c r="E265" s="353" t="s">
        <v>4640</v>
      </c>
      <c r="F265" s="353" t="s">
        <v>4642</v>
      </c>
      <c r="G265" s="353" t="s">
        <v>4643</v>
      </c>
      <c r="H265" s="353" t="s">
        <v>4644</v>
      </c>
      <c r="I265" s="425" t="s">
        <v>1170</v>
      </c>
      <c r="J265" s="353" t="s">
        <v>4646</v>
      </c>
      <c r="K265" s="353" t="s">
        <v>4648</v>
      </c>
      <c r="L265" s="353"/>
      <c r="M265" s="426">
        <v>46219.80051747685</v>
      </c>
      <c r="N265" s="353"/>
      <c r="O265" s="353"/>
      <c r="P265" s="353"/>
      <c r="Q265" s="353"/>
      <c r="R265" s="353"/>
      <c r="S265" s="353"/>
    </row>
    <row r="266" ht="20.25" customHeight="1">
      <c r="A266" s="353" t="s">
        <v>17</v>
      </c>
      <c r="B266" s="353" t="s">
        <v>53</v>
      </c>
      <c r="C266" s="353" t="s">
        <v>1451</v>
      </c>
      <c r="D266" s="424">
        <v>46188.0</v>
      </c>
      <c r="E266" s="353" t="s">
        <v>4653</v>
      </c>
      <c r="F266" s="353" t="s">
        <v>4654</v>
      </c>
      <c r="G266" s="353">
        <v>7.08263323E9</v>
      </c>
      <c r="H266" s="353" t="s">
        <v>4655</v>
      </c>
      <c r="I266" s="425" t="s">
        <v>4183</v>
      </c>
      <c r="J266" s="353" t="s">
        <v>4657</v>
      </c>
      <c r="K266" s="353" t="s">
        <v>4658</v>
      </c>
      <c r="L266" s="353"/>
      <c r="M266" s="426">
        <v>46189.781573113425</v>
      </c>
      <c r="N266" s="353"/>
      <c r="O266" s="353"/>
      <c r="P266" s="353"/>
      <c r="Q266" s="353"/>
      <c r="R266" s="353"/>
      <c r="S266" s="353"/>
    </row>
    <row r="267" ht="20.25" customHeight="1">
      <c r="A267" s="353" t="s">
        <v>410</v>
      </c>
      <c r="B267" s="353" t="s">
        <v>53</v>
      </c>
      <c r="C267" s="353" t="s">
        <v>1451</v>
      </c>
      <c r="D267" s="424">
        <v>46143.0</v>
      </c>
      <c r="E267" s="353" t="s">
        <v>4661</v>
      </c>
      <c r="F267" s="353" t="s">
        <v>4662</v>
      </c>
      <c r="G267" s="353" t="s">
        <v>4663</v>
      </c>
      <c r="H267" s="353" t="s">
        <v>4664</v>
      </c>
      <c r="I267" s="425" t="s">
        <v>290</v>
      </c>
      <c r="J267" s="353" t="s">
        <v>4665</v>
      </c>
      <c r="K267" s="353" t="s">
        <v>4666</v>
      </c>
      <c r="L267" s="353"/>
      <c r="M267" s="426">
        <v>46175.81948759259</v>
      </c>
      <c r="N267" s="353"/>
      <c r="O267" s="353" t="b">
        <v>0</v>
      </c>
      <c r="P267" s="353"/>
      <c r="Q267" s="353">
        <v>1.811992142E9</v>
      </c>
      <c r="R267" s="353"/>
      <c r="S267" s="353"/>
    </row>
    <row r="268" ht="20.25" customHeight="1">
      <c r="A268" s="353" t="s">
        <v>62</v>
      </c>
      <c r="B268" s="353" t="s">
        <v>53</v>
      </c>
      <c r="C268" s="353" t="s">
        <v>3021</v>
      </c>
      <c r="D268" s="424">
        <v>46121.0</v>
      </c>
      <c r="E268" s="353" t="s">
        <v>4668</v>
      </c>
      <c r="F268" s="353" t="s">
        <v>4669</v>
      </c>
      <c r="G268" s="353" t="s">
        <v>4670</v>
      </c>
      <c r="H268" s="353" t="s">
        <v>4671</v>
      </c>
      <c r="I268" s="425" t="s">
        <v>762</v>
      </c>
      <c r="J268" s="353" t="s">
        <v>4674</v>
      </c>
      <c r="K268" s="353" t="s">
        <v>4675</v>
      </c>
      <c r="L268" s="353"/>
      <c r="M268" s="426">
        <v>46122.88462332176</v>
      </c>
      <c r="N268" s="353"/>
      <c r="O268" s="353" t="b">
        <v>0</v>
      </c>
      <c r="P268" s="353"/>
      <c r="Q268" s="353"/>
      <c r="R268" s="353"/>
      <c r="S268" s="353"/>
    </row>
    <row r="269" ht="20.25" customHeight="1">
      <c r="A269" s="353" t="s">
        <v>62</v>
      </c>
      <c r="B269" s="353" t="s">
        <v>53</v>
      </c>
      <c r="C269" s="353" t="s">
        <v>1451</v>
      </c>
      <c r="D269" s="424">
        <v>45985.0</v>
      </c>
      <c r="E269" s="353" t="s">
        <v>3404</v>
      </c>
      <c r="F269" s="353" t="s">
        <v>3406</v>
      </c>
      <c r="G269" s="353" t="s">
        <v>3407</v>
      </c>
      <c r="H269" s="353" t="s">
        <v>3408</v>
      </c>
      <c r="I269" s="425" t="s">
        <v>2930</v>
      </c>
      <c r="J269" s="353" t="s">
        <v>3409</v>
      </c>
      <c r="K269" s="353" t="s">
        <v>4681</v>
      </c>
      <c r="L269" s="353"/>
      <c r="M269" s="426"/>
      <c r="N269" s="353"/>
      <c r="O269" s="353" t="b">
        <v>0</v>
      </c>
      <c r="P269" s="353"/>
      <c r="Q269" s="353"/>
      <c r="R269" s="353"/>
      <c r="S269" s="353"/>
    </row>
    <row r="270" ht="20.25" customHeight="1">
      <c r="A270" s="353" t="s">
        <v>62</v>
      </c>
      <c r="B270" s="353" t="s">
        <v>53</v>
      </c>
      <c r="C270" s="353" t="s">
        <v>1451</v>
      </c>
      <c r="D270" s="424">
        <v>45981.0</v>
      </c>
      <c r="E270" s="353" t="s">
        <v>4684</v>
      </c>
      <c r="F270" s="353" t="s">
        <v>4685</v>
      </c>
      <c r="G270" s="353" t="s">
        <v>4686</v>
      </c>
      <c r="H270" s="353" t="s">
        <v>4687</v>
      </c>
      <c r="I270" s="425" t="s">
        <v>69</v>
      </c>
      <c r="J270" s="353" t="s">
        <v>4688</v>
      </c>
      <c r="K270" s="353" t="s">
        <v>4689</v>
      </c>
      <c r="L270" s="353"/>
      <c r="M270" s="426"/>
      <c r="N270" s="353"/>
      <c r="O270" s="353" t="b">
        <v>0</v>
      </c>
      <c r="P270" s="353"/>
      <c r="Q270" s="353"/>
      <c r="R270" s="353"/>
      <c r="S270" s="353"/>
    </row>
    <row r="271" ht="20.25" customHeight="1">
      <c r="A271" s="353" t="s">
        <v>410</v>
      </c>
      <c r="B271" s="353" t="s">
        <v>53</v>
      </c>
      <c r="C271" s="353" t="s">
        <v>1451</v>
      </c>
      <c r="D271" s="424">
        <v>45847.0</v>
      </c>
      <c r="E271" s="353" t="s">
        <v>4691</v>
      </c>
      <c r="F271" s="353" t="s">
        <v>4692</v>
      </c>
      <c r="G271" s="353" t="s">
        <v>4693</v>
      </c>
      <c r="H271" s="353" t="s">
        <v>4694</v>
      </c>
      <c r="I271" s="425" t="s">
        <v>4695</v>
      </c>
      <c r="J271" s="353" t="s">
        <v>4333</v>
      </c>
      <c r="K271" s="353" t="s">
        <v>4697</v>
      </c>
      <c r="L271" s="353"/>
      <c r="M271" s="426">
        <v>46183.84239305556</v>
      </c>
      <c r="N271" s="353"/>
      <c r="O271" s="353" t="b">
        <v>0</v>
      </c>
      <c r="P271" s="353"/>
      <c r="Q271" s="353"/>
      <c r="R271" s="353"/>
      <c r="S271" s="353"/>
    </row>
    <row r="272" ht="20.25" customHeight="1">
      <c r="A272" s="353" t="s">
        <v>22</v>
      </c>
      <c r="B272" s="353" t="s">
        <v>53</v>
      </c>
      <c r="C272" s="353" t="s">
        <v>1451</v>
      </c>
      <c r="D272" s="424">
        <v>45761.0</v>
      </c>
      <c r="E272" s="353" t="s">
        <v>4700</v>
      </c>
      <c r="F272" s="353" t="s">
        <v>4701</v>
      </c>
      <c r="G272" s="353" t="s">
        <v>4702</v>
      </c>
      <c r="H272" s="353" t="s">
        <v>4703</v>
      </c>
      <c r="I272" s="425" t="s">
        <v>2096</v>
      </c>
      <c r="J272" s="353" t="s">
        <v>4704</v>
      </c>
      <c r="K272" s="353" t="s">
        <v>4705</v>
      </c>
      <c r="L272" s="353"/>
      <c r="M272" s="426"/>
      <c r="N272" s="353"/>
      <c r="O272" s="353" t="b">
        <v>0</v>
      </c>
      <c r="P272" s="353"/>
      <c r="Q272" s="353"/>
      <c r="R272" s="353"/>
      <c r="S272" s="353"/>
    </row>
    <row r="273" ht="20.25" customHeight="1">
      <c r="A273" s="353" t="s">
        <v>22</v>
      </c>
      <c r="B273" s="353" t="s">
        <v>53</v>
      </c>
      <c r="C273" s="353" t="s">
        <v>1451</v>
      </c>
      <c r="D273" s="424">
        <v>46055.0</v>
      </c>
      <c r="E273" s="353" t="s">
        <v>3769</v>
      </c>
      <c r="F273" s="353" t="s">
        <v>3770</v>
      </c>
      <c r="G273" s="353" t="s">
        <v>3771</v>
      </c>
      <c r="H273" s="353" t="s">
        <v>3773</v>
      </c>
      <c r="I273" s="425" t="s">
        <v>1146</v>
      </c>
      <c r="J273" s="353" t="s">
        <v>4189</v>
      </c>
      <c r="K273" s="353" t="s">
        <v>4712</v>
      </c>
      <c r="L273" s="353"/>
      <c r="M273" s="426">
        <v>46183.89228270833</v>
      </c>
      <c r="N273" s="353"/>
      <c r="O273" s="353"/>
      <c r="P273" s="353"/>
      <c r="Q273" s="353"/>
      <c r="R273" s="353"/>
      <c r="S273" s="353"/>
    </row>
    <row r="274" ht="20.25" customHeight="1">
      <c r="A274" s="353" t="s">
        <v>17</v>
      </c>
      <c r="B274" s="353" t="s">
        <v>53</v>
      </c>
      <c r="C274" s="353" t="s">
        <v>1451</v>
      </c>
      <c r="D274" s="424">
        <v>46051.0</v>
      </c>
      <c r="E274" s="353" t="s">
        <v>3866</v>
      </c>
      <c r="F274" s="353" t="s">
        <v>3867</v>
      </c>
      <c r="G274" s="353" t="s">
        <v>3868</v>
      </c>
      <c r="H274" s="353" t="s">
        <v>3869</v>
      </c>
      <c r="I274" s="425" t="s">
        <v>1244</v>
      </c>
      <c r="J274" s="353" t="s">
        <v>3870</v>
      </c>
      <c r="K274" s="353" t="s">
        <v>4718</v>
      </c>
      <c r="L274" s="353"/>
      <c r="M274" s="426">
        <v>46177.83511255787</v>
      </c>
      <c r="N274" s="353"/>
      <c r="O274" s="353"/>
      <c r="P274" s="353"/>
      <c r="Q274" s="353"/>
      <c r="R274" s="353"/>
      <c r="S274" s="353"/>
    </row>
    <row r="275" ht="20.25" customHeight="1">
      <c r="A275" s="353" t="s">
        <v>62</v>
      </c>
      <c r="B275" s="353" t="s">
        <v>53</v>
      </c>
      <c r="C275" s="353" t="s">
        <v>1451</v>
      </c>
      <c r="D275" s="424">
        <v>45944.0</v>
      </c>
      <c r="E275" s="353" t="s">
        <v>3298</v>
      </c>
      <c r="F275" s="353" t="s">
        <v>3299</v>
      </c>
      <c r="G275" s="353" t="s">
        <v>3300</v>
      </c>
      <c r="H275" s="353" t="s">
        <v>3301</v>
      </c>
      <c r="I275" s="425" t="s">
        <v>3302</v>
      </c>
      <c r="J275" s="353" t="s">
        <v>3304</v>
      </c>
      <c r="K275" s="353" t="s">
        <v>4730</v>
      </c>
      <c r="L275" s="353"/>
      <c r="M275" s="426"/>
      <c r="N275" s="353"/>
      <c r="O275" s="353" t="b">
        <v>0</v>
      </c>
      <c r="P275" s="353"/>
      <c r="Q275" s="353"/>
      <c r="R275" s="353"/>
      <c r="S275" s="353"/>
    </row>
    <row r="276" ht="20.25" customHeight="1">
      <c r="A276" s="353" t="s">
        <v>22</v>
      </c>
      <c r="B276" s="353" t="s">
        <v>53</v>
      </c>
      <c r="C276" s="353" t="s">
        <v>1451</v>
      </c>
      <c r="D276" s="424">
        <v>45895.0</v>
      </c>
      <c r="E276" s="353" t="s">
        <v>4737</v>
      </c>
      <c r="F276" s="353" t="s">
        <v>4738</v>
      </c>
      <c r="G276" s="353" t="s">
        <v>4739</v>
      </c>
      <c r="H276" s="353" t="s">
        <v>4741</v>
      </c>
      <c r="I276" s="425" t="s">
        <v>123</v>
      </c>
      <c r="J276" s="353" t="s">
        <v>4743</v>
      </c>
      <c r="K276" s="353" t="s">
        <v>4744</v>
      </c>
      <c r="L276" s="353"/>
      <c r="M276" s="426"/>
      <c r="N276" s="353"/>
      <c r="O276" s="353" t="b">
        <v>0</v>
      </c>
      <c r="P276" s="353"/>
      <c r="Q276" s="353"/>
      <c r="R276" s="353"/>
      <c r="S276" s="353"/>
    </row>
    <row r="277" ht="20.25" customHeight="1">
      <c r="A277" s="353" t="s">
        <v>22</v>
      </c>
      <c r="B277" s="353" t="s">
        <v>53</v>
      </c>
      <c r="C277" s="353" t="s">
        <v>1451</v>
      </c>
      <c r="D277" s="424">
        <v>45880.0</v>
      </c>
      <c r="E277" s="353" t="s">
        <v>4751</v>
      </c>
      <c r="F277" s="353" t="s">
        <v>4752</v>
      </c>
      <c r="G277" s="353" t="s">
        <v>4754</v>
      </c>
      <c r="H277" s="353" t="s">
        <v>4757</v>
      </c>
      <c r="I277" s="425" t="s">
        <v>1760</v>
      </c>
      <c r="J277" s="353" t="s">
        <v>4758</v>
      </c>
      <c r="K277" s="353" t="s">
        <v>4760</v>
      </c>
      <c r="L277" s="353"/>
      <c r="M277" s="426"/>
      <c r="N277" s="353"/>
      <c r="O277" s="353" t="b">
        <v>0</v>
      </c>
      <c r="P277" s="353"/>
      <c r="Q277" s="353"/>
      <c r="R277" s="353"/>
      <c r="S277" s="353"/>
    </row>
    <row r="278" ht="20.25" customHeight="1">
      <c r="A278" s="353" t="s">
        <v>410</v>
      </c>
      <c r="B278" s="353" t="s">
        <v>53</v>
      </c>
      <c r="C278" s="353" t="s">
        <v>1451</v>
      </c>
      <c r="D278" s="424">
        <v>45873.0</v>
      </c>
      <c r="E278" s="353" t="s">
        <v>4767</v>
      </c>
      <c r="F278" s="353" t="s">
        <v>4768</v>
      </c>
      <c r="G278" s="353" t="s">
        <v>4769</v>
      </c>
      <c r="H278" s="353" t="s">
        <v>4771</v>
      </c>
      <c r="I278" s="425" t="s">
        <v>3372</v>
      </c>
      <c r="J278" s="353" t="s">
        <v>4772</v>
      </c>
      <c r="K278" s="353" t="s">
        <v>4774</v>
      </c>
      <c r="L278" s="353"/>
      <c r="M278" s="426">
        <v>46112.895914768524</v>
      </c>
      <c r="N278" s="353"/>
      <c r="O278" s="353" t="b">
        <v>0</v>
      </c>
      <c r="P278" s="353"/>
      <c r="Q278" s="353"/>
      <c r="R278" s="353"/>
      <c r="S278" s="353"/>
    </row>
    <row r="279" ht="20.25" customHeight="1">
      <c r="A279" s="353" t="s">
        <v>22</v>
      </c>
      <c r="B279" s="353" t="s">
        <v>53</v>
      </c>
      <c r="C279" s="353" t="s">
        <v>1451</v>
      </c>
      <c r="D279" s="424">
        <v>46114.0</v>
      </c>
      <c r="E279" s="353" t="s">
        <v>4779</v>
      </c>
      <c r="F279" s="353" t="s">
        <v>4780</v>
      </c>
      <c r="G279" s="353" t="s">
        <v>4781</v>
      </c>
      <c r="H279" s="353" t="s">
        <v>4782</v>
      </c>
      <c r="I279" s="425" t="s">
        <v>174</v>
      </c>
      <c r="J279" s="353" t="s">
        <v>4784</v>
      </c>
      <c r="K279" s="353" t="s">
        <v>4785</v>
      </c>
      <c r="L279" s="353"/>
      <c r="M279" s="426">
        <v>46160.933910300926</v>
      </c>
      <c r="N279" s="353"/>
      <c r="O279" s="353" t="b">
        <v>0</v>
      </c>
      <c r="P279" s="353"/>
      <c r="Q279" s="353">
        <v>1.396695896E9</v>
      </c>
      <c r="R279" s="353"/>
      <c r="S279" s="353"/>
    </row>
    <row r="280" ht="20.25" customHeight="1">
      <c r="A280" s="353" t="s">
        <v>22</v>
      </c>
      <c r="B280" s="353" t="s">
        <v>53</v>
      </c>
      <c r="C280" s="353" t="s">
        <v>1451</v>
      </c>
      <c r="D280" s="424">
        <v>46100.0</v>
      </c>
      <c r="E280" s="353" t="s">
        <v>829</v>
      </c>
      <c r="F280" s="353" t="s">
        <v>4792</v>
      </c>
      <c r="G280" s="353" t="s">
        <v>4793</v>
      </c>
      <c r="H280" s="353" t="s">
        <v>4794</v>
      </c>
      <c r="I280" s="425" t="s">
        <v>1760</v>
      </c>
      <c r="J280" s="353" t="s">
        <v>833</v>
      </c>
      <c r="K280" s="353" t="s">
        <v>4797</v>
      </c>
      <c r="L280" s="353"/>
      <c r="M280" s="426">
        <v>46146.82493420139</v>
      </c>
      <c r="N280" s="353"/>
      <c r="O280" s="353" t="b">
        <v>0</v>
      </c>
      <c r="P280" s="353"/>
      <c r="Q280" s="353">
        <v>1.831759497E9</v>
      </c>
      <c r="R280" s="353"/>
      <c r="S280" s="353"/>
    </row>
    <row r="281" ht="20.25" customHeight="1">
      <c r="A281" s="353" t="s">
        <v>155</v>
      </c>
      <c r="B281" s="353" t="s">
        <v>53</v>
      </c>
      <c r="C281" s="353" t="s">
        <v>1451</v>
      </c>
      <c r="D281" s="424">
        <v>46220.0</v>
      </c>
      <c r="E281" s="353" t="s">
        <v>4798</v>
      </c>
      <c r="F281" s="353" t="s">
        <v>4799</v>
      </c>
      <c r="G281" s="353">
        <v>8.135336599E9</v>
      </c>
      <c r="H281" s="353" t="s">
        <v>4800</v>
      </c>
      <c r="I281" s="425" t="s">
        <v>115</v>
      </c>
      <c r="J281" s="353" t="s">
        <v>4801</v>
      </c>
      <c r="K281" s="353" t="s">
        <v>4802</v>
      </c>
      <c r="L281" s="353"/>
      <c r="M281" s="426">
        <v>46223.80770564815</v>
      </c>
      <c r="N281" s="353"/>
      <c r="O281" s="353"/>
      <c r="P281" s="353"/>
      <c r="Q281" s="353">
        <v>1.992346571E9</v>
      </c>
      <c r="R281" s="353"/>
      <c r="S281" s="353"/>
    </row>
    <row r="282" ht="20.25" customHeight="1">
      <c r="A282" s="353" t="s">
        <v>155</v>
      </c>
      <c r="B282" s="353" t="s">
        <v>25</v>
      </c>
      <c r="C282" s="353" t="s">
        <v>3021</v>
      </c>
      <c r="D282" s="424">
        <v>46220.0</v>
      </c>
      <c r="E282" s="353" t="s">
        <v>4805</v>
      </c>
      <c r="F282" s="353" t="s">
        <v>4806</v>
      </c>
      <c r="G282" s="353" t="s">
        <v>4807</v>
      </c>
      <c r="H282" s="353" t="s">
        <v>4808</v>
      </c>
      <c r="I282" s="425" t="s">
        <v>2192</v>
      </c>
      <c r="J282" s="353" t="s">
        <v>4809</v>
      </c>
      <c r="K282" s="353" t="s">
        <v>4810</v>
      </c>
      <c r="L282" s="353"/>
      <c r="M282" s="426">
        <v>46223.94697377315</v>
      </c>
      <c r="N282" s="353"/>
      <c r="O282" s="353"/>
      <c r="P282" s="353"/>
      <c r="Q282" s="353"/>
      <c r="R282" s="353"/>
      <c r="S282" s="353"/>
    </row>
    <row r="283" ht="20.25" customHeight="1">
      <c r="A283" s="194" t="s">
        <v>410</v>
      </c>
      <c r="B283" s="17" t="s">
        <v>53</v>
      </c>
      <c r="C283" s="10" t="s">
        <v>1451</v>
      </c>
      <c r="D283" s="191">
        <v>46073.0</v>
      </c>
      <c r="E283" s="196" t="s">
        <v>4811</v>
      </c>
      <c r="F283" s="196" t="s">
        <v>4812</v>
      </c>
      <c r="G283" s="196" t="s">
        <v>4813</v>
      </c>
      <c r="H283" s="196" t="s">
        <v>4814</v>
      </c>
      <c r="I283" s="192" t="str">
        <f>HYPERLINK("https://calendar.google.com/calendar/u/0/r/eventedit/MG90amIzMWhtY2QxNGhuMWYwanBpNGEyaTggYzM5ZjIxNjY2YTJjNzBkNjQ0MDI0YmQyOWM3ZmM5ODM3OTY2MmY3OTJlNWEwNDdjZGIzNTdhNDJiM2M1N2QwNEBn", "Wed 6:30 PM")
</f>
        <v>Wed 6:30 PM</v>
      </c>
      <c r="J283" s="196" t="s">
        <v>4819</v>
      </c>
      <c r="K283" s="319" t="s">
        <v>4820</v>
      </c>
      <c r="L283" s="202"/>
      <c r="M283" s="427">
        <v>46218.90656950232</v>
      </c>
      <c r="N283" s="10"/>
      <c r="O283" s="302" t="b">
        <v>0</v>
      </c>
      <c r="P283" s="428" t="s">
        <v>86</v>
      </c>
      <c r="Q283" s="33">
        <v>1.144250382E9</v>
      </c>
      <c r="R283" s="127"/>
      <c r="S283" s="127"/>
    </row>
    <row r="284" ht="20.25" customHeight="1">
      <c r="A284" s="353" t="s">
        <v>62</v>
      </c>
      <c r="B284" s="353" t="s">
        <v>53</v>
      </c>
      <c r="C284" s="353" t="s">
        <v>1451</v>
      </c>
      <c r="D284" s="424">
        <v>46073.0</v>
      </c>
      <c r="E284" s="353" t="s">
        <v>4401</v>
      </c>
      <c r="F284" s="353" t="s">
        <v>4403</v>
      </c>
      <c r="G284" s="353" t="s">
        <v>4405</v>
      </c>
      <c r="H284" s="353" t="s">
        <v>4408</v>
      </c>
      <c r="I284" s="425" t="s">
        <v>445</v>
      </c>
      <c r="J284" s="353" t="s">
        <v>4410</v>
      </c>
      <c r="K284" s="353" t="s">
        <v>4831</v>
      </c>
      <c r="L284" s="353"/>
      <c r="M284" s="426">
        <v>46084.891599062496</v>
      </c>
      <c r="N284" s="353"/>
      <c r="O284" s="353" t="b">
        <v>0</v>
      </c>
      <c r="P284" s="353"/>
      <c r="Q284" s="353">
        <v>1.649067638E9</v>
      </c>
      <c r="R284" s="353"/>
      <c r="S284" s="353"/>
    </row>
    <row r="285" ht="20.25" customHeight="1">
      <c r="A285" s="353" t="s">
        <v>135</v>
      </c>
      <c r="B285" s="353" t="s">
        <v>25</v>
      </c>
      <c r="C285" s="353" t="s">
        <v>1451</v>
      </c>
      <c r="D285" s="424">
        <v>46197.0</v>
      </c>
      <c r="E285" s="353" t="s">
        <v>4832</v>
      </c>
      <c r="F285" s="353" t="s">
        <v>4834</v>
      </c>
      <c r="G285" s="353" t="s">
        <v>4835</v>
      </c>
      <c r="H285" s="353" t="s">
        <v>4836</v>
      </c>
      <c r="I285" s="425" t="s">
        <v>4837</v>
      </c>
      <c r="J285" s="353" t="s">
        <v>4838</v>
      </c>
      <c r="K285" s="353"/>
      <c r="L285" s="353"/>
      <c r="M285" s="426"/>
      <c r="N285" s="353"/>
      <c r="O285" s="353"/>
      <c r="P285" s="353"/>
      <c r="Q285" s="353">
        <v>1.174769673E9</v>
      </c>
      <c r="R285" s="353"/>
      <c r="S285" s="353"/>
    </row>
    <row r="286" ht="20.25" customHeight="1">
      <c r="A286" s="353" t="s">
        <v>17</v>
      </c>
      <c r="B286" s="353" t="s">
        <v>53</v>
      </c>
      <c r="C286" s="353" t="s">
        <v>1451</v>
      </c>
      <c r="D286" s="424">
        <v>46111.0</v>
      </c>
      <c r="E286" s="353" t="s">
        <v>4840</v>
      </c>
      <c r="F286" s="353" t="s">
        <v>4841</v>
      </c>
      <c r="G286" s="353">
        <v>8.477076869E9</v>
      </c>
      <c r="H286" s="353" t="s">
        <v>4842</v>
      </c>
      <c r="I286" s="425" t="s">
        <v>4227</v>
      </c>
      <c r="J286" s="353" t="s">
        <v>4843</v>
      </c>
      <c r="K286" s="353" t="s">
        <v>4844</v>
      </c>
      <c r="L286" s="353"/>
      <c r="M286" s="426">
        <v>46184.8634702662</v>
      </c>
      <c r="N286" s="353"/>
      <c r="O286" s="353" t="b">
        <v>0</v>
      </c>
      <c r="P286" s="353"/>
      <c r="Q286" s="353">
        <v>1.235569021E9</v>
      </c>
      <c r="R286" s="353"/>
      <c r="S286" s="353"/>
    </row>
    <row r="287" ht="21.0" customHeight="1">
      <c r="A287" s="11" t="s">
        <v>22</v>
      </c>
      <c r="B287" s="11" t="s">
        <v>23</v>
      </c>
      <c r="C287" s="11" t="s">
        <v>1451</v>
      </c>
      <c r="D287" s="84">
        <v>46225.0</v>
      </c>
      <c r="E287" s="11" t="s">
        <v>4846</v>
      </c>
      <c r="F287" s="11" t="s">
        <v>4847</v>
      </c>
      <c r="G287" s="11" t="s">
        <v>4848</v>
      </c>
      <c r="H287" s="11" t="s">
        <v>4849</v>
      </c>
      <c r="I287" s="65" t="str">
        <f>HYPERLINK("https://calendar.google.com/calendar/u/0/r/eventedit/NjJnYTlubG1oOWpybm9mc3M3bmo3a21jMnEgYzM5ZjIxNjY2YTJjNzBkNjQ0MDI0YmQyOWM3ZmM5ODM3OTY2MmY3OTJlNWEwNDdjZGIzNTdhNDJiM2M1N2QwNEBn?pli=1", "Tue 10:00 PM")
</f>
        <v>Tue 10:00 PM</v>
      </c>
      <c r="J287" s="11" t="s">
        <v>4854</v>
      </c>
      <c r="K287" s="11" t="s">
        <v>4856</v>
      </c>
      <c r="L287" s="11"/>
      <c r="M287" s="75">
        <v>46231.779421342595</v>
      </c>
      <c r="N287" s="11"/>
      <c r="O287" s="11"/>
      <c r="P287" s="11"/>
      <c r="Q287" s="11">
        <v>1.57861874E9</v>
      </c>
      <c r="R287" s="26"/>
      <c r="S287" s="26"/>
    </row>
    <row r="288" ht="21.0" customHeight="1">
      <c r="A288" s="26" t="s">
        <v>62</v>
      </c>
      <c r="B288" s="26" t="s">
        <v>23</v>
      </c>
      <c r="C288" s="26" t="s">
        <v>3021</v>
      </c>
      <c r="D288" s="429">
        <v>46120.0</v>
      </c>
      <c r="E288" s="26" t="s">
        <v>4857</v>
      </c>
      <c r="F288" s="26" t="s">
        <v>4858</v>
      </c>
      <c r="G288" s="26" t="s">
        <v>4859</v>
      </c>
      <c r="H288" s="26" t="s">
        <v>4860</v>
      </c>
      <c r="I288" s="332" t="s">
        <v>1181</v>
      </c>
      <c r="J288" s="26" t="s">
        <v>4864</v>
      </c>
      <c r="K288" s="26" t="s">
        <v>4865</v>
      </c>
      <c r="L288" s="26"/>
      <c r="M288" s="335">
        <v>46232.757123773146</v>
      </c>
      <c r="N288" s="26"/>
      <c r="O288" s="26" t="b">
        <v>0</v>
      </c>
      <c r="P288" s="26"/>
      <c r="Q288" s="26">
        <v>1.629920962E9</v>
      </c>
      <c r="R288" s="26"/>
      <c r="S288" s="26"/>
    </row>
    <row r="289" ht="21.0" customHeight="1">
      <c r="A289" s="26" t="s">
        <v>155</v>
      </c>
      <c r="B289" s="26" t="s">
        <v>23</v>
      </c>
      <c r="C289" s="26" t="s">
        <v>1451</v>
      </c>
      <c r="D289" s="429">
        <v>46233.0</v>
      </c>
      <c r="E289" s="26" t="s">
        <v>4873</v>
      </c>
      <c r="F289" s="26" t="s">
        <v>4874</v>
      </c>
      <c r="G289" s="26" t="s">
        <v>4875</v>
      </c>
      <c r="H289" s="26" t="s">
        <v>4877</v>
      </c>
      <c r="I289" s="332" t="s">
        <v>4879</v>
      </c>
      <c r="J289" s="26" t="s">
        <v>4882</v>
      </c>
      <c r="K289" s="26"/>
      <c r="L289" s="26"/>
      <c r="M289" s="335"/>
      <c r="N289" s="26"/>
      <c r="O289" s="26"/>
      <c r="P289" s="26"/>
      <c r="Q289" s="26">
        <v>1.33607968E9</v>
      </c>
      <c r="R289" s="26"/>
      <c r="S289" s="26"/>
    </row>
    <row r="290" ht="21.0" customHeight="1">
      <c r="A290" s="26" t="s">
        <v>117</v>
      </c>
      <c r="B290" s="26" t="s">
        <v>53</v>
      </c>
      <c r="C290" s="26" t="s">
        <v>1451</v>
      </c>
      <c r="D290" s="429">
        <v>46196.0</v>
      </c>
      <c r="E290" s="26" t="s">
        <v>4889</v>
      </c>
      <c r="F290" s="26" t="s">
        <v>4890</v>
      </c>
      <c r="G290" s="26" t="s">
        <v>4891</v>
      </c>
      <c r="H290" s="26" t="s">
        <v>4892</v>
      </c>
      <c r="I290" s="332" t="s">
        <v>4893</v>
      </c>
      <c r="J290" s="26" t="s">
        <v>4894</v>
      </c>
      <c r="K290" s="26" t="s">
        <v>4895</v>
      </c>
      <c r="L290" s="26"/>
      <c r="M290" s="335">
        <v>46237.806406435186</v>
      </c>
      <c r="N290" s="26"/>
      <c r="O290" s="26"/>
      <c r="P290" s="26"/>
      <c r="Q290" s="26">
        <v>1.306825005E9</v>
      </c>
      <c r="R290" s="26"/>
      <c r="S290" s="26"/>
    </row>
    <row r="291" ht="21.0" customHeight="1">
      <c r="A291" s="26" t="s">
        <v>155</v>
      </c>
      <c r="B291" s="26" t="s">
        <v>225</v>
      </c>
      <c r="C291" s="26" t="s">
        <v>1451</v>
      </c>
      <c r="D291" s="429">
        <v>46220.0</v>
      </c>
      <c r="E291" s="26" t="s">
        <v>4905</v>
      </c>
      <c r="F291" s="26" t="s">
        <v>4906</v>
      </c>
      <c r="G291" s="26" t="s">
        <v>4907</v>
      </c>
      <c r="H291" s="26" t="s">
        <v>4909</v>
      </c>
      <c r="I291" s="332" t="s">
        <v>3878</v>
      </c>
      <c r="J291" s="26" t="s">
        <v>4912</v>
      </c>
      <c r="K291" s="26"/>
      <c r="L291" s="26"/>
      <c r="M291" s="335"/>
      <c r="N291" s="26"/>
      <c r="O291" s="26"/>
      <c r="P291" s="26"/>
      <c r="Q291" s="26">
        <v>1.588531925E9</v>
      </c>
      <c r="R291" s="26"/>
      <c r="S291" s="26"/>
    </row>
    <row r="292" ht="21.0" customHeight="1">
      <c r="A292" s="26" t="s">
        <v>155</v>
      </c>
      <c r="B292" s="26" t="s">
        <v>225</v>
      </c>
      <c r="C292" s="26" t="s">
        <v>1451</v>
      </c>
      <c r="D292" s="429">
        <v>46220.0</v>
      </c>
      <c r="E292" s="26" t="s">
        <v>4919</v>
      </c>
      <c r="F292" s="26" t="s">
        <v>4920</v>
      </c>
      <c r="G292" s="26" t="s">
        <v>4921</v>
      </c>
      <c r="H292" s="26" t="s">
        <v>4923</v>
      </c>
      <c r="I292" s="332" t="s">
        <v>1076</v>
      </c>
      <c r="J292" s="26" t="s">
        <v>4924</v>
      </c>
      <c r="K292" s="26" t="s">
        <v>4926</v>
      </c>
      <c r="L292" s="26"/>
      <c r="M292" s="335">
        <v>46223.960742372685</v>
      </c>
      <c r="N292" s="26"/>
      <c r="O292" s="26"/>
      <c r="P292" s="26"/>
      <c r="Q292" s="26">
        <v>1.619823341E9</v>
      </c>
      <c r="R292" s="26"/>
      <c r="S292" s="26"/>
    </row>
    <row r="293" ht="21.0" customHeight="1">
      <c r="A293" s="26" t="s">
        <v>224</v>
      </c>
      <c r="B293" s="26" t="s">
        <v>225</v>
      </c>
      <c r="C293" s="26" t="s">
        <v>1451</v>
      </c>
      <c r="D293" s="429">
        <v>46231.0</v>
      </c>
      <c r="E293" s="26" t="s">
        <v>4930</v>
      </c>
      <c r="F293" s="26" t="s">
        <v>4931</v>
      </c>
      <c r="G293" s="26" t="s">
        <v>4932</v>
      </c>
      <c r="H293" s="26" t="s">
        <v>4934</v>
      </c>
      <c r="I293" s="332" t="s">
        <v>4935</v>
      </c>
      <c r="J293" s="26" t="s">
        <v>4937</v>
      </c>
      <c r="K293" s="26"/>
      <c r="L293" s="26"/>
      <c r="M293" s="335"/>
      <c r="N293" s="26"/>
      <c r="O293" s="26"/>
      <c r="P293" s="26"/>
      <c r="Q293" s="26"/>
      <c r="R293" s="26"/>
      <c r="S293" s="26"/>
    </row>
    <row r="294" ht="21.0" customHeight="1">
      <c r="A294" s="26" t="s">
        <v>22</v>
      </c>
      <c r="B294" s="26" t="s">
        <v>53</v>
      </c>
      <c r="C294" s="26" t="s">
        <v>1451</v>
      </c>
      <c r="D294" s="429">
        <v>46114.0</v>
      </c>
      <c r="E294" s="26" t="s">
        <v>4940</v>
      </c>
      <c r="F294" s="26" t="s">
        <v>4941</v>
      </c>
      <c r="G294" s="26" t="s">
        <v>4942</v>
      </c>
      <c r="H294" s="26" t="s">
        <v>4943</v>
      </c>
      <c r="I294" s="332" t="s">
        <v>762</v>
      </c>
      <c r="J294" s="26" t="s">
        <v>4944</v>
      </c>
      <c r="K294" s="26" t="s">
        <v>4946</v>
      </c>
      <c r="L294" s="26"/>
      <c r="M294" s="335">
        <v>46115.791213020835</v>
      </c>
      <c r="N294" s="26"/>
      <c r="O294" s="26" t="b">
        <v>0</v>
      </c>
      <c r="P294" s="26"/>
      <c r="Q294" s="26">
        <v>1.972096758E9</v>
      </c>
      <c r="R294" s="26"/>
      <c r="S294" s="26"/>
    </row>
    <row r="295" ht="21.0" customHeight="1">
      <c r="A295" s="26" t="s">
        <v>117</v>
      </c>
      <c r="B295" s="26" t="s">
        <v>53</v>
      </c>
      <c r="C295" s="26" t="s">
        <v>1451</v>
      </c>
      <c r="D295" s="429">
        <v>46239.0</v>
      </c>
      <c r="E295" s="26" t="s">
        <v>4951</v>
      </c>
      <c r="F295" s="26" t="s">
        <v>4952</v>
      </c>
      <c r="G295" s="26" t="s">
        <v>4953</v>
      </c>
      <c r="H295" s="26" t="s">
        <v>4955</v>
      </c>
      <c r="I295" s="332" t="s">
        <v>4956</v>
      </c>
      <c r="J295" s="26" t="s">
        <v>4957</v>
      </c>
      <c r="K295" s="26" t="s">
        <v>4958</v>
      </c>
      <c r="L295" s="26"/>
      <c r="M295" s="335">
        <v>46240.73095159722</v>
      </c>
      <c r="N295" s="26"/>
      <c r="O295" s="26"/>
      <c r="P295" s="26"/>
      <c r="Q295" s="26"/>
      <c r="R295" s="26"/>
      <c r="S295" s="26"/>
    </row>
    <row r="296" ht="21.0" customHeight="1">
      <c r="A296" s="26" t="s">
        <v>18</v>
      </c>
      <c r="B296" s="26" t="s">
        <v>19</v>
      </c>
      <c r="C296" s="26" t="s">
        <v>1451</v>
      </c>
      <c r="D296" s="429">
        <v>46182.0</v>
      </c>
      <c r="E296" s="26" t="s">
        <v>4960</v>
      </c>
      <c r="F296" s="26" t="s">
        <v>4961</v>
      </c>
      <c r="G296" s="26" t="s">
        <v>4962</v>
      </c>
      <c r="H296" s="26" t="s">
        <v>4963</v>
      </c>
      <c r="I296" s="332" t="s">
        <v>4964</v>
      </c>
      <c r="J296" s="26" t="s">
        <v>4965</v>
      </c>
      <c r="K296" s="26" t="s">
        <v>4966</v>
      </c>
      <c r="L296" s="26"/>
      <c r="M296" s="335">
        <v>46213.92159616898</v>
      </c>
      <c r="N296" s="26"/>
      <c r="O296" s="26"/>
      <c r="P296" s="26"/>
      <c r="Q296" s="26">
        <v>1.962296715E9</v>
      </c>
      <c r="R296" s="26"/>
      <c r="S296" s="26"/>
    </row>
    <row r="297" ht="21.0" customHeight="1">
      <c r="A297" s="26" t="s">
        <v>224</v>
      </c>
      <c r="B297" s="26" t="s">
        <v>225</v>
      </c>
      <c r="C297" s="26" t="s">
        <v>1451</v>
      </c>
      <c r="D297" s="429">
        <v>46239.0</v>
      </c>
      <c r="E297" s="26" t="s">
        <v>4968</v>
      </c>
      <c r="F297" s="26" t="s">
        <v>4969</v>
      </c>
      <c r="G297" s="26" t="s">
        <v>4970</v>
      </c>
      <c r="H297" s="26" t="s">
        <v>4971</v>
      </c>
      <c r="I297" s="332" t="s">
        <v>843</v>
      </c>
      <c r="J297" s="26" t="s">
        <v>4973</v>
      </c>
      <c r="K297" s="26" t="s">
        <v>4975</v>
      </c>
      <c r="L297" s="26"/>
      <c r="M297" s="335">
        <v>46240.91997777778</v>
      </c>
      <c r="N297" s="26"/>
      <c r="O297" s="26"/>
      <c r="P297" s="26"/>
      <c r="Q297" s="26"/>
      <c r="R297" s="26"/>
      <c r="S297" s="26"/>
    </row>
    <row r="298" ht="21.0" customHeight="1">
      <c r="A298" s="26" t="s">
        <v>62</v>
      </c>
      <c r="B298" s="26" t="s">
        <v>23</v>
      </c>
      <c r="C298" s="26" t="s">
        <v>3021</v>
      </c>
      <c r="D298" s="429">
        <v>45982.0</v>
      </c>
      <c r="E298" s="26" t="s">
        <v>3964</v>
      </c>
      <c r="F298" s="26" t="s">
        <v>3965</v>
      </c>
      <c r="G298" s="26" t="s">
        <v>3966</v>
      </c>
      <c r="H298" s="26" t="s">
        <v>3970</v>
      </c>
      <c r="I298" s="332" t="s">
        <v>1467</v>
      </c>
      <c r="J298" s="26" t="s">
        <v>4981</v>
      </c>
      <c r="K298" s="26"/>
      <c r="L298" s="26"/>
      <c r="M298" s="335"/>
      <c r="N298" s="26" t="b">
        <v>0</v>
      </c>
      <c r="O298" s="26"/>
      <c r="P298" s="26"/>
      <c r="Q298" s="26">
        <v>1.235958182E9</v>
      </c>
      <c r="R298" s="26"/>
      <c r="S298" s="26"/>
    </row>
    <row r="299" ht="21.0" customHeight="1">
      <c r="A299" s="26" t="s">
        <v>22</v>
      </c>
      <c r="B299" s="26" t="s">
        <v>19</v>
      </c>
      <c r="C299" s="26" t="s">
        <v>1451</v>
      </c>
      <c r="D299" s="429">
        <v>46163.0</v>
      </c>
      <c r="E299" s="26" t="s">
        <v>4984</v>
      </c>
      <c r="F299" s="26" t="s">
        <v>4985</v>
      </c>
      <c r="G299" s="26" t="s">
        <v>4986</v>
      </c>
      <c r="H299" s="26" t="s">
        <v>4988</v>
      </c>
      <c r="I299" s="332" t="s">
        <v>115</v>
      </c>
      <c r="J299" s="26" t="s">
        <v>4990</v>
      </c>
      <c r="K299" s="26" t="s">
        <v>4992</v>
      </c>
      <c r="L299" s="26"/>
      <c r="M299" s="335">
        <v>46175.88409202546</v>
      </c>
      <c r="N299" s="26"/>
      <c r="O299" s="26"/>
      <c r="P299" s="26"/>
      <c r="Q299" s="26">
        <v>1.982295978E9</v>
      </c>
      <c r="R299" s="26"/>
      <c r="S299" s="26"/>
    </row>
    <row r="300" ht="21.0" customHeight="1">
      <c r="A300" s="26" t="s">
        <v>155</v>
      </c>
      <c r="B300" s="26" t="s">
        <v>251</v>
      </c>
      <c r="C300" s="26" t="s">
        <v>1451</v>
      </c>
      <c r="D300" s="429">
        <v>46252.0</v>
      </c>
      <c r="E300" s="26" t="s">
        <v>4400</v>
      </c>
      <c r="F300" s="26" t="s">
        <v>4402</v>
      </c>
      <c r="G300" s="26" t="s">
        <v>4996</v>
      </c>
      <c r="H300" s="26" t="s">
        <v>4406</v>
      </c>
      <c r="I300" s="332" t="s">
        <v>1508</v>
      </c>
      <c r="J300" s="26" t="s">
        <v>4998</v>
      </c>
      <c r="K300" s="26" t="s">
        <v>4999</v>
      </c>
      <c r="L300" s="26"/>
      <c r="M300" s="335">
        <v>46252.88458899305</v>
      </c>
      <c r="N300" s="26"/>
      <c r="O300" s="26"/>
      <c r="P300" s="26"/>
      <c r="Q300" s="26">
        <v>1.073293205E9</v>
      </c>
      <c r="R300" s="26"/>
      <c r="S300" s="26"/>
    </row>
    <row r="301" ht="21.0" customHeight="1">
      <c r="A301" s="26" t="s">
        <v>22</v>
      </c>
      <c r="B301" s="26" t="s">
        <v>23</v>
      </c>
      <c r="C301" s="26" t="s">
        <v>1451</v>
      </c>
      <c r="D301" s="429">
        <v>46247.0</v>
      </c>
      <c r="E301" s="26" t="s">
        <v>5003</v>
      </c>
      <c r="F301" s="26" t="s">
        <v>5004</v>
      </c>
      <c r="G301" s="26" t="s">
        <v>5005</v>
      </c>
      <c r="H301" s="26" t="s">
        <v>5006</v>
      </c>
      <c r="I301" s="332" t="s">
        <v>115</v>
      </c>
      <c r="J301" s="26" t="s">
        <v>5007</v>
      </c>
      <c r="K301" s="26" t="s">
        <v>5009</v>
      </c>
      <c r="L301" s="26"/>
      <c r="M301" s="335">
        <v>46252.911135092596</v>
      </c>
      <c r="N301" s="26"/>
      <c r="O301" s="26"/>
      <c r="P301" s="26"/>
      <c r="Q301" s="26">
        <v>1.518884956E9</v>
      </c>
      <c r="R301" s="26"/>
      <c r="S301" s="26"/>
    </row>
  </sheetData>
  <conditionalFormatting sqref="A287:S301">
    <cfRule type="expression" dxfId="4" priority="1">
      <formula>OR($C287="Follow Up", $C287="Contract Sent")</formula>
    </cfRule>
  </conditionalFormatting>
  <conditionalFormatting sqref="A287:S301">
    <cfRule type="expression" dxfId="5" priority="2">
      <formula>OR($C287="NOT READY", $C287="No - Show / Callback", $C287="Pending Medicare", $C287="Inactive License")</formula>
    </cfRule>
  </conditionalFormatting>
  <conditionalFormatting sqref="A287:S301">
    <cfRule type="expression" dxfId="6" priority="3">
      <formula>OR($C287="DNC", $C287="NI", $C287="No Medicare")</formula>
    </cfRule>
  </conditionalFormatting>
  <conditionalFormatting sqref="A287:S301">
    <cfRule type="expression" dxfId="7" priority="4">
      <formula>$C287="Onboarded"</formula>
    </cfRule>
  </conditionalFormatting>
  <conditionalFormatting sqref="A287:S301">
    <cfRule type="expression" dxfId="8" priority="5">
      <formula>OR($C287="Invoice Sent", $C287="Trial Sent")</formula>
    </cfRule>
  </conditionalFormatting>
  <conditionalFormatting sqref="A287:S301">
    <cfRule type="expression" dxfId="9" priority="6">
      <formula>$C287="Hold"</formula>
    </cfRule>
  </conditionalFormatting>
  <conditionalFormatting sqref="A236:S286">
    <cfRule type="expression" dxfId="8" priority="7">
      <formula>OR($C236="Invoice Sent", $C236="Trial Sent")</formula>
    </cfRule>
  </conditionalFormatting>
  <conditionalFormatting sqref="A236:S286">
    <cfRule type="expression" dxfId="9" priority="8">
      <formula>$C236="Hold"</formula>
    </cfRule>
  </conditionalFormatting>
  <conditionalFormatting sqref="A236:S286">
    <cfRule type="expression" dxfId="4" priority="9">
      <formula>OR($C236="Follow Up", $C236="Contract Sent")</formula>
    </cfRule>
  </conditionalFormatting>
  <conditionalFormatting sqref="A236:S286">
    <cfRule type="expression" dxfId="5" priority="10">
      <formula>OR($C236="NOT READY", $C236="No - Show / Callback", $C236="Pending Medicare", $C236="Inactive License")</formula>
    </cfRule>
  </conditionalFormatting>
  <conditionalFormatting sqref="A236:S286">
    <cfRule type="expression" dxfId="6" priority="11">
      <formula>OR($C236="DNC", $C236="NI", $C236="No Medicare")</formula>
    </cfRule>
  </conditionalFormatting>
  <conditionalFormatting sqref="A236:S286">
    <cfRule type="expression" dxfId="7" priority="12">
      <formula>$C236="Onboarded"</formula>
    </cfRule>
  </conditionalFormatting>
  <conditionalFormatting sqref="I236:I286 A283:H283 J283:S283">
    <cfRule type="expression" dxfId="9" priority="13" stopIfTrue="1">
      <formula>$C236="Hold"</formula>
    </cfRule>
  </conditionalFormatting>
  <conditionalFormatting sqref="I236:I286 A283:H283 J283:S283">
    <cfRule type="expression" dxfId="8" priority="14" stopIfTrue="1">
      <formula>OR($C236="Invoice Sent", $C236="Trial Sent")</formula>
    </cfRule>
  </conditionalFormatting>
  <conditionalFormatting sqref="I236:I286 A283:H283 J283:S283">
    <cfRule type="expression" dxfId="7" priority="15" stopIfTrue="1">
      <formula>$C236="Onboarded"</formula>
    </cfRule>
  </conditionalFormatting>
  <conditionalFormatting sqref="I236:I286 A283:H283 J283:S283">
    <cfRule type="expression" dxfId="6" priority="16" stopIfTrue="1">
      <formula>OR($C236="DNC", $C236="NI", $C236="No Medicare")</formula>
    </cfRule>
  </conditionalFormatting>
  <conditionalFormatting sqref="I236:I286 A283:H283 J283:S283">
    <cfRule type="expression" dxfId="5" priority="17" stopIfTrue="1">
      <formula>OR($C236="NOT READY", $C236="No - Show / Callback", $C236="Pending Medicare", $C236="Inactive License")</formula>
    </cfRule>
  </conditionalFormatting>
  <conditionalFormatting sqref="I236:I286 A283:H283 J283:S283">
    <cfRule type="expression" dxfId="4" priority="18" stopIfTrue="1">
      <formula>OR($C236="Follow Up", $C236="Contract Sent")</formula>
    </cfRule>
  </conditionalFormatting>
  <conditionalFormatting sqref="I234:I235">
    <cfRule type="expression" dxfId="4" priority="19" stopIfTrue="1">
      <formula>OR($C234="Follow Up", $C234="Contract Sent")</formula>
    </cfRule>
  </conditionalFormatting>
  <conditionalFormatting sqref="I234:I235">
    <cfRule type="expression" dxfId="5" priority="20" stopIfTrue="1">
      <formula>OR($C234="NOT READY", $C234="No - Show / Callback", $C234="Pending Medicare", $C234="Inactive License")</formula>
    </cfRule>
  </conditionalFormatting>
  <conditionalFormatting sqref="I234:I235">
    <cfRule type="expression" dxfId="6" priority="21" stopIfTrue="1">
      <formula>OR($C234="DNC", $C234="NI", $C234="No Medicare")</formula>
    </cfRule>
  </conditionalFormatting>
  <conditionalFormatting sqref="I234:I235">
    <cfRule type="expression" dxfId="7" priority="22" stopIfTrue="1">
      <formula>$C234="Onboarded"</formula>
    </cfRule>
  </conditionalFormatting>
  <conditionalFormatting sqref="I234:I235">
    <cfRule type="expression" dxfId="8" priority="23" stopIfTrue="1">
      <formula>OR($C234="Invoice Sent", $C234="Trial Sent")</formula>
    </cfRule>
  </conditionalFormatting>
  <conditionalFormatting sqref="I234:I235">
    <cfRule type="expression" dxfId="9" priority="24" stopIfTrue="1">
      <formula>$C234="Hold"</formula>
    </cfRule>
  </conditionalFormatting>
  <conditionalFormatting sqref="A234:S235">
    <cfRule type="expression" dxfId="4" priority="25">
      <formula>OR($C234="Follow Up", $C234="Contract Sent")</formula>
    </cfRule>
  </conditionalFormatting>
  <conditionalFormatting sqref="A234:S235">
    <cfRule type="expression" dxfId="5" priority="26">
      <formula>OR($C234="NOT READY", $C234="No - Show / Callback", $C234="Pending Medicare", $C234="Inactive License")</formula>
    </cfRule>
  </conditionalFormatting>
  <conditionalFormatting sqref="A234:S235">
    <cfRule type="expression" dxfId="6" priority="27">
      <formula>OR($C234="DNC", $C234="NI", $C234="No Medicare")</formula>
    </cfRule>
  </conditionalFormatting>
  <conditionalFormatting sqref="A234:S235">
    <cfRule type="expression" dxfId="7" priority="28">
      <formula>$C234="Onboarded"</formula>
    </cfRule>
  </conditionalFormatting>
  <conditionalFormatting sqref="A234:S235">
    <cfRule type="expression" dxfId="8" priority="29">
      <formula>OR($C234="Invoice Sent", $C234="Trial Sent")</formula>
    </cfRule>
  </conditionalFormatting>
  <conditionalFormatting sqref="A234:S235">
    <cfRule type="expression" dxfId="9" priority="30">
      <formula>$C234="Hold"</formula>
    </cfRule>
  </conditionalFormatting>
  <conditionalFormatting sqref="A229:B233 C229:C234 D229:S233 C236:C286">
    <cfRule type="expression" dxfId="4" priority="31">
      <formula>OR($C229="Follow Up", $C229="Contract Sent")</formula>
    </cfRule>
  </conditionalFormatting>
  <conditionalFormatting sqref="A229:B233 C229:C234 D229:S233 C236:C286">
    <cfRule type="expression" dxfId="5" priority="32">
      <formula>OR($C229="NOT READY", $C229="No - Show / Callback", $C229="Pending Medicare", $C229="Inactive License")</formula>
    </cfRule>
  </conditionalFormatting>
  <conditionalFormatting sqref="A229:B233 C229:C234 D229:S233 C236:C286">
    <cfRule type="expression" dxfId="6" priority="33">
      <formula>OR($C229="DNC", $C229="NI", $C229="No Medicare")</formula>
    </cfRule>
  </conditionalFormatting>
  <conditionalFormatting sqref="A229:B233 C229:C234 D229:S233 C236:C286">
    <cfRule type="expression" dxfId="7" priority="34">
      <formula>$C229="Onboarded"</formula>
    </cfRule>
  </conditionalFormatting>
  <conditionalFormatting sqref="A229:B233 C229:C234 D229:S233 C236:C286">
    <cfRule type="expression" dxfId="8" priority="35">
      <formula>OR($C229="Invoice Sent", $C229="Trial Sent")</formula>
    </cfRule>
  </conditionalFormatting>
  <conditionalFormatting sqref="A229:B233 C229:C234 D229:S233 C236:C286">
    <cfRule type="expression" dxfId="9" priority="36">
      <formula>$C229="Hold"</formula>
    </cfRule>
  </conditionalFormatting>
  <conditionalFormatting sqref="A206:B233 C206:C234 D206:S233 C236:C286">
    <cfRule type="expression" dxfId="9" priority="37" stopIfTrue="1">
      <formula>$C206="Hold"</formula>
    </cfRule>
  </conditionalFormatting>
  <conditionalFormatting sqref="A206:B233 C206:C234 D206:S233 C236:C286">
    <cfRule type="expression" dxfId="8" priority="38" stopIfTrue="1">
      <formula>OR($C206="Invoice Sent", $C206="Trial Sent")</formula>
    </cfRule>
  </conditionalFormatting>
  <conditionalFormatting sqref="A206:B233 C206:C234 D206:S233 C236:C286">
    <cfRule type="expression" dxfId="7" priority="39" stopIfTrue="1">
      <formula>$C206="Onboarded"</formula>
    </cfRule>
  </conditionalFormatting>
  <conditionalFormatting sqref="A206:B233 C206:C234 D206:S233 C236:C286">
    <cfRule type="expression" dxfId="6" priority="40" stopIfTrue="1">
      <formula>OR($C206="DNC", $C206="NI", $C206="No Medicare")</formula>
    </cfRule>
  </conditionalFormatting>
  <conditionalFormatting sqref="A206:B233 C206:C234 D206:S233 C236:C286">
    <cfRule type="expression" dxfId="5" priority="41" stopIfTrue="1">
      <formula>OR($C206="NOT READY", $C206="No - Show / Callback", $C206="Pending Medicare", $C206="Inactive License")</formula>
    </cfRule>
  </conditionalFormatting>
  <conditionalFormatting sqref="A206:B233 C206:C234 D206:S233 C236:C286">
    <cfRule type="expression" dxfId="4" priority="42" stopIfTrue="1">
      <formula>OR($C206="Follow Up", $C206="Contract Sent")</formula>
    </cfRule>
  </conditionalFormatting>
  <conditionalFormatting sqref="A196:P205">
    <cfRule type="expression" dxfId="4" priority="43" stopIfTrue="1">
      <formula>OR($C196="Follow Up", $C196="Contract Sent")</formula>
    </cfRule>
  </conditionalFormatting>
  <conditionalFormatting sqref="A196:P205">
    <cfRule type="expression" dxfId="5" priority="44" stopIfTrue="1">
      <formula>OR($C196="NOT READY", $C196="No - Show / Callback", $C196="Pending Medicare", $C196="Inactive License")</formula>
    </cfRule>
  </conditionalFormatting>
  <conditionalFormatting sqref="A196:P205">
    <cfRule type="expression" dxfId="6" priority="45" stopIfTrue="1">
      <formula>OR($C196="DNC", $C196="NI", $C196="No Medicare")</formula>
    </cfRule>
  </conditionalFormatting>
  <conditionalFormatting sqref="A196:P205">
    <cfRule type="expression" dxfId="7" priority="46" stopIfTrue="1">
      <formula>$C196="Onboarded"</formula>
    </cfRule>
  </conditionalFormatting>
  <conditionalFormatting sqref="A196:P205">
    <cfRule type="expression" dxfId="8" priority="47" stopIfTrue="1">
      <formula>OR($C196="Invoice Sent", $C196="Trial Sent")</formula>
    </cfRule>
  </conditionalFormatting>
  <conditionalFormatting sqref="A196:P205">
    <cfRule type="expression" dxfId="9" priority="48" stopIfTrue="1">
      <formula>$C196="Hold"</formula>
    </cfRule>
  </conditionalFormatting>
  <conditionalFormatting sqref="A1:P134 L146">
    <cfRule type="expression" dxfId="4" priority="49" stopIfTrue="1">
      <formula>OR($C1="Follow Up", $C1="Contract Sent")</formula>
    </cfRule>
  </conditionalFormatting>
  <conditionalFormatting sqref="A1:P134 L146">
    <cfRule type="expression" dxfId="5" priority="50" stopIfTrue="1">
      <formula>OR($C1="NOT READY", $C1="No - Show / Callback", $C1="Pending Medicare", $C1="Inactive License")</formula>
    </cfRule>
  </conditionalFormatting>
  <conditionalFormatting sqref="A1:P134 L146">
    <cfRule type="expression" dxfId="6" priority="51" stopIfTrue="1">
      <formula>OR($C1="DNC", $C1="NI", $C1="No Medicare")</formula>
    </cfRule>
  </conditionalFormatting>
  <conditionalFormatting sqref="A1:P134 L146">
    <cfRule type="expression" dxfId="7" priority="52" stopIfTrue="1">
      <formula>$C1="Onboarded"</formula>
    </cfRule>
  </conditionalFormatting>
  <conditionalFormatting sqref="A1:S134 L146">
    <cfRule type="expression" dxfId="8" priority="53" stopIfTrue="1">
      <formula>OR($C1="Invoice Sent", $C1="Trial Sent")</formula>
    </cfRule>
  </conditionalFormatting>
  <conditionalFormatting sqref="A1:S134 L146">
    <cfRule type="expression" dxfId="9" priority="54" stopIfTrue="1">
      <formula>$C1="Hold"</formula>
    </cfRule>
  </conditionalFormatting>
  <dataValidations>
    <dataValidation type="list" allowBlank="1" showErrorMessage="1" sqref="A2:A125">
      <formula1>"Auto Insurance,Campaigns,CGM,Hospitality,IMMUNE,Lymphadema,ORT,ORT+CGM,RE,Roofing,Solar,SUB"</formula1>
    </dataValidation>
    <dataValidation type="list" allowBlank="1" showErrorMessage="1" sqref="B1:B282 B284:B301">
      <formula1>"Ben,George,Jane,Jimmy,Selene,Jasmine"</formula1>
    </dataValidation>
    <dataValidation type="list" allowBlank="1" showErrorMessage="1" sqref="A195">
      <formula1>"Auto Insurance,Campaigns,CGM,CGM+Lymph W,Home Improvement,Hospitality,IMMUNE,Logistics,Lymphadema,ORT,ORT + Lymphedema,ORT+CGM,ORT+CGM+LYMPH W,RE,SUB,DME &amp; LAB,PPO"</formula1>
    </dataValidation>
    <dataValidation type="list" allowBlank="1" showErrorMessage="1" sqref="A156:A158 A179:A194 A196:A205">
      <formula1>"Campaigns,CGM,CGM+Lymph W,Claims,Food delivery,Home Improvement,Lymphadema,MVA Claims,ORT,ORT + Lymphedema,ORT+CGM,ORT+CGM+LYMPH W,RE,Solar,SUB,Vacation DNC Camapign"</formula1>
    </dataValidation>
    <dataValidation type="list" allowBlank="1" showErrorMessage="1" sqref="A126:A155 A159:A160 A162:A164">
      <formula1>"Auto Insurance,Campaigns,CGM,CGM+Lymph W,Home Improvement,Hospitality,IMMUNE,Logistics,Lymphadema,ORT,ORT + Lymphedema,ORT+CGM,ORT+CGM+LYMPH W,RE,SUB"</formula1>
    </dataValidation>
    <dataValidation type="list" allowBlank="1" showErrorMessage="1" sqref="A287:A301">
      <formula1>"Auto Insurance,Campaigns,CGM,CGM+Lymph W,Home Improvement,Hospitality,IMMUNE,Logistics,Lymphadema,ORT,ORT + Lymphedema,ORT+CGM,ORT+CGM+LYMPH W,RE,SUB,DME &amp; LAB,PPO,DMEDESK,Lab,MLA"</formula1>
    </dataValidation>
    <dataValidation type="list" allowBlank="1" showErrorMessage="1" sqref="C2:C234 C236:C286">
      <formula1>Settings!$A$1:$A301</formula1>
    </dataValidation>
    <dataValidation type="list" allowBlank="1" showErrorMessage="1" sqref="C235 C287:C301">
      <formula1>Settings!$A$1:$A301</formula1>
    </dataValidation>
    <dataValidation type="list" allowBlank="1" showErrorMessage="1" sqref="A210:A282 A284:A286">
      <formula1>"Auto Insurance,Campaigns,CGM,CGM+Lymph W,Home Improvement,Hospitality,IMMUNE,Logistics,Lymphadema,ORT,ORT + Lymphedema,ORT+CGM,ORT+CGM+LYMPH W,RE,SUB,DME &amp; LAB,PPO,DMEDESK"</formula1>
    </dataValidation>
    <dataValidation type="list" allowBlank="1" showErrorMessage="1" sqref="B283">
      <formula1>"Ben,George,Jane,Jimmy,Selene,Jasmine"</formula1>
    </dataValidation>
    <dataValidation type="list" allowBlank="1" showErrorMessage="1" sqref="A161 A165:A178 A206:A209 A283">
      <formula1>"Auto Insurance,Campaigns,CGM,CGM+Lymph W,Home Improvement,Hospitality,IMMUNE,Logistics,Lymphadema,ORT,ORT + Lymphedema,ORT+CGM,ORT+CGM+LYMPH W,RE,SUB,DME &amp; LAB"</formula1>
    </dataValidation>
  </dataValidations>
  <drawing r:id="rId2"/>
  <legacyDrawing r:id="rId3"/>
  <tableParts count="1">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5.88"/>
    <col customWidth="1" min="3" max="3" width="21.13"/>
    <col customWidth="1" min="4" max="4" width="11.25"/>
    <col customWidth="1" min="5" max="5" width="35.38"/>
    <col customWidth="1" min="6" max="6" width="23.88"/>
    <col customWidth="1" min="7" max="7" width="20.0"/>
    <col customWidth="1" min="8" max="8" width="21.75"/>
    <col customWidth="1" min="10" max="10" width="42.88"/>
    <col customWidth="1" min="11" max="11" width="17.25"/>
  </cols>
  <sheetData>
    <row r="1" ht="38.25" customHeight="1">
      <c r="A1" s="1" t="s">
        <v>0</v>
      </c>
      <c r="B1" s="2" t="s">
        <v>1</v>
      </c>
      <c r="C1" s="3" t="s">
        <v>2</v>
      </c>
      <c r="D1" s="3" t="s">
        <v>3</v>
      </c>
      <c r="E1" s="3" t="s">
        <v>4</v>
      </c>
      <c r="F1" s="3" t="s">
        <v>5</v>
      </c>
      <c r="G1" s="4" t="s">
        <v>6</v>
      </c>
      <c r="H1" s="3" t="s">
        <v>7</v>
      </c>
      <c r="I1" s="3" t="s">
        <v>8</v>
      </c>
      <c r="J1" s="163" t="s">
        <v>9</v>
      </c>
      <c r="K1" s="163" t="s">
        <v>10</v>
      </c>
      <c r="L1" s="165" t="s">
        <v>11</v>
      </c>
      <c r="M1" s="2" t="s">
        <v>12</v>
      </c>
      <c r="N1" s="3" t="s">
        <v>13</v>
      </c>
      <c r="O1" s="2" t="s">
        <v>14</v>
      </c>
      <c r="P1" s="7" t="s">
        <v>15</v>
      </c>
      <c r="Q1" s="78" t="s">
        <v>2711</v>
      </c>
    </row>
    <row r="2" ht="20.25" customHeight="1">
      <c r="A2" s="8" t="s">
        <v>18</v>
      </c>
      <c r="B2" s="8" t="s">
        <v>23</v>
      </c>
      <c r="C2" s="8" t="s">
        <v>360</v>
      </c>
      <c r="D2" s="42">
        <v>45980.0</v>
      </c>
      <c r="E2" s="8" t="s">
        <v>449</v>
      </c>
      <c r="F2" s="8" t="s">
        <v>450</v>
      </c>
      <c r="G2" s="8" t="s">
        <v>451</v>
      </c>
      <c r="H2" s="8" t="s">
        <v>452</v>
      </c>
      <c r="I2" s="21" t="s">
        <v>453</v>
      </c>
      <c r="J2" s="8" t="s">
        <v>454</v>
      </c>
      <c r="K2" s="33" t="s">
        <v>455</v>
      </c>
      <c r="L2" s="66"/>
      <c r="M2" s="142">
        <v>46099.84558116898</v>
      </c>
      <c r="N2" s="32"/>
      <c r="O2" s="8" t="b">
        <v>0</v>
      </c>
      <c r="P2" s="336"/>
      <c r="Q2" s="337" t="s">
        <v>2744</v>
      </c>
    </row>
    <row r="3" ht="20.25" customHeight="1">
      <c r="A3" s="8" t="s">
        <v>18</v>
      </c>
      <c r="B3" s="8" t="s">
        <v>23</v>
      </c>
      <c r="C3" s="8" t="s">
        <v>360</v>
      </c>
      <c r="D3" s="42">
        <v>45980.0</v>
      </c>
      <c r="E3" s="8" t="s">
        <v>449</v>
      </c>
      <c r="F3" s="8" t="s">
        <v>450</v>
      </c>
      <c r="G3" s="8" t="s">
        <v>451</v>
      </c>
      <c r="H3" s="8" t="s">
        <v>452</v>
      </c>
      <c r="I3" s="21" t="s">
        <v>453</v>
      </c>
      <c r="J3" s="8" t="s">
        <v>454</v>
      </c>
      <c r="K3" s="33" t="s">
        <v>455</v>
      </c>
      <c r="L3" s="66"/>
      <c r="M3" s="142">
        <v>46099.84558116898</v>
      </c>
      <c r="N3" s="32"/>
      <c r="O3" s="8" t="b">
        <v>0</v>
      </c>
      <c r="P3" s="336"/>
      <c r="Q3" s="337" t="s">
        <v>2763</v>
      </c>
    </row>
  </sheetData>
  <conditionalFormatting sqref="A1:P3">
    <cfRule type="expression" dxfId="4" priority="1" stopIfTrue="1">
      <formula>OR($C1="Follow Up", $C1="Contract Sent")</formula>
    </cfRule>
  </conditionalFormatting>
  <conditionalFormatting sqref="A1:P3">
    <cfRule type="expression" dxfId="5" priority="2" stopIfTrue="1">
      <formula>OR($C1="NOT READY", $C1="No - Show / Callback", $C1="Pending Medicare", $C1="Inactive License")</formula>
    </cfRule>
  </conditionalFormatting>
  <conditionalFormatting sqref="A1:P3">
    <cfRule type="expression" dxfId="6" priority="3" stopIfTrue="1">
      <formula>OR($C1="DNC", $C1="NI", $C1="No Medicare")</formula>
    </cfRule>
  </conditionalFormatting>
  <conditionalFormatting sqref="A1:P3">
    <cfRule type="expression" dxfId="7" priority="4" stopIfTrue="1">
      <formula>$C1="Onboarded"</formula>
    </cfRule>
  </conditionalFormatting>
  <conditionalFormatting sqref="A1:P3">
    <cfRule type="expression" dxfId="8" priority="5" stopIfTrue="1">
      <formula>OR($C1="Invoice Sent", $C1="Trial Sent")</formula>
    </cfRule>
  </conditionalFormatting>
  <conditionalFormatting sqref="A1:P3">
    <cfRule type="expression" dxfId="9" priority="6" stopIfTrue="1">
      <formula>$C1="Hold"</formula>
    </cfRule>
  </conditionalFormatting>
  <dataValidations>
    <dataValidation type="list" allowBlank="1" showErrorMessage="1" sqref="A2:A3">
      <formula1>"Campaigns,CGM,CGM+Lymph W,Claims,Food delivery,Home Improvement,Lymphadema,MVA Claims,ORT,ORT + Lymphedema,ORT+CGM,ORT+CGM+LYMPH W,RE,Solar,SUB,Vacation DNC Camapign"</formula1>
    </dataValidation>
    <dataValidation type="list" allowBlank="1" showErrorMessage="1" sqref="C2:C3">
      <formula1>Settings!$A$1:$A1000</formula1>
    </dataValidation>
    <dataValidation type="list" allowBlank="1" showErrorMessage="1" sqref="B2:B3">
      <formula1>"Ben,Jane,Opener,Selene,Jasmine"</formula1>
    </dataValidation>
  </dataValidations>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17.0"/>
    <col customWidth="1" min="3" max="3" width="28.13"/>
    <col customWidth="1" min="4" max="4" width="12.0"/>
    <col customWidth="1" min="5" max="5" width="42.38"/>
    <col customWidth="1" min="6" max="6" width="36.38"/>
    <col customWidth="1" min="7" max="7" width="19.38"/>
    <col customWidth="1" min="8" max="8" width="35.0"/>
    <col customWidth="1" min="9" max="9" width="22.0"/>
    <col customWidth="1" min="10" max="10" width="33.88"/>
    <col customWidth="1" min="11" max="11" width="25.75"/>
    <col customWidth="1" min="12" max="12" width="23.63"/>
    <col customWidth="1" min="13" max="13" width="25.0"/>
  </cols>
  <sheetData>
    <row r="1" ht="38.25" customHeight="1">
      <c r="A1" s="1" t="s">
        <v>0</v>
      </c>
      <c r="B1" s="2" t="s">
        <v>1</v>
      </c>
      <c r="C1" s="2" t="s">
        <v>2</v>
      </c>
      <c r="D1" s="3" t="s">
        <v>3</v>
      </c>
      <c r="E1" s="3" t="s">
        <v>4</v>
      </c>
      <c r="F1" s="3" t="s">
        <v>5</v>
      </c>
      <c r="G1" s="4" t="s">
        <v>6</v>
      </c>
      <c r="H1" s="3" t="s">
        <v>7</v>
      </c>
      <c r="I1" s="3" t="s">
        <v>8</v>
      </c>
      <c r="J1" s="163" t="s">
        <v>9</v>
      </c>
      <c r="K1" s="163" t="s">
        <v>10</v>
      </c>
      <c r="L1" s="165" t="s">
        <v>11</v>
      </c>
      <c r="M1" s="2" t="s">
        <v>12</v>
      </c>
      <c r="N1" s="3" t="s">
        <v>13</v>
      </c>
      <c r="O1" s="2" t="b">
        <v>0</v>
      </c>
      <c r="P1" s="7" t="s">
        <v>15</v>
      </c>
      <c r="Q1" s="6"/>
    </row>
    <row r="2" ht="20.25" customHeight="1">
      <c r="A2" s="190" t="s">
        <v>633</v>
      </c>
      <c r="B2" s="10" t="s">
        <v>23</v>
      </c>
      <c r="C2" s="10"/>
      <c r="D2" s="191">
        <v>45958.0</v>
      </c>
      <c r="E2" s="10" t="s">
        <v>2938</v>
      </c>
      <c r="F2" s="10" t="s">
        <v>2940</v>
      </c>
      <c r="G2" s="10" t="s">
        <v>2942</v>
      </c>
      <c r="H2" s="10" t="s">
        <v>2944</v>
      </c>
      <c r="I2" s="15" t="s">
        <v>2845</v>
      </c>
      <c r="J2" s="10" t="s">
        <v>2946</v>
      </c>
      <c r="K2" s="17" t="s">
        <v>2947</v>
      </c>
      <c r="L2" s="144"/>
      <c r="M2" s="83"/>
      <c r="N2" s="10"/>
      <c r="O2" s="10" t="b">
        <v>0</v>
      </c>
      <c r="P2" s="24"/>
      <c r="Q2" s="6"/>
    </row>
    <row r="3" ht="20.25" customHeight="1">
      <c r="A3" s="190" t="s">
        <v>633</v>
      </c>
      <c r="B3" s="10" t="s">
        <v>53</v>
      </c>
      <c r="C3" s="10"/>
      <c r="D3" s="191">
        <v>45959.0</v>
      </c>
      <c r="E3" s="10" t="s">
        <v>2955</v>
      </c>
      <c r="F3" s="10" t="s">
        <v>2956</v>
      </c>
      <c r="G3" s="10" t="s">
        <v>2957</v>
      </c>
      <c r="H3" s="10" t="s">
        <v>2958</v>
      </c>
      <c r="I3" s="15" t="s">
        <v>2497</v>
      </c>
      <c r="J3" s="10" t="s">
        <v>2960</v>
      </c>
      <c r="K3" s="17" t="s">
        <v>2962</v>
      </c>
      <c r="L3" s="144"/>
      <c r="M3" s="83"/>
      <c r="N3" s="10"/>
      <c r="O3" s="10" t="b">
        <v>0</v>
      </c>
      <c r="P3" s="24"/>
      <c r="Q3" s="6"/>
    </row>
    <row r="4" ht="20.25" customHeight="1">
      <c r="A4" s="190" t="s">
        <v>633</v>
      </c>
      <c r="B4" s="10" t="s">
        <v>23</v>
      </c>
      <c r="C4" s="10"/>
      <c r="D4" s="191">
        <v>45964.0</v>
      </c>
      <c r="E4" s="10" t="s">
        <v>2968</v>
      </c>
      <c r="F4" s="10" t="s">
        <v>2969</v>
      </c>
      <c r="G4" s="10" t="s">
        <v>2970</v>
      </c>
      <c r="H4" s="10" t="s">
        <v>2971</v>
      </c>
      <c r="I4" s="15" t="s">
        <v>597</v>
      </c>
      <c r="J4" s="10" t="s">
        <v>2972</v>
      </c>
      <c r="K4" s="17" t="s">
        <v>2973</v>
      </c>
      <c r="L4" s="20"/>
      <c r="M4" s="83"/>
      <c r="N4" s="10"/>
      <c r="O4" s="10" t="b">
        <v>0</v>
      </c>
      <c r="P4" s="24"/>
      <c r="Q4" s="6"/>
    </row>
    <row r="5" ht="20.25" customHeight="1">
      <c r="A5" s="190" t="s">
        <v>633</v>
      </c>
      <c r="B5" s="10" t="s">
        <v>19</v>
      </c>
      <c r="C5" s="10"/>
      <c r="D5" s="191">
        <v>45964.0</v>
      </c>
      <c r="E5" s="10" t="s">
        <v>2974</v>
      </c>
      <c r="F5" s="10" t="s">
        <v>2975</v>
      </c>
      <c r="G5" s="10" t="s">
        <v>2976</v>
      </c>
      <c r="H5" s="10" t="s">
        <v>2977</v>
      </c>
      <c r="I5" s="15" t="s">
        <v>1963</v>
      </c>
      <c r="J5" s="10" t="s">
        <v>2980</v>
      </c>
      <c r="K5" s="17" t="s">
        <v>2982</v>
      </c>
      <c r="L5" s="20"/>
      <c r="M5" s="83"/>
      <c r="N5" s="10"/>
      <c r="O5" s="10" t="b">
        <v>0</v>
      </c>
      <c r="P5" s="24"/>
      <c r="Q5" s="6"/>
    </row>
    <row r="6" ht="20.25" customHeight="1">
      <c r="A6" s="190" t="s">
        <v>633</v>
      </c>
      <c r="B6" s="10" t="s">
        <v>53</v>
      </c>
      <c r="C6" s="10"/>
      <c r="D6" s="191">
        <v>45964.0</v>
      </c>
      <c r="E6" s="10" t="s">
        <v>2986</v>
      </c>
      <c r="F6" s="10" t="s">
        <v>2987</v>
      </c>
      <c r="G6" s="10" t="s">
        <v>2988</v>
      </c>
      <c r="H6" s="10" t="s">
        <v>2989</v>
      </c>
      <c r="I6" s="15" t="s">
        <v>218</v>
      </c>
      <c r="J6" s="10" t="s">
        <v>2990</v>
      </c>
      <c r="K6" s="17" t="s">
        <v>2991</v>
      </c>
      <c r="L6" s="144"/>
      <c r="M6" s="83"/>
      <c r="N6" s="10"/>
      <c r="O6" s="10" t="b">
        <v>0</v>
      </c>
      <c r="P6" s="24"/>
      <c r="Q6" s="6"/>
    </row>
    <row r="7" ht="20.25" customHeight="1">
      <c r="A7" s="190" t="s">
        <v>633</v>
      </c>
      <c r="B7" s="10" t="s">
        <v>53</v>
      </c>
      <c r="C7" s="10"/>
      <c r="D7" s="191">
        <v>45966.0</v>
      </c>
      <c r="E7" s="10" t="s">
        <v>2993</v>
      </c>
      <c r="F7" s="10" t="s">
        <v>2994</v>
      </c>
      <c r="G7" s="10" t="s">
        <v>2995</v>
      </c>
      <c r="H7" s="10" t="s">
        <v>2997</v>
      </c>
      <c r="I7" s="15" t="s">
        <v>2998</v>
      </c>
      <c r="J7" s="10" t="s">
        <v>3000</v>
      </c>
      <c r="K7" s="17" t="s">
        <v>3004</v>
      </c>
      <c r="L7" s="20"/>
      <c r="M7" s="83"/>
      <c r="N7" s="10"/>
      <c r="O7" s="10" t="b">
        <v>0</v>
      </c>
      <c r="P7" s="24"/>
      <c r="Q7" s="6"/>
    </row>
    <row r="8" ht="20.25" customHeight="1">
      <c r="A8" s="190" t="s">
        <v>633</v>
      </c>
      <c r="B8" s="10" t="s">
        <v>23</v>
      </c>
      <c r="C8" s="10"/>
      <c r="D8" s="191">
        <v>45966.0</v>
      </c>
      <c r="E8" s="10" t="s">
        <v>3010</v>
      </c>
      <c r="F8" s="10" t="s">
        <v>3011</v>
      </c>
      <c r="G8" s="10" t="s">
        <v>3013</v>
      </c>
      <c r="H8" s="10" t="s">
        <v>3014</v>
      </c>
      <c r="I8" s="15" t="s">
        <v>3015</v>
      </c>
      <c r="J8" s="10" t="s">
        <v>3017</v>
      </c>
      <c r="K8" s="17" t="s">
        <v>3019</v>
      </c>
      <c r="L8" s="144"/>
      <c r="M8" s="83"/>
      <c r="N8" s="10" t="s">
        <v>3023</v>
      </c>
      <c r="O8" s="10" t="b">
        <v>0</v>
      </c>
      <c r="P8" s="24"/>
      <c r="Q8" s="6"/>
    </row>
    <row r="9" ht="20.25" customHeight="1">
      <c r="A9" s="190" t="s">
        <v>633</v>
      </c>
      <c r="B9" s="10" t="s">
        <v>23</v>
      </c>
      <c r="C9" s="10"/>
      <c r="D9" s="191">
        <v>45967.0</v>
      </c>
      <c r="E9" s="10" t="s">
        <v>3026</v>
      </c>
      <c r="F9" s="10" t="s">
        <v>3027</v>
      </c>
      <c r="G9" s="10" t="s">
        <v>3028</v>
      </c>
      <c r="H9" s="10" t="s">
        <v>3029</v>
      </c>
      <c r="I9" s="15" t="s">
        <v>3030</v>
      </c>
      <c r="J9" s="10" t="s">
        <v>3031</v>
      </c>
      <c r="K9" s="17" t="s">
        <v>3034</v>
      </c>
      <c r="L9" s="144"/>
      <c r="M9" s="83"/>
      <c r="N9" s="10"/>
      <c r="O9" s="10" t="b">
        <v>0</v>
      </c>
      <c r="P9" s="24"/>
      <c r="Q9" s="6"/>
    </row>
    <row r="10" ht="20.25" customHeight="1">
      <c r="A10" s="190" t="s">
        <v>633</v>
      </c>
      <c r="B10" s="10" t="s">
        <v>53</v>
      </c>
      <c r="C10" s="10"/>
      <c r="D10" s="191">
        <v>45967.0</v>
      </c>
      <c r="E10" s="10" t="s">
        <v>3039</v>
      </c>
      <c r="F10" s="10" t="s">
        <v>3040</v>
      </c>
      <c r="G10" s="10" t="s">
        <v>3041</v>
      </c>
      <c r="H10" s="10" t="s">
        <v>3042</v>
      </c>
      <c r="I10" s="15" t="s">
        <v>3043</v>
      </c>
      <c r="J10" s="10" t="s">
        <v>3046</v>
      </c>
      <c r="K10" s="17" t="s">
        <v>3048</v>
      </c>
      <c r="L10" s="20"/>
      <c r="M10" s="83"/>
      <c r="N10" s="10"/>
      <c r="O10" s="10" t="b">
        <v>0</v>
      </c>
      <c r="P10" s="24"/>
      <c r="Q10" s="6"/>
    </row>
    <row r="11" ht="20.25" customHeight="1">
      <c r="A11" s="35" t="s">
        <v>633</v>
      </c>
      <c r="B11" s="10" t="s">
        <v>19</v>
      </c>
      <c r="C11" s="10"/>
      <c r="D11" s="12">
        <v>45751.0</v>
      </c>
      <c r="E11" s="10" t="s">
        <v>3053</v>
      </c>
      <c r="F11" s="10" t="s">
        <v>3054</v>
      </c>
      <c r="G11" s="10" t="s">
        <v>3055</v>
      </c>
      <c r="H11" s="10" t="s">
        <v>3057</v>
      </c>
      <c r="I11" s="15" t="s">
        <v>268</v>
      </c>
      <c r="J11" s="10" t="s">
        <v>3061</v>
      </c>
      <c r="K11" s="17" t="s">
        <v>3063</v>
      </c>
      <c r="L11" s="83"/>
      <c r="M11" s="355">
        <v>0.6</v>
      </c>
      <c r="N11" s="10"/>
      <c r="O11" s="10" t="b">
        <v>0</v>
      </c>
      <c r="P11" s="356"/>
      <c r="Q11" s="6"/>
    </row>
    <row r="12" ht="20.25" customHeight="1">
      <c r="A12" s="190" t="s">
        <v>633</v>
      </c>
      <c r="B12" s="10" t="s">
        <v>53</v>
      </c>
      <c r="C12" s="10"/>
      <c r="D12" s="191">
        <v>45729.0</v>
      </c>
      <c r="E12" s="10" t="s">
        <v>637</v>
      </c>
      <c r="F12" s="10" t="s">
        <v>638</v>
      </c>
      <c r="G12" s="10" t="s">
        <v>640</v>
      </c>
      <c r="H12" s="10" t="s">
        <v>642</v>
      </c>
      <c r="I12" s="15" t="s">
        <v>581</v>
      </c>
      <c r="J12" s="10" t="s">
        <v>643</v>
      </c>
      <c r="K12" s="17" t="s">
        <v>645</v>
      </c>
      <c r="L12" s="200"/>
      <c r="M12" s="83"/>
      <c r="N12" s="357"/>
      <c r="O12" s="10" t="b">
        <v>0</v>
      </c>
      <c r="P12" s="24"/>
      <c r="Q12" s="6"/>
    </row>
  </sheetData>
  <customSheetViews>
    <customSheetView guid="{EFB21323-95C1-45BD-9E8A-755BDF45AF62}" filter="1" showAutoFilter="1">
      <autoFilter ref="$A$1:$Q$12">
        <filterColumn colId="1">
          <filters>
            <filter val="Ben"/>
          </filters>
        </filterColumn>
      </autoFilter>
    </customSheetView>
    <customSheetView guid="{AA11B3EB-7166-429A-9C9E-A7F2D10587B6}" filter="1" showAutoFilter="1">
      <autoFilter ref="$A$1:$Q$12">
        <filterColumn colId="1">
          <filters>
            <filter val="Ben"/>
          </filters>
        </filterColumn>
      </autoFilter>
    </customSheetView>
    <customSheetView guid="{34D72827-1C41-4DA6-AE21-43468FDAB35C}" filter="1" showAutoFilter="1">
      <autoFilter ref="$A$1:$Q$12">
        <filterColumn colId="1">
          <filters>
            <filter val="Ben"/>
          </filters>
        </filterColumn>
      </autoFilter>
    </customSheetView>
    <customSheetView guid="{7640BF70-1596-47DD-944E-658DB4B9989D}" filter="1" showAutoFilter="1">
      <autoFilter ref="$A$1:$Q$12">
        <filterColumn colId="1">
          <filters>
            <filter val="Ben"/>
          </filters>
        </filterColumn>
      </autoFilter>
    </customSheetView>
  </customSheetViews>
  <conditionalFormatting sqref="A1:Q134">
    <cfRule type="expression" dxfId="4" priority="1" stopIfTrue="1">
      <formula>OR($C1="Follow Up", $C1="Contract Sent")</formula>
    </cfRule>
  </conditionalFormatting>
  <conditionalFormatting sqref="A1:Q134">
    <cfRule type="expression" dxfId="5" priority="2" stopIfTrue="1">
      <formula>OR($C1="NOT READY", $C1="No - Show / Callback")</formula>
    </cfRule>
  </conditionalFormatting>
  <conditionalFormatting sqref="A1:Q134">
    <cfRule type="expression" dxfId="6" priority="3" stopIfTrue="1">
      <formula>OR($C1="DNC", $C1="NI", $C1="No Medicare")</formula>
    </cfRule>
  </conditionalFormatting>
  <conditionalFormatting sqref="A1:Q134">
    <cfRule type="expression" dxfId="7" priority="4" stopIfTrue="1">
      <formula>$C1="Onboarded"</formula>
    </cfRule>
  </conditionalFormatting>
  <dataValidations>
    <dataValidation type="list" allowBlank="1" showErrorMessage="1" sqref="A2:A12">
      <formula1>"Auto Insurance,Campaigns,CGM,CGM+Lymph W,Home Improvement,Hospitality,IMMUNE,Logistics,Lymphadema,ORT,ORT + Lymphedema,ORT+CGM,ORT+CGM+LYMPH W,RE,SUB"</formula1>
    </dataValidation>
    <dataValidation type="list" allowBlank="1" showErrorMessage="1" sqref="B2:B12">
      <formula1>"Ben,George,Jane,Jimmy,Selene"</formula1>
    </dataValidation>
    <dataValidation type="list" allowBlank="1" showErrorMessage="1" sqref="C2:C12">
      <formula1>Settings!$A$1:$A12</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s>
  <sheetData>
    <row r="1">
      <c r="A1" s="193" t="s">
        <v>876</v>
      </c>
      <c r="B1" s="193" t="s">
        <v>876</v>
      </c>
    </row>
    <row r="2">
      <c r="A2" s="193" t="s">
        <v>24</v>
      </c>
      <c r="B2" s="193" t="s">
        <v>2996</v>
      </c>
    </row>
    <row r="3">
      <c r="A3" s="193" t="s">
        <v>1722</v>
      </c>
      <c r="B3" s="193" t="s">
        <v>2996</v>
      </c>
    </row>
    <row r="4">
      <c r="A4" s="193" t="s">
        <v>867</v>
      </c>
      <c r="B4" s="193" t="s">
        <v>3003</v>
      </c>
    </row>
    <row r="5">
      <c r="A5" s="193" t="s">
        <v>1451</v>
      </c>
      <c r="B5" s="193" t="s">
        <v>3007</v>
      </c>
    </row>
    <row r="6">
      <c r="A6" s="193" t="s">
        <v>1410</v>
      </c>
      <c r="B6" s="193" t="s">
        <v>3007</v>
      </c>
    </row>
    <row r="7">
      <c r="A7" s="193" t="s">
        <v>1527</v>
      </c>
      <c r="B7" s="193" t="s">
        <v>3007</v>
      </c>
    </row>
    <row r="8">
      <c r="A8" s="193" t="s">
        <v>34</v>
      </c>
      <c r="B8" s="193" t="s">
        <v>34</v>
      </c>
    </row>
    <row r="9">
      <c r="A9" s="193" t="s">
        <v>222</v>
      </c>
      <c r="B9" s="193" t="s">
        <v>3012</v>
      </c>
    </row>
    <row r="10">
      <c r="A10" s="193" t="s">
        <v>296</v>
      </c>
      <c r="B10" s="193" t="s">
        <v>3012</v>
      </c>
    </row>
    <row r="11">
      <c r="A11" s="193" t="s">
        <v>360</v>
      </c>
      <c r="B11" s="193" t="s">
        <v>3012</v>
      </c>
    </row>
    <row r="12">
      <c r="A12" s="193" t="s">
        <v>3021</v>
      </c>
      <c r="B12" s="193" t="s">
        <v>3007</v>
      </c>
    </row>
    <row r="13">
      <c r="A13" s="193" t="s">
        <v>21</v>
      </c>
      <c r="B13" s="193" t="s">
        <v>21</v>
      </c>
    </row>
    <row r="14">
      <c r="A14" s="193" t="s">
        <v>54</v>
      </c>
      <c r="B14" s="193" t="s">
        <v>21</v>
      </c>
    </row>
    <row r="15">
      <c r="A15" s="193" t="s">
        <v>601</v>
      </c>
      <c r="B15" s="193" t="s">
        <v>3012</v>
      </c>
    </row>
  </sheetData>
  <conditionalFormatting sqref="A1:P137">
    <cfRule type="expression" dxfId="4" priority="1" stopIfTrue="1">
      <formula>OR($C1="Follow Up", $C1="Contract Sent")</formula>
    </cfRule>
  </conditionalFormatting>
  <conditionalFormatting sqref="A1:P137">
    <cfRule type="expression" dxfId="5" priority="2" stopIfTrue="1">
      <formula>OR($C1="NOT READY", $C1="No - Show / Callback", $C1="Pending Medicare", $C1="Inactive License")</formula>
    </cfRule>
  </conditionalFormatting>
  <conditionalFormatting sqref="A1:P137">
    <cfRule type="expression" dxfId="6" priority="3" stopIfTrue="1">
      <formula>OR($C1="DNC", $C1="NI", $C1="No Medicare")</formula>
    </cfRule>
  </conditionalFormatting>
  <conditionalFormatting sqref="A1:P137">
    <cfRule type="expression" dxfId="7" priority="4" stopIfTrue="1">
      <formula>$C1="Onboarded"</formula>
    </cfRule>
  </conditionalFormatting>
  <conditionalFormatting sqref="A1:Q137">
    <cfRule type="expression" dxfId="8" priority="5" stopIfTrue="1">
      <formula>OR($C1="Invoice Sent", $C1="Trial Sent")</formula>
    </cfRule>
  </conditionalFormatting>
  <conditionalFormatting sqref="A1:Q137">
    <cfRule type="expression" dxfId="9" priority="6" stopIfTrue="1">
      <formula>$C1="Hold"</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8" t="s">
        <v>3075</v>
      </c>
      <c r="B1" s="358" t="s">
        <v>3082</v>
      </c>
      <c r="C1" s="358" t="s">
        <v>13</v>
      </c>
      <c r="D1" s="358" t="s">
        <v>3087</v>
      </c>
    </row>
    <row r="2">
      <c r="A2" s="359">
        <v>46035.88756969907</v>
      </c>
      <c r="C2" s="193" t="s">
        <v>3091</v>
      </c>
      <c r="D2" s="193" t="s">
        <v>3095</v>
      </c>
    </row>
    <row r="3">
      <c r="A3" s="359">
        <v>46035.895496701385</v>
      </c>
      <c r="B3" s="193" t="s">
        <v>3097</v>
      </c>
      <c r="C3" s="193" t="s">
        <v>3098</v>
      </c>
      <c r="D3" s="193" t="s">
        <v>3099</v>
      </c>
    </row>
    <row r="4">
      <c r="A4" s="359">
        <v>46035.89875975694</v>
      </c>
      <c r="B4" s="193" t="s">
        <v>3097</v>
      </c>
      <c r="C4" s="193" t="s">
        <v>3098</v>
      </c>
      <c r="D4" s="193" t="s">
        <v>3103</v>
      </c>
    </row>
    <row r="5">
      <c r="A5" s="359">
        <v>46036.82256366898</v>
      </c>
      <c r="B5" s="193" t="s">
        <v>3097</v>
      </c>
      <c r="C5" s="193" t="s">
        <v>3098</v>
      </c>
      <c r="D5" s="193" t="s">
        <v>3107</v>
      </c>
    </row>
    <row r="6">
      <c r="A6" s="359">
        <v>46037.72321459491</v>
      </c>
      <c r="C6" s="193" t="s">
        <v>3091</v>
      </c>
      <c r="D6" s="193" t="s">
        <v>3110</v>
      </c>
    </row>
    <row r="7">
      <c r="A7" s="359">
        <v>46037.92959181713</v>
      </c>
      <c r="B7" s="193" t="s">
        <v>3097</v>
      </c>
      <c r="C7" s="193" t="s">
        <v>3091</v>
      </c>
      <c r="D7" s="193" t="s">
        <v>3117</v>
      </c>
    </row>
    <row r="8">
      <c r="A8" s="359">
        <v>46038.78727857639</v>
      </c>
      <c r="B8" s="193" t="s">
        <v>3097</v>
      </c>
      <c r="C8" s="193" t="s">
        <v>3119</v>
      </c>
      <c r="D8" s="193" t="s">
        <v>3120</v>
      </c>
    </row>
    <row r="9">
      <c r="A9" s="359">
        <v>46038.814862025465</v>
      </c>
      <c r="B9" s="193" t="s">
        <v>3097</v>
      </c>
      <c r="C9" s="193" t="s">
        <v>3119</v>
      </c>
      <c r="D9" s="193" t="s">
        <v>3120</v>
      </c>
    </row>
    <row r="10">
      <c r="A10" s="359">
        <v>46041.794557291665</v>
      </c>
      <c r="C10" s="193" t="s">
        <v>3119</v>
      </c>
      <c r="D10" s="193" t="s">
        <v>3122</v>
      </c>
    </row>
    <row r="11">
      <c r="A11" s="359">
        <v>46041.79476818287</v>
      </c>
      <c r="C11" s="193" t="s">
        <v>3119</v>
      </c>
      <c r="D11" s="193" t="s">
        <v>3122</v>
      </c>
    </row>
    <row r="12">
      <c r="A12" s="359">
        <v>46041.79731675926</v>
      </c>
      <c r="C12" s="193" t="s">
        <v>3119</v>
      </c>
      <c r="D12" s="193" t="s">
        <v>3122</v>
      </c>
    </row>
    <row r="13">
      <c r="A13" s="359">
        <v>46041.8908487963</v>
      </c>
      <c r="C13" s="193" t="s">
        <v>3119</v>
      </c>
      <c r="D13" s="193" t="s">
        <v>3128</v>
      </c>
    </row>
    <row r="14">
      <c r="A14" s="359">
        <v>46041.89852378472</v>
      </c>
      <c r="C14" s="193" t="s">
        <v>3119</v>
      </c>
      <c r="D14" s="193" t="s">
        <v>3129</v>
      </c>
    </row>
    <row r="15">
      <c r="A15" s="359">
        <v>46041.89856475695</v>
      </c>
      <c r="C15" s="193" t="s">
        <v>3119</v>
      </c>
      <c r="D15" s="193" t="s">
        <v>3129</v>
      </c>
    </row>
    <row r="16">
      <c r="A16" s="359">
        <v>46041.89857125</v>
      </c>
      <c r="C16" s="193" t="s">
        <v>3119</v>
      </c>
      <c r="D16" s="193" t="s">
        <v>3129</v>
      </c>
    </row>
    <row r="17">
      <c r="A17" s="359">
        <v>46041.89859253472</v>
      </c>
      <c r="C17" s="193" t="s">
        <v>3119</v>
      </c>
      <c r="D17" s="193" t="s">
        <v>3129</v>
      </c>
    </row>
    <row r="18">
      <c r="A18" s="359">
        <v>46041.8985978125</v>
      </c>
      <c r="C18" s="193" t="s">
        <v>3119</v>
      </c>
      <c r="D18" s="193" t="s">
        <v>3129</v>
      </c>
    </row>
    <row r="19">
      <c r="A19" s="359">
        <v>46041.89877114583</v>
      </c>
      <c r="C19" s="193" t="s">
        <v>3119</v>
      </c>
      <c r="D19" s="193" t="s">
        <v>3129</v>
      </c>
    </row>
    <row r="20">
      <c r="A20" s="359">
        <v>46041.900059374995</v>
      </c>
      <c r="C20" s="193" t="s">
        <v>3119</v>
      </c>
      <c r="D20" s="193" t="s">
        <v>3142</v>
      </c>
    </row>
    <row r="21">
      <c r="A21" s="359">
        <v>46041.937782152774</v>
      </c>
      <c r="C21" s="193" t="s">
        <v>3119</v>
      </c>
      <c r="D21" s="193" t="s">
        <v>3120</v>
      </c>
    </row>
    <row r="22">
      <c r="A22" s="359">
        <v>46041.94288847222</v>
      </c>
      <c r="C22" s="193" t="s">
        <v>3119</v>
      </c>
      <c r="D22" s="193" t="s">
        <v>3142</v>
      </c>
    </row>
    <row r="23">
      <c r="A23" s="359">
        <v>46041.94692935185</v>
      </c>
      <c r="C23" s="193" t="s">
        <v>3119</v>
      </c>
      <c r="D23" s="193" t="s">
        <v>3146</v>
      </c>
    </row>
    <row r="24">
      <c r="A24" s="359">
        <v>46041.94828109954</v>
      </c>
      <c r="C24" s="193" t="s">
        <v>3091</v>
      </c>
      <c r="D24" s="193" t="s">
        <v>3151</v>
      </c>
    </row>
    <row r="25">
      <c r="A25" s="359">
        <v>46041.94873069444</v>
      </c>
      <c r="C25" s="193" t="s">
        <v>3119</v>
      </c>
      <c r="D25" s="193" t="s">
        <v>3152</v>
      </c>
    </row>
    <row r="26">
      <c r="A26" s="359">
        <v>46043.764662511574</v>
      </c>
      <c r="C26" s="193" t="s">
        <v>3119</v>
      </c>
      <c r="D26" s="193" t="s">
        <v>3120</v>
      </c>
    </row>
    <row r="27">
      <c r="A27" s="359">
        <v>46043.90646903936</v>
      </c>
      <c r="C27" s="193" t="s">
        <v>3119</v>
      </c>
      <c r="D27" s="193" t="s">
        <v>3156</v>
      </c>
    </row>
    <row r="28">
      <c r="A28" s="359">
        <v>46043.90648399305</v>
      </c>
      <c r="C28" s="193" t="s">
        <v>3119</v>
      </c>
      <c r="D28" s="193" t="s">
        <v>3156</v>
      </c>
    </row>
    <row r="29">
      <c r="A29" s="359">
        <v>46043.90660717593</v>
      </c>
      <c r="C29" s="193" t="s">
        <v>3119</v>
      </c>
      <c r="D29" s="193" t="s">
        <v>3156</v>
      </c>
    </row>
    <row r="30">
      <c r="A30" s="359">
        <v>46043.916232731484</v>
      </c>
      <c r="C30" s="193" t="s">
        <v>3119</v>
      </c>
      <c r="D30" s="193" t="s">
        <v>3164</v>
      </c>
    </row>
    <row r="31">
      <c r="A31" s="359">
        <v>46043.92888715278</v>
      </c>
      <c r="C31" s="193" t="s">
        <v>3119</v>
      </c>
      <c r="D31" s="193" t="s">
        <v>3165</v>
      </c>
    </row>
    <row r="32">
      <c r="A32" s="359">
        <v>46044.65215548611</v>
      </c>
      <c r="C32" s="193" t="s">
        <v>3091</v>
      </c>
      <c r="D32" s="193" t="s">
        <v>3167</v>
      </c>
    </row>
    <row r="33">
      <c r="A33" s="359">
        <v>46044.65278309028</v>
      </c>
      <c r="C33" s="193" t="s">
        <v>3091</v>
      </c>
      <c r="D33" s="193" t="s">
        <v>3171</v>
      </c>
    </row>
    <row r="34">
      <c r="A34" s="359">
        <v>46044.65367462963</v>
      </c>
      <c r="C34" s="193" t="s">
        <v>3091</v>
      </c>
      <c r="D34" s="193" t="s">
        <v>3175</v>
      </c>
    </row>
    <row r="35">
      <c r="A35" s="359">
        <v>46044.65400836806</v>
      </c>
      <c r="C35" s="193" t="s">
        <v>3091</v>
      </c>
      <c r="D35" s="193" t="s">
        <v>3176</v>
      </c>
    </row>
    <row r="36">
      <c r="A36" s="359">
        <v>46044.70922791667</v>
      </c>
      <c r="C36" s="193" t="s">
        <v>3091</v>
      </c>
      <c r="D36" s="193" t="s">
        <v>3177</v>
      </c>
    </row>
    <row r="37">
      <c r="A37" s="359">
        <v>46044.716672372684</v>
      </c>
      <c r="C37" s="193" t="s">
        <v>3091</v>
      </c>
      <c r="D37" s="193" t="s">
        <v>3178</v>
      </c>
    </row>
    <row r="38">
      <c r="A38" s="359">
        <v>46044.71739179398</v>
      </c>
      <c r="C38" s="193" t="s">
        <v>3091</v>
      </c>
      <c r="D38" s="193" t="s">
        <v>3179</v>
      </c>
    </row>
    <row r="39">
      <c r="A39" s="359">
        <v>46044.717824444444</v>
      </c>
      <c r="C39" s="193" t="s">
        <v>3091</v>
      </c>
      <c r="D39" s="193" t="s">
        <v>3184</v>
      </c>
    </row>
    <row r="40">
      <c r="A40" s="359">
        <v>46045.80752488426</v>
      </c>
      <c r="C40" s="193" t="s">
        <v>3119</v>
      </c>
      <c r="D40" s="193" t="s">
        <v>3165</v>
      </c>
    </row>
    <row r="41">
      <c r="A41" s="359">
        <v>46045.816542858796</v>
      </c>
      <c r="C41" s="193" t="s">
        <v>3119</v>
      </c>
      <c r="D41" s="193" t="s">
        <v>3188</v>
      </c>
    </row>
    <row r="42">
      <c r="A42" s="359">
        <v>46045.816633159724</v>
      </c>
      <c r="C42" s="193" t="s">
        <v>3119</v>
      </c>
      <c r="D42" s="193" t="s">
        <v>3188</v>
      </c>
    </row>
    <row r="43">
      <c r="A43" s="359">
        <v>46045.82257456018</v>
      </c>
      <c r="C43" s="193" t="s">
        <v>3119</v>
      </c>
      <c r="D43" s="193" t="s">
        <v>3188</v>
      </c>
    </row>
    <row r="44">
      <c r="A44" s="359">
        <v>46045.82830641203</v>
      </c>
      <c r="C44" s="193" t="s">
        <v>3119</v>
      </c>
      <c r="D44" s="193" t="s">
        <v>3188</v>
      </c>
    </row>
    <row r="45">
      <c r="A45" s="359">
        <v>46045.83357643519</v>
      </c>
      <c r="C45" s="193" t="s">
        <v>3119</v>
      </c>
      <c r="D45" s="193" t="s">
        <v>3188</v>
      </c>
    </row>
    <row r="46">
      <c r="A46" s="359">
        <v>46045.83576002315</v>
      </c>
      <c r="C46" s="193" t="s">
        <v>3119</v>
      </c>
      <c r="D46" s="193" t="s">
        <v>3188</v>
      </c>
    </row>
    <row r="47">
      <c r="A47" s="359">
        <v>46045.83588443287</v>
      </c>
      <c r="C47" s="193" t="s">
        <v>3119</v>
      </c>
      <c r="D47" s="193" t="s">
        <v>3188</v>
      </c>
    </row>
    <row r="48">
      <c r="A48" s="359">
        <v>46045.83705462963</v>
      </c>
      <c r="C48" s="193" t="s">
        <v>3119</v>
      </c>
      <c r="D48" s="193" t="s">
        <v>3188</v>
      </c>
    </row>
    <row r="49">
      <c r="A49" s="359">
        <v>46045.87014753472</v>
      </c>
      <c r="C49" s="193" t="s">
        <v>3119</v>
      </c>
      <c r="D49" s="193" t="s">
        <v>3200</v>
      </c>
    </row>
    <row r="50">
      <c r="A50" s="359">
        <v>46049.8852688426</v>
      </c>
      <c r="C50" s="193" t="s">
        <v>3119</v>
      </c>
      <c r="D50" s="193" t="s">
        <v>3202</v>
      </c>
    </row>
    <row r="51">
      <c r="A51" s="359">
        <v>46049.88793681713</v>
      </c>
      <c r="C51" s="193" t="s">
        <v>3119</v>
      </c>
      <c r="D51" s="193" t="s">
        <v>3202</v>
      </c>
    </row>
    <row r="52">
      <c r="A52" s="359">
        <v>46049.89006978009</v>
      </c>
      <c r="C52" s="193" t="s">
        <v>3119</v>
      </c>
      <c r="D52" s="193" t="s">
        <v>3202</v>
      </c>
    </row>
    <row r="53">
      <c r="A53" s="359">
        <v>46049.93114436342</v>
      </c>
      <c r="C53" s="193" t="s">
        <v>3119</v>
      </c>
      <c r="D53" s="193" t="s">
        <v>3207</v>
      </c>
    </row>
    <row r="54">
      <c r="A54" s="359">
        <v>46052.84502069444</v>
      </c>
      <c r="B54" s="193" t="s">
        <v>3097</v>
      </c>
      <c r="C54" s="193" t="s">
        <v>3119</v>
      </c>
      <c r="D54" s="193" t="s">
        <v>3213</v>
      </c>
    </row>
    <row r="55">
      <c r="A55" s="359">
        <v>46052.84518454861</v>
      </c>
      <c r="B55" s="193" t="s">
        <v>3097</v>
      </c>
      <c r="C55" s="193" t="s">
        <v>3119</v>
      </c>
      <c r="D55" s="193" t="s">
        <v>3213</v>
      </c>
    </row>
    <row r="56">
      <c r="A56" s="359">
        <v>46052.84537732639</v>
      </c>
      <c r="B56" s="193" t="s">
        <v>3097</v>
      </c>
      <c r="C56" s="193" t="s">
        <v>3119</v>
      </c>
      <c r="D56" s="193" t="s">
        <v>3213</v>
      </c>
    </row>
    <row r="57">
      <c r="A57" s="359">
        <v>46052.865176736115</v>
      </c>
      <c r="B57" s="193" t="s">
        <v>3097</v>
      </c>
      <c r="C57" s="193" t="s">
        <v>3119</v>
      </c>
      <c r="D57" s="193" t="s">
        <v>3213</v>
      </c>
    </row>
    <row r="58">
      <c r="A58" s="359">
        <v>46052.87950277778</v>
      </c>
      <c r="C58" s="193" t="s">
        <v>3091</v>
      </c>
      <c r="D58" s="193" t="s">
        <v>3221</v>
      </c>
    </row>
    <row r="59">
      <c r="A59" s="359">
        <v>46052.9385415625</v>
      </c>
      <c r="C59" s="193" t="s">
        <v>3119</v>
      </c>
      <c r="D59" s="193" t="s">
        <v>3142</v>
      </c>
    </row>
    <row r="60">
      <c r="A60" s="359">
        <v>46052.96901503472</v>
      </c>
      <c r="C60" s="193" t="s">
        <v>3119</v>
      </c>
      <c r="D60" s="193" t="s">
        <v>3200</v>
      </c>
    </row>
    <row r="61">
      <c r="A61" s="359">
        <v>46056.798172511575</v>
      </c>
      <c r="C61" s="193" t="s">
        <v>3119</v>
      </c>
      <c r="D61" s="193" t="s">
        <v>3222</v>
      </c>
    </row>
    <row r="62">
      <c r="A62" s="359">
        <v>46057.87995836805</v>
      </c>
      <c r="C62" s="193" t="s">
        <v>3119</v>
      </c>
      <c r="D62" s="193" t="s">
        <v>3223</v>
      </c>
    </row>
    <row r="63">
      <c r="A63" s="359">
        <v>46057.88906408565</v>
      </c>
      <c r="B63" s="193" t="s">
        <v>3097</v>
      </c>
      <c r="C63" s="193" t="s">
        <v>3091</v>
      </c>
      <c r="D63" s="193" t="s">
        <v>3227</v>
      </c>
    </row>
    <row r="64">
      <c r="A64" s="359">
        <v>46057.91521021991</v>
      </c>
      <c r="C64" s="193" t="s">
        <v>3091</v>
      </c>
      <c r="D64" s="193" t="s">
        <v>3233</v>
      </c>
    </row>
    <row r="65">
      <c r="A65" s="359">
        <v>46057.91610798611</v>
      </c>
      <c r="C65" s="193" t="s">
        <v>3091</v>
      </c>
      <c r="D65" s="193" t="s">
        <v>3237</v>
      </c>
    </row>
    <row r="66">
      <c r="A66" s="359">
        <v>46057.916192060184</v>
      </c>
      <c r="C66" s="193" t="s">
        <v>3091</v>
      </c>
      <c r="D66" s="193" t="s">
        <v>3238</v>
      </c>
    </row>
    <row r="67">
      <c r="A67" s="359">
        <v>46057.91636894676</v>
      </c>
      <c r="C67" s="193" t="s">
        <v>3091</v>
      </c>
      <c r="D67" s="193" t="s">
        <v>3240</v>
      </c>
    </row>
    <row r="68">
      <c r="A68" s="359">
        <v>46057.91640501157</v>
      </c>
      <c r="C68" s="193" t="s">
        <v>3091</v>
      </c>
      <c r="D68" s="193" t="s">
        <v>3242</v>
      </c>
    </row>
    <row r="69">
      <c r="A69" s="359">
        <v>46057.916619490745</v>
      </c>
      <c r="C69" s="193" t="s">
        <v>3091</v>
      </c>
      <c r="D69" s="193" t="s">
        <v>3246</v>
      </c>
    </row>
    <row r="70">
      <c r="A70" s="359">
        <v>46057.9168796875</v>
      </c>
      <c r="C70" s="193" t="s">
        <v>3091</v>
      </c>
      <c r="D70" s="193" t="s">
        <v>3247</v>
      </c>
    </row>
    <row r="71">
      <c r="A71" s="359">
        <v>46057.91691478009</v>
      </c>
      <c r="C71" s="193" t="s">
        <v>3091</v>
      </c>
      <c r="D71" s="193" t="s">
        <v>3248</v>
      </c>
    </row>
    <row r="72">
      <c r="A72" s="359">
        <v>46057.91717667824</v>
      </c>
      <c r="C72" s="193" t="s">
        <v>3091</v>
      </c>
      <c r="D72" s="193" t="s">
        <v>3249</v>
      </c>
    </row>
    <row r="73">
      <c r="A73" s="359">
        <v>46057.917762060184</v>
      </c>
      <c r="C73" s="193" t="s">
        <v>3091</v>
      </c>
      <c r="D73" s="193" t="s">
        <v>3250</v>
      </c>
    </row>
    <row r="74">
      <c r="A74" s="359">
        <v>46057.91788202546</v>
      </c>
      <c r="C74" s="193" t="s">
        <v>3091</v>
      </c>
      <c r="D74" s="193" t="s">
        <v>3252</v>
      </c>
    </row>
    <row r="75">
      <c r="A75" s="359">
        <v>46057.9183275463</v>
      </c>
      <c r="C75" s="193" t="s">
        <v>3119</v>
      </c>
      <c r="D75" s="193" t="s">
        <v>3253</v>
      </c>
    </row>
    <row r="76">
      <c r="A76" s="359">
        <v>46057.9185190625</v>
      </c>
      <c r="C76" s="193" t="s">
        <v>3119</v>
      </c>
      <c r="D76" s="193" t="s">
        <v>3253</v>
      </c>
    </row>
    <row r="77">
      <c r="A77" s="359">
        <v>46057.918623749996</v>
      </c>
      <c r="C77" s="193" t="s">
        <v>3091</v>
      </c>
      <c r="D77" s="193" t="s">
        <v>3254</v>
      </c>
    </row>
    <row r="78">
      <c r="A78" s="359">
        <v>46057.91883516204</v>
      </c>
      <c r="C78" s="193" t="s">
        <v>3091</v>
      </c>
      <c r="D78" s="193" t="s">
        <v>3257</v>
      </c>
    </row>
    <row r="79">
      <c r="A79" s="359">
        <v>46057.9189678588</v>
      </c>
      <c r="C79" s="193" t="s">
        <v>3091</v>
      </c>
      <c r="D79" s="193" t="s">
        <v>3260</v>
      </c>
    </row>
    <row r="80">
      <c r="A80" s="359">
        <v>46057.919673136574</v>
      </c>
      <c r="C80" s="193" t="s">
        <v>3091</v>
      </c>
      <c r="D80" s="193" t="s">
        <v>3262</v>
      </c>
    </row>
    <row r="81">
      <c r="A81" s="359">
        <v>46057.92121151621</v>
      </c>
      <c r="C81" s="193" t="s">
        <v>3091</v>
      </c>
      <c r="D81" s="193" t="s">
        <v>3263</v>
      </c>
    </row>
    <row r="82">
      <c r="A82" s="359">
        <v>46057.921270949075</v>
      </c>
      <c r="C82" s="193" t="s">
        <v>3091</v>
      </c>
      <c r="D82" s="193" t="s">
        <v>3264</v>
      </c>
    </row>
    <row r="83">
      <c r="A83" s="359">
        <v>46057.92137952546</v>
      </c>
      <c r="C83" s="193" t="s">
        <v>3091</v>
      </c>
      <c r="D83" s="193" t="s">
        <v>3266</v>
      </c>
    </row>
    <row r="84">
      <c r="A84" s="359">
        <v>46057.92149969908</v>
      </c>
      <c r="C84" s="193" t="s">
        <v>3091</v>
      </c>
      <c r="D84" s="193" t="s">
        <v>3269</v>
      </c>
    </row>
    <row r="85">
      <c r="A85" s="359">
        <v>46057.92223763889</v>
      </c>
      <c r="C85" s="193" t="s">
        <v>3091</v>
      </c>
      <c r="D85" s="193" t="s">
        <v>3273</v>
      </c>
    </row>
    <row r="86">
      <c r="A86" s="359">
        <v>46057.922396932874</v>
      </c>
      <c r="C86" s="193" t="s">
        <v>3091</v>
      </c>
      <c r="D86" s="193" t="s">
        <v>3274</v>
      </c>
    </row>
    <row r="87">
      <c r="A87" s="359">
        <v>46057.92248226852</v>
      </c>
      <c r="C87" s="193" t="s">
        <v>3091</v>
      </c>
      <c r="D87" s="193" t="s">
        <v>3278</v>
      </c>
    </row>
    <row r="88">
      <c r="A88" s="359">
        <v>46057.92262347222</v>
      </c>
      <c r="C88" s="193" t="s">
        <v>3091</v>
      </c>
      <c r="D88" s="193" t="s">
        <v>3279</v>
      </c>
    </row>
    <row r="89">
      <c r="A89" s="359">
        <v>46057.922720497685</v>
      </c>
      <c r="C89" s="193" t="s">
        <v>3091</v>
      </c>
      <c r="D89" s="193" t="s">
        <v>3289</v>
      </c>
    </row>
    <row r="90">
      <c r="A90" s="359">
        <v>46057.923344166666</v>
      </c>
      <c r="C90" s="193" t="s">
        <v>3091</v>
      </c>
      <c r="D90" s="193" t="s">
        <v>3290</v>
      </c>
    </row>
    <row r="91">
      <c r="A91" s="359">
        <v>46057.92343769676</v>
      </c>
      <c r="C91" s="193" t="s">
        <v>3091</v>
      </c>
      <c r="D91" s="193" t="s">
        <v>3291</v>
      </c>
    </row>
    <row r="92">
      <c r="A92" s="359">
        <v>46057.92364420139</v>
      </c>
      <c r="C92" s="193" t="s">
        <v>3091</v>
      </c>
      <c r="D92" s="193" t="s">
        <v>3292</v>
      </c>
    </row>
    <row r="93">
      <c r="A93" s="359">
        <v>46057.923767326385</v>
      </c>
      <c r="C93" s="193" t="s">
        <v>3091</v>
      </c>
      <c r="D93" s="193" t="s">
        <v>3294</v>
      </c>
    </row>
    <row r="94">
      <c r="A94" s="359">
        <v>46057.92386256944</v>
      </c>
      <c r="C94" s="193" t="s">
        <v>3091</v>
      </c>
      <c r="D94" s="193" t="s">
        <v>3318</v>
      </c>
    </row>
    <row r="95">
      <c r="A95" s="359">
        <v>46057.924118344905</v>
      </c>
      <c r="C95" s="193" t="s">
        <v>3091</v>
      </c>
      <c r="D95" s="193" t="s">
        <v>3325</v>
      </c>
    </row>
    <row r="96">
      <c r="A96" s="359">
        <v>46057.92420347223</v>
      </c>
      <c r="C96" s="193" t="s">
        <v>3091</v>
      </c>
      <c r="D96" s="193" t="s">
        <v>3326</v>
      </c>
    </row>
    <row r="97">
      <c r="A97" s="359">
        <v>46057.924457824076</v>
      </c>
      <c r="C97" s="193" t="s">
        <v>3091</v>
      </c>
      <c r="D97" s="193" t="s">
        <v>3327</v>
      </c>
    </row>
    <row r="98">
      <c r="A98" s="359">
        <v>46057.92450613426</v>
      </c>
      <c r="C98" s="193" t="s">
        <v>3091</v>
      </c>
      <c r="D98" s="193" t="s">
        <v>3329</v>
      </c>
    </row>
    <row r="99">
      <c r="A99" s="359">
        <v>46057.92455319445</v>
      </c>
      <c r="C99" s="193" t="s">
        <v>3091</v>
      </c>
      <c r="D99" s="193" t="s">
        <v>3330</v>
      </c>
    </row>
    <row r="100">
      <c r="A100" s="359">
        <v>46057.92505837963</v>
      </c>
      <c r="C100" s="193" t="s">
        <v>3091</v>
      </c>
      <c r="D100" s="193" t="s">
        <v>3334</v>
      </c>
    </row>
    <row r="101">
      <c r="A101" s="359">
        <v>46057.92529798611</v>
      </c>
      <c r="C101" s="193" t="s">
        <v>3091</v>
      </c>
      <c r="D101" s="193" t="s">
        <v>3338</v>
      </c>
    </row>
    <row r="102">
      <c r="A102" s="359">
        <v>46057.925464768516</v>
      </c>
      <c r="C102" s="193" t="s">
        <v>3091</v>
      </c>
      <c r="D102" s="193" t="s">
        <v>3340</v>
      </c>
    </row>
    <row r="103">
      <c r="A103" s="359">
        <v>46057.92599042824</v>
      </c>
      <c r="C103" s="193" t="s">
        <v>3091</v>
      </c>
      <c r="D103" s="193" t="s">
        <v>3341</v>
      </c>
    </row>
    <row r="104">
      <c r="A104" s="359">
        <v>46057.926033599535</v>
      </c>
      <c r="C104" s="193" t="s">
        <v>3091</v>
      </c>
      <c r="D104" s="193" t="s">
        <v>3342</v>
      </c>
    </row>
    <row r="105">
      <c r="A105" s="359">
        <v>46057.92643375</v>
      </c>
      <c r="C105" s="193" t="s">
        <v>3091</v>
      </c>
      <c r="D105" s="193" t="s">
        <v>3343</v>
      </c>
    </row>
    <row r="106">
      <c r="A106" s="359">
        <v>46057.92669766204</v>
      </c>
      <c r="C106" s="193" t="s">
        <v>3091</v>
      </c>
      <c r="D106" s="193" t="s">
        <v>3344</v>
      </c>
    </row>
    <row r="107">
      <c r="A107" s="359">
        <v>46057.92685888889</v>
      </c>
      <c r="C107" s="193" t="s">
        <v>3091</v>
      </c>
      <c r="D107" s="193" t="s">
        <v>3345</v>
      </c>
    </row>
    <row r="108">
      <c r="A108" s="359">
        <v>46057.92712974537</v>
      </c>
      <c r="C108" s="193" t="s">
        <v>3091</v>
      </c>
      <c r="D108" s="193" t="s">
        <v>3346</v>
      </c>
    </row>
    <row r="109">
      <c r="A109" s="359">
        <v>46057.92733421296</v>
      </c>
      <c r="C109" s="193" t="s">
        <v>3091</v>
      </c>
      <c r="D109" s="193" t="s">
        <v>3351</v>
      </c>
    </row>
    <row r="110">
      <c r="A110" s="359">
        <v>46057.927426932874</v>
      </c>
      <c r="C110" s="193" t="s">
        <v>3091</v>
      </c>
      <c r="D110" s="193" t="s">
        <v>3358</v>
      </c>
    </row>
    <row r="111">
      <c r="A111" s="359">
        <v>46057.92758320602</v>
      </c>
      <c r="C111" s="193" t="s">
        <v>3091</v>
      </c>
      <c r="D111" s="193" t="s">
        <v>3363</v>
      </c>
    </row>
    <row r="112">
      <c r="A112" s="359">
        <v>46057.927991261575</v>
      </c>
      <c r="C112" s="193" t="s">
        <v>3091</v>
      </c>
      <c r="D112" s="193" t="s">
        <v>3364</v>
      </c>
    </row>
    <row r="113">
      <c r="A113" s="359">
        <v>46057.92865082176</v>
      </c>
      <c r="C113" s="193" t="s">
        <v>3091</v>
      </c>
      <c r="D113" s="193" t="s">
        <v>3365</v>
      </c>
    </row>
    <row r="114">
      <c r="A114" s="359">
        <v>46057.92888929398</v>
      </c>
      <c r="C114" s="193" t="s">
        <v>3091</v>
      </c>
      <c r="D114" s="193" t="s">
        <v>3370</v>
      </c>
    </row>
    <row r="115">
      <c r="A115" s="359">
        <v>46057.928943969906</v>
      </c>
      <c r="C115" s="193" t="s">
        <v>3091</v>
      </c>
      <c r="D115" s="193" t="s">
        <v>3376</v>
      </c>
    </row>
    <row r="116">
      <c r="A116" s="359">
        <v>46057.92948070602</v>
      </c>
      <c r="C116" s="193" t="s">
        <v>3091</v>
      </c>
      <c r="D116" s="193" t="s">
        <v>3377</v>
      </c>
    </row>
    <row r="117">
      <c r="A117" s="359">
        <v>46057.92975269676</v>
      </c>
      <c r="C117" s="193" t="s">
        <v>3091</v>
      </c>
      <c r="D117" s="193" t="s">
        <v>3380</v>
      </c>
    </row>
    <row r="118">
      <c r="A118" s="359">
        <v>46057.92996765046</v>
      </c>
      <c r="C118" s="193" t="s">
        <v>3091</v>
      </c>
      <c r="D118" s="193" t="s">
        <v>3385</v>
      </c>
    </row>
    <row r="119">
      <c r="A119" s="359">
        <v>46057.930229791666</v>
      </c>
      <c r="C119" s="193" t="s">
        <v>3091</v>
      </c>
      <c r="D119" s="193" t="s">
        <v>3389</v>
      </c>
    </row>
    <row r="120">
      <c r="A120" s="359">
        <v>46057.93091967593</v>
      </c>
      <c r="C120" s="193" t="s">
        <v>3091</v>
      </c>
      <c r="D120" s="193" t="s">
        <v>3391</v>
      </c>
    </row>
    <row r="121">
      <c r="A121" s="359">
        <v>46057.9309769213</v>
      </c>
      <c r="C121" s="193" t="s">
        <v>3091</v>
      </c>
      <c r="D121" s="193" t="s">
        <v>3394</v>
      </c>
    </row>
    <row r="122">
      <c r="A122" s="359">
        <v>46057.93119841436</v>
      </c>
      <c r="C122" s="193" t="s">
        <v>3091</v>
      </c>
      <c r="D122" s="193" t="s">
        <v>3395</v>
      </c>
    </row>
    <row r="123">
      <c r="A123" s="359">
        <v>46057.93146789352</v>
      </c>
      <c r="C123" s="193" t="s">
        <v>3091</v>
      </c>
      <c r="D123" s="193" t="s">
        <v>3396</v>
      </c>
    </row>
    <row r="124">
      <c r="A124" s="359">
        <v>46057.93178966435</v>
      </c>
      <c r="C124" s="193" t="s">
        <v>3091</v>
      </c>
      <c r="D124" s="193" t="s">
        <v>3398</v>
      </c>
    </row>
    <row r="125">
      <c r="A125" s="359">
        <v>46057.932155243056</v>
      </c>
      <c r="C125" s="193" t="s">
        <v>3091</v>
      </c>
      <c r="D125" s="193" t="s">
        <v>3399</v>
      </c>
    </row>
    <row r="126">
      <c r="A126" s="359">
        <v>46057.93276752315</v>
      </c>
      <c r="C126" s="193" t="s">
        <v>3091</v>
      </c>
      <c r="D126" s="193" t="s">
        <v>3400</v>
      </c>
    </row>
    <row r="127">
      <c r="A127" s="359">
        <v>46057.93309980324</v>
      </c>
      <c r="C127" s="193" t="s">
        <v>3091</v>
      </c>
      <c r="D127" s="193" t="s">
        <v>3402</v>
      </c>
    </row>
    <row r="128">
      <c r="A128" s="359">
        <v>46057.933163124995</v>
      </c>
      <c r="B128" s="193" t="s">
        <v>3097</v>
      </c>
      <c r="C128" s="193" t="s">
        <v>3119</v>
      </c>
      <c r="D128" s="193" t="s">
        <v>3403</v>
      </c>
    </row>
    <row r="129">
      <c r="A129" s="359">
        <v>46057.93400303241</v>
      </c>
      <c r="C129" s="193" t="s">
        <v>3091</v>
      </c>
      <c r="D129" s="193" t="s">
        <v>3405</v>
      </c>
    </row>
    <row r="130">
      <c r="A130" s="359">
        <v>46057.93515081018</v>
      </c>
      <c r="B130" s="193" t="s">
        <v>3097</v>
      </c>
      <c r="C130" s="193" t="s">
        <v>3091</v>
      </c>
      <c r="D130" s="193" t="s">
        <v>3411</v>
      </c>
    </row>
    <row r="131">
      <c r="A131" s="359">
        <v>46057.935332719906</v>
      </c>
      <c r="C131" s="193" t="s">
        <v>3091</v>
      </c>
      <c r="D131" s="193" t="s">
        <v>3416</v>
      </c>
    </row>
    <row r="132">
      <c r="A132" s="359">
        <v>46057.93698413194</v>
      </c>
      <c r="B132" s="193" t="s">
        <v>3097</v>
      </c>
      <c r="C132" s="193" t="s">
        <v>3418</v>
      </c>
      <c r="D132" s="193" t="s">
        <v>3419</v>
      </c>
    </row>
    <row r="133">
      <c r="A133" s="359">
        <v>46057.93711601852</v>
      </c>
      <c r="B133" s="193" t="s">
        <v>3097</v>
      </c>
      <c r="C133" s="193" t="s">
        <v>3418</v>
      </c>
      <c r="D133" s="193" t="s">
        <v>3423</v>
      </c>
    </row>
    <row r="134">
      <c r="A134" s="359">
        <v>46057.93726372685</v>
      </c>
      <c r="B134" s="193" t="s">
        <v>3097</v>
      </c>
      <c r="C134" s="193" t="s">
        <v>3418</v>
      </c>
      <c r="D134" s="193" t="s">
        <v>3425</v>
      </c>
    </row>
    <row r="135">
      <c r="A135" s="359">
        <v>46057.93954583333</v>
      </c>
      <c r="B135" s="193" t="s">
        <v>3097</v>
      </c>
      <c r="C135" s="193" t="s">
        <v>3418</v>
      </c>
      <c r="D135" s="193" t="s">
        <v>3426</v>
      </c>
    </row>
    <row r="136">
      <c r="A136" s="359">
        <v>46057.94008185185</v>
      </c>
      <c r="B136" s="193" t="s">
        <v>3097</v>
      </c>
      <c r="C136" s="193" t="s">
        <v>3418</v>
      </c>
      <c r="D136" s="193" t="s">
        <v>3426</v>
      </c>
    </row>
    <row r="137">
      <c r="A137" s="359">
        <v>46057.94737026621</v>
      </c>
      <c r="B137" s="193" t="s">
        <v>3097</v>
      </c>
      <c r="C137" s="193" t="s">
        <v>3418</v>
      </c>
      <c r="D137" s="193" t="s">
        <v>3427</v>
      </c>
    </row>
    <row r="138">
      <c r="A138" s="359">
        <v>46057.97416021991</v>
      </c>
      <c r="C138" s="193" t="s">
        <v>3119</v>
      </c>
      <c r="D138" s="193" t="s">
        <v>3428</v>
      </c>
    </row>
    <row r="139">
      <c r="A139" s="359">
        <v>46058.668671666666</v>
      </c>
      <c r="B139" s="193" t="s">
        <v>3097</v>
      </c>
      <c r="C139" s="193" t="s">
        <v>3119</v>
      </c>
      <c r="D139" s="193" t="s">
        <v>3433</v>
      </c>
    </row>
    <row r="140">
      <c r="A140" s="359">
        <v>46058.669648553245</v>
      </c>
      <c r="B140" s="193" t="s">
        <v>3097</v>
      </c>
      <c r="C140" s="193" t="s">
        <v>3119</v>
      </c>
      <c r="D140" s="193" t="s">
        <v>3438</v>
      </c>
    </row>
    <row r="141">
      <c r="A141" s="359">
        <v>46058.67001402778</v>
      </c>
      <c r="B141" s="193" t="s">
        <v>3097</v>
      </c>
      <c r="C141" s="193" t="s">
        <v>3119</v>
      </c>
      <c r="D141" s="193" t="s">
        <v>3440</v>
      </c>
    </row>
    <row r="142">
      <c r="A142" s="359">
        <v>46058.67006453704</v>
      </c>
      <c r="B142" s="193" t="s">
        <v>3097</v>
      </c>
      <c r="C142" s="193" t="s">
        <v>3119</v>
      </c>
      <c r="D142" s="193" t="s">
        <v>3443</v>
      </c>
    </row>
    <row r="143">
      <c r="A143" s="359">
        <v>46058.670089583335</v>
      </c>
      <c r="B143" s="193" t="s">
        <v>3097</v>
      </c>
      <c r="C143" s="193" t="s">
        <v>3119</v>
      </c>
      <c r="D143" s="193" t="s">
        <v>3446</v>
      </c>
    </row>
    <row r="144">
      <c r="A144" s="359">
        <v>46058.67013010416</v>
      </c>
      <c r="B144" s="193" t="s">
        <v>3097</v>
      </c>
      <c r="C144" s="193" t="s">
        <v>3119</v>
      </c>
      <c r="D144" s="193" t="s">
        <v>3447</v>
      </c>
    </row>
    <row r="145">
      <c r="A145" s="359">
        <v>46058.67016403935</v>
      </c>
      <c r="B145" s="193" t="s">
        <v>3097</v>
      </c>
      <c r="C145" s="193" t="s">
        <v>3119</v>
      </c>
      <c r="D145" s="193" t="s">
        <v>3448</v>
      </c>
    </row>
    <row r="146">
      <c r="A146" s="359">
        <v>46058.67020636574</v>
      </c>
      <c r="B146" s="193" t="s">
        <v>3097</v>
      </c>
      <c r="C146" s="193" t="s">
        <v>3119</v>
      </c>
      <c r="D146" s="193" t="s">
        <v>3452</v>
      </c>
    </row>
    <row r="147">
      <c r="A147" s="359">
        <v>46058.67024057871</v>
      </c>
      <c r="B147" s="193" t="s">
        <v>3097</v>
      </c>
      <c r="C147" s="193" t="s">
        <v>3119</v>
      </c>
      <c r="D147" s="193" t="s">
        <v>3453</v>
      </c>
    </row>
    <row r="148">
      <c r="A148" s="359">
        <v>46058.67026239583</v>
      </c>
      <c r="B148" s="193" t="s">
        <v>3097</v>
      </c>
      <c r="C148" s="193" t="s">
        <v>3119</v>
      </c>
      <c r="D148" s="193" t="s">
        <v>3457</v>
      </c>
    </row>
    <row r="149">
      <c r="A149" s="359">
        <v>46058.67028673612</v>
      </c>
      <c r="B149" s="193" t="s">
        <v>3097</v>
      </c>
      <c r="C149" s="193" t="s">
        <v>3119</v>
      </c>
      <c r="D149" s="193" t="s">
        <v>3461</v>
      </c>
    </row>
    <row r="150">
      <c r="A150" s="359">
        <v>46058.670347604166</v>
      </c>
      <c r="B150" s="193" t="s">
        <v>3097</v>
      </c>
      <c r="C150" s="193" t="s">
        <v>3119</v>
      </c>
      <c r="D150" s="193" t="s">
        <v>3463</v>
      </c>
    </row>
    <row r="151">
      <c r="A151" s="359">
        <v>46058.67040944444</v>
      </c>
      <c r="B151" s="193" t="s">
        <v>3097</v>
      </c>
      <c r="C151" s="193" t="s">
        <v>3119</v>
      </c>
      <c r="D151" s="193" t="s">
        <v>3467</v>
      </c>
    </row>
    <row r="152">
      <c r="A152" s="359">
        <v>46058.670439062495</v>
      </c>
      <c r="B152" s="193" t="s">
        <v>3097</v>
      </c>
      <c r="C152" s="193" t="s">
        <v>3119</v>
      </c>
      <c r="D152" s="193" t="s">
        <v>3474</v>
      </c>
    </row>
    <row r="153">
      <c r="A153" s="359">
        <v>46058.670484456015</v>
      </c>
      <c r="B153" s="193" t="s">
        <v>3097</v>
      </c>
      <c r="C153" s="193" t="s">
        <v>3119</v>
      </c>
      <c r="D153" s="193" t="s">
        <v>3476</v>
      </c>
    </row>
    <row r="154">
      <c r="A154" s="359">
        <v>46058.67050688657</v>
      </c>
      <c r="B154" s="193" t="s">
        <v>3097</v>
      </c>
      <c r="C154" s="193" t="s">
        <v>3119</v>
      </c>
      <c r="D154" s="193" t="s">
        <v>3477</v>
      </c>
    </row>
    <row r="155">
      <c r="A155" s="359">
        <v>46058.670571967596</v>
      </c>
      <c r="B155" s="193" t="s">
        <v>3097</v>
      </c>
      <c r="C155" s="193" t="s">
        <v>3119</v>
      </c>
      <c r="D155" s="193" t="s">
        <v>3478</v>
      </c>
    </row>
    <row r="156">
      <c r="A156" s="359">
        <v>46058.67059724537</v>
      </c>
      <c r="B156" s="193" t="s">
        <v>3097</v>
      </c>
      <c r="C156" s="193" t="s">
        <v>3119</v>
      </c>
      <c r="D156" s="193" t="s">
        <v>3481</v>
      </c>
    </row>
    <row r="157">
      <c r="A157" s="359">
        <v>46058.67064923611</v>
      </c>
      <c r="B157" s="193" t="s">
        <v>3097</v>
      </c>
      <c r="C157" s="193" t="s">
        <v>3119</v>
      </c>
      <c r="D157" s="193" t="s">
        <v>3482</v>
      </c>
    </row>
    <row r="158">
      <c r="A158" s="359">
        <v>46058.670685219906</v>
      </c>
      <c r="B158" s="193" t="s">
        <v>3097</v>
      </c>
      <c r="C158" s="193" t="s">
        <v>3119</v>
      </c>
      <c r="D158" s="193" t="s">
        <v>3483</v>
      </c>
    </row>
    <row r="159">
      <c r="A159" s="359">
        <v>46058.670710543985</v>
      </c>
      <c r="B159" s="193" t="s">
        <v>3097</v>
      </c>
      <c r="C159" s="193" t="s">
        <v>3119</v>
      </c>
      <c r="D159" s="193" t="s">
        <v>3485</v>
      </c>
    </row>
    <row r="160">
      <c r="A160" s="359">
        <v>46058.67076731482</v>
      </c>
      <c r="B160" s="193" t="s">
        <v>3097</v>
      </c>
      <c r="C160" s="193" t="s">
        <v>3119</v>
      </c>
      <c r="D160" s="193" t="s">
        <v>3488</v>
      </c>
    </row>
    <row r="161">
      <c r="A161" s="359">
        <v>46058.67081980324</v>
      </c>
      <c r="B161" s="193" t="s">
        <v>3097</v>
      </c>
      <c r="C161" s="193" t="s">
        <v>3119</v>
      </c>
      <c r="D161" s="193" t="s">
        <v>3490</v>
      </c>
    </row>
    <row r="162">
      <c r="A162" s="359">
        <v>46058.67083673611</v>
      </c>
      <c r="B162" s="193" t="s">
        <v>3097</v>
      </c>
      <c r="C162" s="193" t="s">
        <v>3119</v>
      </c>
      <c r="D162" s="193" t="s">
        <v>3493</v>
      </c>
    </row>
    <row r="163">
      <c r="A163" s="359">
        <v>46058.67085693287</v>
      </c>
      <c r="B163" s="193" t="s">
        <v>3097</v>
      </c>
      <c r="C163" s="193" t="s">
        <v>3119</v>
      </c>
      <c r="D163" s="193" t="s">
        <v>3495</v>
      </c>
    </row>
    <row r="164">
      <c r="A164" s="359">
        <v>46058.670915462964</v>
      </c>
      <c r="B164" s="193" t="s">
        <v>3097</v>
      </c>
      <c r="C164" s="193" t="s">
        <v>3119</v>
      </c>
      <c r="D164" s="193" t="s">
        <v>3497</v>
      </c>
    </row>
    <row r="165">
      <c r="A165" s="359">
        <v>46058.67093988426</v>
      </c>
      <c r="B165" s="193" t="s">
        <v>3097</v>
      </c>
      <c r="C165" s="193" t="s">
        <v>3119</v>
      </c>
      <c r="D165" s="193" t="s">
        <v>3503</v>
      </c>
    </row>
    <row r="166">
      <c r="A166" s="359">
        <v>46058.67110533565</v>
      </c>
      <c r="B166" s="193" t="s">
        <v>3097</v>
      </c>
      <c r="C166" s="193" t="s">
        <v>3119</v>
      </c>
      <c r="D166" s="193" t="s">
        <v>3506</v>
      </c>
    </row>
    <row r="167">
      <c r="A167" s="359">
        <v>46058.67116912037</v>
      </c>
      <c r="B167" s="193" t="s">
        <v>3097</v>
      </c>
      <c r="C167" s="193" t="s">
        <v>3119</v>
      </c>
      <c r="D167" s="193" t="s">
        <v>3507</v>
      </c>
    </row>
    <row r="168">
      <c r="A168" s="359">
        <v>46058.671271053245</v>
      </c>
      <c r="B168" s="193" t="s">
        <v>3097</v>
      </c>
      <c r="C168" s="193" t="s">
        <v>3119</v>
      </c>
      <c r="D168" s="193" t="s">
        <v>3508</v>
      </c>
    </row>
    <row r="169">
      <c r="A169" s="359">
        <v>46058.6712784375</v>
      </c>
      <c r="B169" s="193" t="s">
        <v>3097</v>
      </c>
      <c r="C169" s="193" t="s">
        <v>3119</v>
      </c>
      <c r="D169" s="193" t="s">
        <v>3509</v>
      </c>
    </row>
    <row r="170">
      <c r="A170" s="359">
        <v>46058.67130133102</v>
      </c>
      <c r="B170" s="193" t="s">
        <v>3097</v>
      </c>
      <c r="C170" s="193" t="s">
        <v>3119</v>
      </c>
      <c r="D170" s="193" t="s">
        <v>3510</v>
      </c>
    </row>
    <row r="171">
      <c r="A171" s="359">
        <v>46058.67131788195</v>
      </c>
      <c r="B171" s="193" t="s">
        <v>3097</v>
      </c>
      <c r="C171" s="193" t="s">
        <v>3119</v>
      </c>
      <c r="D171" s="193" t="s">
        <v>3514</v>
      </c>
    </row>
    <row r="172">
      <c r="A172" s="359">
        <v>46058.67133869213</v>
      </c>
      <c r="B172" s="193" t="s">
        <v>3097</v>
      </c>
      <c r="C172" s="193" t="s">
        <v>3119</v>
      </c>
      <c r="D172" s="193" t="s">
        <v>3516</v>
      </c>
    </row>
    <row r="173">
      <c r="A173" s="359">
        <v>46058.67136034722</v>
      </c>
      <c r="B173" s="193" t="s">
        <v>3097</v>
      </c>
      <c r="C173" s="193" t="s">
        <v>3119</v>
      </c>
      <c r="D173" s="193" t="s">
        <v>3518</v>
      </c>
    </row>
    <row r="174">
      <c r="A174" s="359">
        <v>46058.671390358795</v>
      </c>
      <c r="B174" s="193" t="s">
        <v>3097</v>
      </c>
      <c r="C174" s="193" t="s">
        <v>3119</v>
      </c>
      <c r="D174" s="193" t="s">
        <v>3520</v>
      </c>
    </row>
    <row r="175">
      <c r="A175" s="359">
        <v>46058.67142650463</v>
      </c>
      <c r="B175" s="193" t="s">
        <v>3097</v>
      </c>
      <c r="C175" s="193" t="s">
        <v>3119</v>
      </c>
      <c r="D175" s="193" t="s">
        <v>3521</v>
      </c>
    </row>
    <row r="176">
      <c r="A176" s="359">
        <v>46058.671483495375</v>
      </c>
      <c r="B176" s="193" t="s">
        <v>3097</v>
      </c>
      <c r="C176" s="193" t="s">
        <v>3119</v>
      </c>
      <c r="D176" s="193" t="s">
        <v>3524</v>
      </c>
    </row>
    <row r="177">
      <c r="A177" s="359">
        <v>46058.671490520836</v>
      </c>
      <c r="B177" s="193" t="s">
        <v>3097</v>
      </c>
      <c r="C177" s="193" t="s">
        <v>3119</v>
      </c>
      <c r="D177" s="193" t="s">
        <v>3525</v>
      </c>
    </row>
    <row r="178">
      <c r="A178" s="359">
        <v>46058.67149605324</v>
      </c>
      <c r="B178" s="193" t="s">
        <v>3097</v>
      </c>
      <c r="C178" s="193" t="s">
        <v>3119</v>
      </c>
      <c r="D178" s="193" t="s">
        <v>3528</v>
      </c>
    </row>
    <row r="179">
      <c r="A179" s="359">
        <v>46058.67151703704</v>
      </c>
      <c r="B179" s="193" t="s">
        <v>3097</v>
      </c>
      <c r="C179" s="193" t="s">
        <v>3119</v>
      </c>
      <c r="D179" s="193" t="s">
        <v>3529</v>
      </c>
    </row>
    <row r="180">
      <c r="A180" s="359">
        <v>46058.6715752662</v>
      </c>
      <c r="B180" s="193" t="s">
        <v>3097</v>
      </c>
      <c r="C180" s="193" t="s">
        <v>3119</v>
      </c>
      <c r="D180" s="193" t="s">
        <v>3530</v>
      </c>
    </row>
    <row r="181">
      <c r="A181" s="359">
        <v>46058.67289152778</v>
      </c>
      <c r="B181" s="193" t="s">
        <v>3097</v>
      </c>
      <c r="C181" s="193" t="s">
        <v>3119</v>
      </c>
      <c r="D181" s="193" t="s">
        <v>3531</v>
      </c>
    </row>
    <row r="182">
      <c r="A182" s="359">
        <v>46058.67481538195</v>
      </c>
      <c r="B182" s="193" t="s">
        <v>3097</v>
      </c>
      <c r="C182" s="193" t="s">
        <v>3119</v>
      </c>
      <c r="D182" s="193" t="s">
        <v>3533</v>
      </c>
    </row>
    <row r="183">
      <c r="A183" s="359">
        <v>46058.6748784375</v>
      </c>
      <c r="B183" s="193" t="s">
        <v>3097</v>
      </c>
      <c r="C183" s="193" t="s">
        <v>3119</v>
      </c>
      <c r="D183" s="193" t="s">
        <v>3537</v>
      </c>
    </row>
    <row r="184">
      <c r="A184" s="359">
        <v>46058.67696614584</v>
      </c>
      <c r="B184" s="193" t="s">
        <v>3097</v>
      </c>
      <c r="C184" s="193" t="s">
        <v>3119</v>
      </c>
      <c r="D184" s="193" t="s">
        <v>3538</v>
      </c>
    </row>
    <row r="185">
      <c r="A185" s="359">
        <v>46058.67698884259</v>
      </c>
      <c r="B185" s="193" t="s">
        <v>3097</v>
      </c>
      <c r="C185" s="193" t="s">
        <v>3119</v>
      </c>
      <c r="D185" s="193" t="s">
        <v>3539</v>
      </c>
    </row>
    <row r="186">
      <c r="A186" s="359">
        <v>46058.68235023148</v>
      </c>
      <c r="B186" s="193" t="s">
        <v>3097</v>
      </c>
      <c r="C186" s="193" t="s">
        <v>3119</v>
      </c>
      <c r="D186" s="193" t="s">
        <v>3538</v>
      </c>
    </row>
    <row r="187">
      <c r="A187" s="359">
        <v>46058.68241587963</v>
      </c>
      <c r="B187" s="193" t="s">
        <v>3097</v>
      </c>
      <c r="C187" s="193" t="s">
        <v>3119</v>
      </c>
      <c r="D187" s="193" t="s">
        <v>3541</v>
      </c>
    </row>
    <row r="188">
      <c r="A188" s="359">
        <v>46058.68243907407</v>
      </c>
      <c r="B188" s="193" t="s">
        <v>3097</v>
      </c>
      <c r="C188" s="193" t="s">
        <v>3119</v>
      </c>
      <c r="D188" s="193" t="s">
        <v>3544</v>
      </c>
    </row>
    <row r="189">
      <c r="A189" s="359">
        <v>46058.682466886574</v>
      </c>
      <c r="B189" s="193" t="s">
        <v>3097</v>
      </c>
      <c r="C189" s="193" t="s">
        <v>3119</v>
      </c>
      <c r="D189" s="193" t="s">
        <v>3545</v>
      </c>
    </row>
    <row r="190">
      <c r="A190" s="359">
        <v>46058.682541180555</v>
      </c>
      <c r="B190" s="193" t="s">
        <v>3097</v>
      </c>
      <c r="C190" s="193" t="s">
        <v>3119</v>
      </c>
      <c r="D190" s="193" t="s">
        <v>3546</v>
      </c>
    </row>
    <row r="191">
      <c r="A191" s="359">
        <v>46058.68258965277</v>
      </c>
      <c r="B191" s="193" t="s">
        <v>3097</v>
      </c>
      <c r="C191" s="193" t="s">
        <v>3119</v>
      </c>
      <c r="D191" s="193" t="s">
        <v>3550</v>
      </c>
    </row>
    <row r="192">
      <c r="A192" s="359">
        <v>46058.682614143516</v>
      </c>
      <c r="B192" s="193" t="s">
        <v>3097</v>
      </c>
      <c r="C192" s="193" t="s">
        <v>3119</v>
      </c>
      <c r="D192" s="193" t="s">
        <v>3554</v>
      </c>
    </row>
    <row r="193">
      <c r="A193" s="359">
        <v>46058.682646932866</v>
      </c>
      <c r="B193" s="193" t="s">
        <v>3097</v>
      </c>
      <c r="C193" s="193" t="s">
        <v>3119</v>
      </c>
      <c r="D193" s="193" t="s">
        <v>3559</v>
      </c>
    </row>
    <row r="194">
      <c r="A194" s="359">
        <v>46058.68268143518</v>
      </c>
      <c r="B194" s="193" t="s">
        <v>3097</v>
      </c>
      <c r="C194" s="193" t="s">
        <v>3119</v>
      </c>
      <c r="D194" s="193" t="s">
        <v>3563</v>
      </c>
    </row>
    <row r="195">
      <c r="A195" s="359">
        <v>46058.68271918982</v>
      </c>
      <c r="B195" s="193" t="s">
        <v>3097</v>
      </c>
      <c r="C195" s="193" t="s">
        <v>3119</v>
      </c>
      <c r="D195" s="193" t="s">
        <v>3564</v>
      </c>
    </row>
    <row r="196">
      <c r="A196" s="359">
        <v>46058.68274966435</v>
      </c>
      <c r="B196" s="193" t="s">
        <v>3097</v>
      </c>
      <c r="C196" s="193" t="s">
        <v>3119</v>
      </c>
      <c r="D196" s="193" t="s">
        <v>3565</v>
      </c>
    </row>
    <row r="197">
      <c r="A197" s="359">
        <v>46058.682784386576</v>
      </c>
      <c r="B197" s="193" t="s">
        <v>3097</v>
      </c>
      <c r="C197" s="193" t="s">
        <v>3119</v>
      </c>
      <c r="D197" s="193" t="s">
        <v>3567</v>
      </c>
    </row>
    <row r="198">
      <c r="A198" s="359">
        <v>46058.68281061343</v>
      </c>
      <c r="B198" s="193" t="s">
        <v>3097</v>
      </c>
      <c r="C198" s="193" t="s">
        <v>3119</v>
      </c>
      <c r="D198" s="193" t="s">
        <v>3568</v>
      </c>
    </row>
    <row r="199">
      <c r="A199" s="359">
        <v>46058.68283348379</v>
      </c>
      <c r="B199" s="193" t="s">
        <v>3097</v>
      </c>
      <c r="C199" s="193" t="s">
        <v>3119</v>
      </c>
      <c r="D199" s="193" t="s">
        <v>3569</v>
      </c>
    </row>
    <row r="200">
      <c r="A200" s="359">
        <v>46058.68294484954</v>
      </c>
      <c r="B200" s="193" t="s">
        <v>3097</v>
      </c>
      <c r="C200" s="193" t="s">
        <v>3119</v>
      </c>
      <c r="D200" s="193" t="s">
        <v>3571</v>
      </c>
    </row>
    <row r="201">
      <c r="A201" s="359">
        <v>46058.682987824075</v>
      </c>
      <c r="B201" s="193" t="s">
        <v>3097</v>
      </c>
      <c r="C201" s="193" t="s">
        <v>3119</v>
      </c>
      <c r="D201" s="193" t="s">
        <v>3574</v>
      </c>
    </row>
    <row r="202">
      <c r="A202" s="359">
        <v>46058.68300295139</v>
      </c>
      <c r="B202" s="193" t="s">
        <v>3097</v>
      </c>
      <c r="C202" s="193" t="s">
        <v>3119</v>
      </c>
      <c r="D202" s="193" t="s">
        <v>3580</v>
      </c>
    </row>
    <row r="203">
      <c r="A203" s="359">
        <v>46058.6830240625</v>
      </c>
      <c r="B203" s="193" t="s">
        <v>3097</v>
      </c>
      <c r="C203" s="193" t="s">
        <v>3119</v>
      </c>
      <c r="D203" s="193" t="s">
        <v>3585</v>
      </c>
    </row>
    <row r="204">
      <c r="A204" s="359">
        <v>46058.68307321759</v>
      </c>
      <c r="B204" s="193" t="s">
        <v>3097</v>
      </c>
      <c r="C204" s="193" t="s">
        <v>3119</v>
      </c>
      <c r="D204" s="193" t="s">
        <v>3586</v>
      </c>
    </row>
    <row r="205">
      <c r="A205" s="359">
        <v>46058.68310621528</v>
      </c>
      <c r="B205" s="193" t="s">
        <v>3097</v>
      </c>
      <c r="C205" s="193" t="s">
        <v>3119</v>
      </c>
      <c r="D205" s="193" t="s">
        <v>3587</v>
      </c>
    </row>
    <row r="206">
      <c r="A206" s="359">
        <v>46058.68313857639</v>
      </c>
      <c r="B206" s="193" t="s">
        <v>3097</v>
      </c>
      <c r="C206" s="193" t="s">
        <v>3119</v>
      </c>
      <c r="D206" s="193" t="s">
        <v>3589</v>
      </c>
    </row>
    <row r="207">
      <c r="A207" s="359">
        <v>46058.683162870366</v>
      </c>
      <c r="B207" s="193" t="s">
        <v>3097</v>
      </c>
      <c r="C207" s="193" t="s">
        <v>3119</v>
      </c>
      <c r="D207" s="193" t="s">
        <v>3591</v>
      </c>
    </row>
    <row r="208">
      <c r="A208" s="359">
        <v>46058.68319976852</v>
      </c>
      <c r="B208" s="193" t="s">
        <v>3097</v>
      </c>
      <c r="C208" s="193" t="s">
        <v>3119</v>
      </c>
      <c r="D208" s="193" t="s">
        <v>3599</v>
      </c>
    </row>
    <row r="209">
      <c r="A209" s="359">
        <v>46058.68323105324</v>
      </c>
      <c r="B209" s="193" t="s">
        <v>3097</v>
      </c>
      <c r="C209" s="193" t="s">
        <v>3119</v>
      </c>
      <c r="D209" s="193" t="s">
        <v>3600</v>
      </c>
    </row>
    <row r="210">
      <c r="A210" s="359">
        <v>46058.6832362037</v>
      </c>
      <c r="B210" s="193" t="s">
        <v>3097</v>
      </c>
      <c r="C210" s="193" t="s">
        <v>3119</v>
      </c>
      <c r="D210" s="193" t="s">
        <v>3604</v>
      </c>
    </row>
    <row r="211">
      <c r="A211" s="359">
        <v>46058.68332052084</v>
      </c>
      <c r="B211" s="193" t="s">
        <v>3097</v>
      </c>
      <c r="C211" s="193" t="s">
        <v>3119</v>
      </c>
      <c r="D211" s="193" t="s">
        <v>3609</v>
      </c>
    </row>
    <row r="212">
      <c r="A212" s="359">
        <v>46058.68334520834</v>
      </c>
      <c r="B212" s="193" t="s">
        <v>3097</v>
      </c>
      <c r="C212" s="193" t="s">
        <v>3119</v>
      </c>
      <c r="D212" s="193" t="s">
        <v>3610</v>
      </c>
    </row>
    <row r="213">
      <c r="A213" s="359">
        <v>46058.683351678235</v>
      </c>
      <c r="B213" s="193" t="s">
        <v>3097</v>
      </c>
      <c r="C213" s="193" t="s">
        <v>3119</v>
      </c>
      <c r="D213" s="193" t="s">
        <v>3612</v>
      </c>
    </row>
    <row r="214">
      <c r="A214" s="359">
        <v>46058.683373645836</v>
      </c>
      <c r="B214" s="193" t="s">
        <v>3097</v>
      </c>
      <c r="C214" s="193" t="s">
        <v>3119</v>
      </c>
      <c r="D214" s="193" t="s">
        <v>3615</v>
      </c>
    </row>
    <row r="215">
      <c r="A215" s="359">
        <v>46058.683404166666</v>
      </c>
      <c r="B215" s="193" t="s">
        <v>3097</v>
      </c>
      <c r="C215" s="193" t="s">
        <v>3119</v>
      </c>
      <c r="D215" s="193" t="s">
        <v>3619</v>
      </c>
    </row>
    <row r="216">
      <c r="A216" s="359">
        <v>46058.683453101854</v>
      </c>
      <c r="B216" s="193" t="s">
        <v>3097</v>
      </c>
      <c r="C216" s="193" t="s">
        <v>3119</v>
      </c>
      <c r="D216" s="193" t="s">
        <v>3620</v>
      </c>
    </row>
    <row r="217">
      <c r="A217" s="359">
        <v>46058.68351652777</v>
      </c>
      <c r="B217" s="193" t="s">
        <v>3097</v>
      </c>
      <c r="C217" s="193" t="s">
        <v>3119</v>
      </c>
      <c r="D217" s="193" t="s">
        <v>3620</v>
      </c>
    </row>
    <row r="218">
      <c r="A218" s="359">
        <v>46058.683550243055</v>
      </c>
      <c r="B218" s="193" t="s">
        <v>3097</v>
      </c>
      <c r="C218" s="193" t="s">
        <v>3119</v>
      </c>
      <c r="D218" s="193" t="s">
        <v>3621</v>
      </c>
    </row>
    <row r="219">
      <c r="A219" s="359">
        <v>46058.68355983796</v>
      </c>
      <c r="B219" s="193" t="s">
        <v>3097</v>
      </c>
      <c r="C219" s="193" t="s">
        <v>3119</v>
      </c>
      <c r="D219" s="193" t="s">
        <v>3624</v>
      </c>
    </row>
    <row r="220">
      <c r="A220" s="359">
        <v>46058.68359748843</v>
      </c>
      <c r="B220" s="193" t="s">
        <v>3097</v>
      </c>
      <c r="C220" s="193" t="s">
        <v>3119</v>
      </c>
      <c r="D220" s="193" t="s">
        <v>3628</v>
      </c>
    </row>
    <row r="221">
      <c r="A221" s="359">
        <v>46058.68363079861</v>
      </c>
      <c r="B221" s="193" t="s">
        <v>3097</v>
      </c>
      <c r="C221" s="193" t="s">
        <v>3119</v>
      </c>
      <c r="D221" s="193" t="s">
        <v>3632</v>
      </c>
    </row>
    <row r="222">
      <c r="A222" s="359">
        <v>46058.68364862268</v>
      </c>
      <c r="B222" s="193" t="s">
        <v>3097</v>
      </c>
      <c r="C222" s="193" t="s">
        <v>3119</v>
      </c>
      <c r="D222" s="193" t="s">
        <v>3633</v>
      </c>
    </row>
    <row r="223">
      <c r="A223" s="359">
        <v>46058.683658865746</v>
      </c>
      <c r="B223" s="193" t="s">
        <v>3097</v>
      </c>
      <c r="C223" s="193" t="s">
        <v>3119</v>
      </c>
      <c r="D223" s="193" t="s">
        <v>3635</v>
      </c>
    </row>
    <row r="224">
      <c r="A224" s="359">
        <v>46058.68366472222</v>
      </c>
      <c r="B224" s="193" t="s">
        <v>3097</v>
      </c>
      <c r="C224" s="193" t="s">
        <v>3119</v>
      </c>
      <c r="D224" s="193" t="s">
        <v>3638</v>
      </c>
    </row>
    <row r="225">
      <c r="A225" s="359">
        <v>46058.68368421296</v>
      </c>
      <c r="B225" s="193" t="s">
        <v>3097</v>
      </c>
      <c r="C225" s="193" t="s">
        <v>3119</v>
      </c>
      <c r="D225" s="193" t="s">
        <v>3644</v>
      </c>
    </row>
    <row r="226">
      <c r="A226" s="359">
        <v>46058.68370729167</v>
      </c>
      <c r="B226" s="193" t="s">
        <v>3097</v>
      </c>
      <c r="C226" s="193" t="s">
        <v>3119</v>
      </c>
      <c r="D226" s="193" t="s">
        <v>3651</v>
      </c>
    </row>
    <row r="227">
      <c r="A227" s="359">
        <v>46058.69017587963</v>
      </c>
      <c r="C227" s="193" t="s">
        <v>3119</v>
      </c>
      <c r="D227" s="193" t="s">
        <v>3655</v>
      </c>
    </row>
    <row r="228">
      <c r="A228" s="359">
        <v>46058.691445625</v>
      </c>
      <c r="B228" s="193" t="s">
        <v>3097</v>
      </c>
      <c r="C228" s="193" t="s">
        <v>3418</v>
      </c>
      <c r="D228" s="193" t="s">
        <v>3656</v>
      </c>
    </row>
    <row r="229">
      <c r="A229" s="359">
        <v>46058.691641550926</v>
      </c>
      <c r="B229" s="193" t="s">
        <v>3097</v>
      </c>
      <c r="C229" s="193" t="s">
        <v>3418</v>
      </c>
      <c r="D229" s="193" t="s">
        <v>3660</v>
      </c>
    </row>
    <row r="230">
      <c r="A230" s="359">
        <v>46058.691779872686</v>
      </c>
      <c r="B230" s="193" t="s">
        <v>3097</v>
      </c>
      <c r="C230" s="193" t="s">
        <v>3418</v>
      </c>
      <c r="D230" s="193" t="s">
        <v>3666</v>
      </c>
    </row>
    <row r="231">
      <c r="A231" s="359">
        <v>46058.6919916551</v>
      </c>
      <c r="B231" s="193" t="s">
        <v>3097</v>
      </c>
      <c r="C231" s="193" t="s">
        <v>3418</v>
      </c>
      <c r="D231" s="193" t="s">
        <v>3672</v>
      </c>
    </row>
    <row r="232">
      <c r="A232" s="359">
        <v>46058.69215815973</v>
      </c>
      <c r="B232" s="193" t="s">
        <v>3097</v>
      </c>
      <c r="C232" s="193" t="s">
        <v>3418</v>
      </c>
      <c r="D232" s="193" t="s">
        <v>3673</v>
      </c>
    </row>
    <row r="233">
      <c r="A233" s="359">
        <v>46058.692415185185</v>
      </c>
      <c r="B233" s="193" t="s">
        <v>3097</v>
      </c>
      <c r="C233" s="193" t="s">
        <v>3418</v>
      </c>
      <c r="D233" s="193" t="s">
        <v>3674</v>
      </c>
    </row>
    <row r="234">
      <c r="A234" s="359">
        <v>46058.69251170139</v>
      </c>
      <c r="C234" s="193" t="s">
        <v>3119</v>
      </c>
      <c r="D234" s="193" t="s">
        <v>3675</v>
      </c>
    </row>
    <row r="235">
      <c r="A235" s="359">
        <v>46058.69257688658</v>
      </c>
      <c r="B235" s="193" t="s">
        <v>3097</v>
      </c>
      <c r="C235" s="193" t="s">
        <v>3418</v>
      </c>
      <c r="D235" s="193" t="s">
        <v>3683</v>
      </c>
    </row>
    <row r="236">
      <c r="A236" s="359">
        <v>46058.6927496875</v>
      </c>
      <c r="B236" s="193" t="s">
        <v>3097</v>
      </c>
      <c r="C236" s="193" t="s">
        <v>3418</v>
      </c>
      <c r="D236" s="193" t="s">
        <v>3685</v>
      </c>
    </row>
    <row r="237">
      <c r="A237" s="359">
        <v>46058.692952592595</v>
      </c>
      <c r="B237" s="193" t="s">
        <v>3097</v>
      </c>
      <c r="C237" s="193" t="s">
        <v>3418</v>
      </c>
      <c r="D237" s="193" t="s">
        <v>3686</v>
      </c>
    </row>
    <row r="238">
      <c r="A238" s="359">
        <v>46058.69308761574</v>
      </c>
      <c r="B238" s="193" t="s">
        <v>3097</v>
      </c>
      <c r="C238" s="193" t="s">
        <v>3418</v>
      </c>
      <c r="D238" s="193" t="s">
        <v>3688</v>
      </c>
    </row>
    <row r="239">
      <c r="A239" s="359">
        <v>46058.693269317126</v>
      </c>
      <c r="B239" s="193" t="s">
        <v>3097</v>
      </c>
      <c r="C239" s="193" t="s">
        <v>3418</v>
      </c>
      <c r="D239" s="193" t="s">
        <v>3693</v>
      </c>
    </row>
    <row r="240">
      <c r="A240" s="359">
        <v>46058.693399571755</v>
      </c>
      <c r="B240" s="193" t="s">
        <v>3097</v>
      </c>
      <c r="C240" s="193" t="s">
        <v>3418</v>
      </c>
      <c r="D240" s="193" t="s">
        <v>3696</v>
      </c>
    </row>
    <row r="241">
      <c r="A241" s="359">
        <v>46058.69354018518</v>
      </c>
      <c r="B241" s="193" t="s">
        <v>3097</v>
      </c>
      <c r="C241" s="193" t="s">
        <v>3418</v>
      </c>
      <c r="D241" s="193" t="s">
        <v>3698</v>
      </c>
    </row>
    <row r="242">
      <c r="A242" s="359">
        <v>46058.69371641203</v>
      </c>
      <c r="B242" s="193" t="s">
        <v>3097</v>
      </c>
      <c r="C242" s="193" t="s">
        <v>3418</v>
      </c>
      <c r="D242" s="193" t="s">
        <v>3699</v>
      </c>
    </row>
    <row r="243">
      <c r="A243" s="359">
        <v>46058.693854930556</v>
      </c>
      <c r="B243" s="193" t="s">
        <v>3097</v>
      </c>
      <c r="C243" s="193" t="s">
        <v>3418</v>
      </c>
      <c r="D243" s="193" t="s">
        <v>3700</v>
      </c>
    </row>
    <row r="244">
      <c r="A244" s="359">
        <v>46058.693989050924</v>
      </c>
      <c r="B244" s="193" t="s">
        <v>3097</v>
      </c>
      <c r="C244" s="193" t="s">
        <v>3418</v>
      </c>
      <c r="D244" s="193" t="s">
        <v>3708</v>
      </c>
    </row>
    <row r="245">
      <c r="A245" s="359">
        <v>46058.69414902778</v>
      </c>
      <c r="B245" s="193" t="s">
        <v>3097</v>
      </c>
      <c r="C245" s="193" t="s">
        <v>3418</v>
      </c>
      <c r="D245" s="193" t="s">
        <v>3711</v>
      </c>
    </row>
    <row r="246">
      <c r="A246" s="359">
        <v>46058.694302916665</v>
      </c>
      <c r="B246" s="193" t="s">
        <v>3097</v>
      </c>
      <c r="C246" s="193" t="s">
        <v>3418</v>
      </c>
      <c r="D246" s="193" t="s">
        <v>3712</v>
      </c>
    </row>
    <row r="247">
      <c r="A247" s="359">
        <v>46058.69444416667</v>
      </c>
      <c r="B247" s="193" t="s">
        <v>3097</v>
      </c>
      <c r="C247" s="193" t="s">
        <v>3418</v>
      </c>
      <c r="D247" s="193" t="s">
        <v>3717</v>
      </c>
    </row>
    <row r="248">
      <c r="A248" s="359">
        <v>46058.69459483796</v>
      </c>
      <c r="B248" s="193" t="s">
        <v>3097</v>
      </c>
      <c r="C248" s="193" t="s">
        <v>3418</v>
      </c>
      <c r="D248" s="193" t="s">
        <v>3720</v>
      </c>
    </row>
    <row r="249">
      <c r="A249" s="359">
        <v>46058.69473681713</v>
      </c>
      <c r="B249" s="193" t="s">
        <v>3097</v>
      </c>
      <c r="C249" s="193" t="s">
        <v>3418</v>
      </c>
      <c r="D249" s="193" t="s">
        <v>3721</v>
      </c>
    </row>
    <row r="250">
      <c r="A250" s="359">
        <v>46058.69486559028</v>
      </c>
      <c r="B250" s="193" t="s">
        <v>3097</v>
      </c>
      <c r="C250" s="193" t="s">
        <v>3418</v>
      </c>
      <c r="D250" s="193" t="s">
        <v>3722</v>
      </c>
    </row>
    <row r="251">
      <c r="A251" s="359">
        <v>46058.694940127316</v>
      </c>
      <c r="B251" s="193" t="s">
        <v>3097</v>
      </c>
      <c r="C251" s="193" t="s">
        <v>3418</v>
      </c>
      <c r="D251" s="193" t="s">
        <v>3724</v>
      </c>
    </row>
    <row r="252">
      <c r="A252" s="359">
        <v>46058.69506226852</v>
      </c>
      <c r="B252" s="193" t="s">
        <v>3097</v>
      </c>
      <c r="C252" s="193" t="s">
        <v>3418</v>
      </c>
      <c r="D252" s="193" t="s">
        <v>3725</v>
      </c>
    </row>
    <row r="253">
      <c r="A253" s="359">
        <v>46058.69519226852</v>
      </c>
      <c r="B253" s="193" t="s">
        <v>3097</v>
      </c>
      <c r="C253" s="193" t="s">
        <v>3418</v>
      </c>
      <c r="D253" s="193" t="s">
        <v>3727</v>
      </c>
    </row>
    <row r="254">
      <c r="A254" s="359">
        <v>46058.69556140046</v>
      </c>
      <c r="B254" s="193" t="s">
        <v>3097</v>
      </c>
      <c r="C254" s="193" t="s">
        <v>3119</v>
      </c>
      <c r="D254" s="193" t="s">
        <v>3732</v>
      </c>
    </row>
    <row r="255">
      <c r="A255" s="359">
        <v>46058.69558086805</v>
      </c>
      <c r="B255" s="193" t="s">
        <v>3097</v>
      </c>
      <c r="C255" s="193" t="s">
        <v>3119</v>
      </c>
      <c r="D255" s="193" t="s">
        <v>3733</v>
      </c>
    </row>
    <row r="256">
      <c r="A256" s="359">
        <v>46058.69561119213</v>
      </c>
      <c r="B256" s="193" t="s">
        <v>3097</v>
      </c>
      <c r="C256" s="193" t="s">
        <v>3119</v>
      </c>
      <c r="D256" s="193" t="s">
        <v>3734</v>
      </c>
    </row>
    <row r="257">
      <c r="A257" s="359">
        <v>46058.69564734954</v>
      </c>
      <c r="B257" s="193" t="s">
        <v>3097</v>
      </c>
      <c r="C257" s="193" t="s">
        <v>3119</v>
      </c>
      <c r="D257" s="193" t="s">
        <v>3738</v>
      </c>
    </row>
    <row r="258">
      <c r="A258" s="359">
        <v>46058.695660219906</v>
      </c>
      <c r="B258" s="193" t="s">
        <v>3097</v>
      </c>
      <c r="C258" s="193" t="s">
        <v>3119</v>
      </c>
      <c r="D258" s="193" t="s">
        <v>3739</v>
      </c>
    </row>
    <row r="259">
      <c r="A259" s="359">
        <v>46058.695668333334</v>
      </c>
      <c r="B259" s="193" t="s">
        <v>3097</v>
      </c>
      <c r="C259" s="193" t="s">
        <v>3119</v>
      </c>
      <c r="D259" s="193" t="s">
        <v>3740</v>
      </c>
    </row>
    <row r="260">
      <c r="A260" s="359">
        <v>46058.70022190972</v>
      </c>
      <c r="B260" s="193" t="s">
        <v>3097</v>
      </c>
      <c r="C260" s="193" t="s">
        <v>3119</v>
      </c>
      <c r="D260" s="193" t="s">
        <v>3743</v>
      </c>
    </row>
    <row r="261">
      <c r="A261" s="359">
        <v>46058.7002612037</v>
      </c>
      <c r="B261" s="193" t="s">
        <v>3097</v>
      </c>
      <c r="C261" s="193" t="s">
        <v>3119</v>
      </c>
      <c r="D261" s="193" t="s">
        <v>3743</v>
      </c>
    </row>
    <row r="262">
      <c r="A262" s="359">
        <v>46058.70079688657</v>
      </c>
      <c r="B262" s="193" t="s">
        <v>3097</v>
      </c>
      <c r="C262" s="193" t="s">
        <v>3119</v>
      </c>
      <c r="D262" s="193" t="s">
        <v>3745</v>
      </c>
    </row>
    <row r="263">
      <c r="A263" s="359">
        <v>46058.70080990741</v>
      </c>
      <c r="B263" s="193" t="s">
        <v>3097</v>
      </c>
      <c r="C263" s="193" t="s">
        <v>3119</v>
      </c>
      <c r="D263" s="193" t="s">
        <v>3751</v>
      </c>
    </row>
    <row r="264">
      <c r="A264" s="359">
        <v>46058.70084041667</v>
      </c>
      <c r="B264" s="193" t="s">
        <v>3097</v>
      </c>
      <c r="C264" s="193" t="s">
        <v>3119</v>
      </c>
      <c r="D264" s="193" t="s">
        <v>3753</v>
      </c>
    </row>
    <row r="265">
      <c r="A265" s="359">
        <v>46058.700864328704</v>
      </c>
      <c r="B265" s="193" t="s">
        <v>3097</v>
      </c>
      <c r="C265" s="193" t="s">
        <v>3119</v>
      </c>
      <c r="D265" s="193" t="s">
        <v>3754</v>
      </c>
    </row>
    <row r="266">
      <c r="A266" s="359">
        <v>46058.70088554398</v>
      </c>
      <c r="B266" s="193" t="s">
        <v>3097</v>
      </c>
      <c r="C266" s="193" t="s">
        <v>3119</v>
      </c>
      <c r="D266" s="193" t="s">
        <v>3756</v>
      </c>
    </row>
    <row r="267">
      <c r="A267" s="359">
        <v>46058.70090211806</v>
      </c>
      <c r="B267" s="193" t="s">
        <v>3097</v>
      </c>
      <c r="C267" s="193" t="s">
        <v>3119</v>
      </c>
      <c r="D267" s="193" t="s">
        <v>3757</v>
      </c>
    </row>
    <row r="268">
      <c r="A268" s="359">
        <v>46058.70091108796</v>
      </c>
      <c r="B268" s="193" t="s">
        <v>3097</v>
      </c>
      <c r="C268" s="193" t="s">
        <v>3119</v>
      </c>
      <c r="D268" s="193" t="s">
        <v>3762</v>
      </c>
    </row>
    <row r="269">
      <c r="A269" s="359">
        <v>46058.70219560185</v>
      </c>
      <c r="B269" s="193" t="s">
        <v>3097</v>
      </c>
      <c r="C269" s="193" t="s">
        <v>3119</v>
      </c>
      <c r="D269" s="193" t="s">
        <v>3766</v>
      </c>
    </row>
    <row r="270">
      <c r="A270" s="359">
        <v>46058.70221829861</v>
      </c>
      <c r="B270" s="193" t="s">
        <v>3097</v>
      </c>
      <c r="C270" s="193" t="s">
        <v>3119</v>
      </c>
      <c r="D270" s="193" t="s">
        <v>3767</v>
      </c>
    </row>
    <row r="271">
      <c r="A271" s="359">
        <v>46058.70223391204</v>
      </c>
      <c r="B271" s="193" t="s">
        <v>3097</v>
      </c>
      <c r="C271" s="193" t="s">
        <v>3119</v>
      </c>
      <c r="D271" s="193" t="s">
        <v>3772</v>
      </c>
    </row>
    <row r="272">
      <c r="A272" s="359">
        <v>46058.70225685185</v>
      </c>
      <c r="B272" s="193" t="s">
        <v>3097</v>
      </c>
      <c r="C272" s="193" t="s">
        <v>3119</v>
      </c>
      <c r="D272" s="193" t="s">
        <v>3776</v>
      </c>
    </row>
    <row r="273">
      <c r="A273" s="359">
        <v>46058.70227810185</v>
      </c>
      <c r="B273" s="193" t="s">
        <v>3097</v>
      </c>
      <c r="C273" s="193" t="s">
        <v>3119</v>
      </c>
      <c r="D273" s="193" t="s">
        <v>3777</v>
      </c>
    </row>
    <row r="274">
      <c r="A274" s="359">
        <v>46058.712306331014</v>
      </c>
      <c r="B274" s="193" t="s">
        <v>3097</v>
      </c>
      <c r="C274" s="193" t="s">
        <v>3418</v>
      </c>
      <c r="D274" s="193" t="s">
        <v>3780</v>
      </c>
    </row>
    <row r="275">
      <c r="A275" s="359">
        <v>46058.712490868056</v>
      </c>
      <c r="B275" s="193" t="s">
        <v>3097</v>
      </c>
      <c r="C275" s="193" t="s">
        <v>3418</v>
      </c>
      <c r="D275" s="193" t="s">
        <v>3784</v>
      </c>
    </row>
    <row r="276">
      <c r="A276" s="359">
        <v>46058.712718807874</v>
      </c>
      <c r="B276" s="193" t="s">
        <v>3097</v>
      </c>
      <c r="C276" s="193" t="s">
        <v>3418</v>
      </c>
      <c r="D276" s="193" t="s">
        <v>3787</v>
      </c>
    </row>
    <row r="277">
      <c r="A277" s="359">
        <v>46058.712902893516</v>
      </c>
      <c r="B277" s="193" t="s">
        <v>3097</v>
      </c>
      <c r="C277" s="193" t="s">
        <v>3418</v>
      </c>
      <c r="D277" s="193" t="s">
        <v>3788</v>
      </c>
    </row>
    <row r="278">
      <c r="A278" s="359">
        <v>46058.71302767361</v>
      </c>
      <c r="B278" s="193" t="s">
        <v>3097</v>
      </c>
      <c r="C278" s="193" t="s">
        <v>3418</v>
      </c>
      <c r="D278" s="193" t="s">
        <v>3789</v>
      </c>
    </row>
    <row r="279">
      <c r="A279" s="359">
        <v>46058.71315255787</v>
      </c>
      <c r="B279" s="193" t="s">
        <v>3097</v>
      </c>
      <c r="C279" s="193" t="s">
        <v>3418</v>
      </c>
      <c r="D279" s="193" t="s">
        <v>3797</v>
      </c>
    </row>
    <row r="280">
      <c r="A280" s="359">
        <v>46058.713326192126</v>
      </c>
      <c r="B280" s="193" t="s">
        <v>3097</v>
      </c>
      <c r="C280" s="193" t="s">
        <v>3418</v>
      </c>
      <c r="D280" s="193" t="s">
        <v>3804</v>
      </c>
    </row>
    <row r="281">
      <c r="A281" s="359">
        <v>46058.7136297338</v>
      </c>
      <c r="B281" s="193" t="s">
        <v>3097</v>
      </c>
      <c r="C281" s="193" t="s">
        <v>3418</v>
      </c>
      <c r="D281" s="193" t="s">
        <v>3805</v>
      </c>
    </row>
    <row r="282">
      <c r="A282" s="359">
        <v>46058.71391016204</v>
      </c>
      <c r="B282" s="193" t="s">
        <v>3097</v>
      </c>
      <c r="C282" s="193" t="s">
        <v>3418</v>
      </c>
      <c r="D282" s="193" t="s">
        <v>3807</v>
      </c>
    </row>
    <row r="283">
      <c r="A283" s="359">
        <v>46058.714193067135</v>
      </c>
      <c r="B283" s="193" t="s">
        <v>3097</v>
      </c>
      <c r="C283" s="193" t="s">
        <v>3418</v>
      </c>
      <c r="D283" s="193" t="s">
        <v>3809</v>
      </c>
    </row>
    <row r="284">
      <c r="A284" s="359">
        <v>46058.714407430554</v>
      </c>
      <c r="B284" s="193" t="s">
        <v>3097</v>
      </c>
      <c r="C284" s="193" t="s">
        <v>3418</v>
      </c>
      <c r="D284" s="193" t="s">
        <v>3811</v>
      </c>
    </row>
    <row r="285">
      <c r="A285" s="359">
        <v>46058.714574074074</v>
      </c>
      <c r="B285" s="193" t="s">
        <v>3097</v>
      </c>
      <c r="C285" s="193" t="s">
        <v>3418</v>
      </c>
      <c r="D285" s="193" t="s">
        <v>3814</v>
      </c>
    </row>
    <row r="286">
      <c r="A286" s="359">
        <v>46058.71488302083</v>
      </c>
      <c r="B286" s="193" t="s">
        <v>3097</v>
      </c>
      <c r="C286" s="193" t="s">
        <v>3418</v>
      </c>
      <c r="D286" s="193" t="s">
        <v>3815</v>
      </c>
    </row>
    <row r="287">
      <c r="A287" s="359">
        <v>46058.715575462964</v>
      </c>
      <c r="B287" s="193" t="s">
        <v>3097</v>
      </c>
      <c r="C287" s="193" t="s">
        <v>3418</v>
      </c>
      <c r="D287" s="193" t="s">
        <v>3818</v>
      </c>
    </row>
    <row r="288">
      <c r="A288" s="359">
        <v>46058.737047002316</v>
      </c>
      <c r="C288" s="193" t="s">
        <v>3119</v>
      </c>
      <c r="D288" s="193" t="s">
        <v>3821</v>
      </c>
    </row>
    <row r="289">
      <c r="A289" s="359">
        <v>46058.740897129624</v>
      </c>
      <c r="C289" s="193" t="s">
        <v>3119</v>
      </c>
      <c r="D289" s="193" t="s">
        <v>3823</v>
      </c>
    </row>
    <row r="290">
      <c r="A290" s="359">
        <v>46058.74250893519</v>
      </c>
      <c r="B290" s="193" t="s">
        <v>3097</v>
      </c>
      <c r="C290" s="193" t="s">
        <v>3091</v>
      </c>
      <c r="D290" s="193" t="s">
        <v>3825</v>
      </c>
    </row>
    <row r="291">
      <c r="A291" s="359">
        <v>46058.743867418976</v>
      </c>
      <c r="C291" s="193" t="s">
        <v>3119</v>
      </c>
      <c r="D291" s="193" t="s">
        <v>3826</v>
      </c>
    </row>
    <row r="292">
      <c r="A292" s="359">
        <v>46058.744741076385</v>
      </c>
      <c r="C292" s="193" t="s">
        <v>3091</v>
      </c>
      <c r="D292" s="193" t="s">
        <v>3827</v>
      </c>
    </row>
    <row r="293">
      <c r="A293" s="359">
        <v>46058.745130995376</v>
      </c>
      <c r="B293" s="193" t="s">
        <v>3097</v>
      </c>
      <c r="C293" s="193" t="s">
        <v>3091</v>
      </c>
      <c r="D293" s="193" t="s">
        <v>3832</v>
      </c>
    </row>
    <row r="295">
      <c r="A295" s="359">
        <v>46058.75420253472</v>
      </c>
      <c r="B295" s="193" t="s">
        <v>3097</v>
      </c>
      <c r="C295" s="193" t="s">
        <v>3418</v>
      </c>
      <c r="D295" s="193" t="s">
        <v>3838</v>
      </c>
    </row>
    <row r="296">
      <c r="A296" s="359">
        <v>46058.7550268287</v>
      </c>
      <c r="B296" s="193" t="s">
        <v>3097</v>
      </c>
      <c r="C296" s="193" t="s">
        <v>3418</v>
      </c>
      <c r="D296" s="193" t="s">
        <v>3840</v>
      </c>
    </row>
    <row r="297">
      <c r="A297" s="359">
        <v>46058.75555278936</v>
      </c>
      <c r="B297" s="193" t="s">
        <v>3097</v>
      </c>
      <c r="C297" s="193" t="s">
        <v>3418</v>
      </c>
      <c r="D297" s="193" t="s">
        <v>3841</v>
      </c>
    </row>
    <row r="298">
      <c r="A298" s="359">
        <v>46058.75558268519</v>
      </c>
      <c r="B298" s="193" t="s">
        <v>3097</v>
      </c>
      <c r="C298" s="193" t="s">
        <v>3418</v>
      </c>
      <c r="D298" s="193" t="s">
        <v>3842</v>
      </c>
    </row>
    <row r="299">
      <c r="A299" s="359">
        <v>46058.755603854166</v>
      </c>
      <c r="B299" s="193" t="s">
        <v>3097</v>
      </c>
      <c r="C299" s="193" t="s">
        <v>3418</v>
      </c>
      <c r="D299" s="193" t="s">
        <v>3848</v>
      </c>
    </row>
    <row r="300">
      <c r="A300" s="359">
        <v>46058.75562347222</v>
      </c>
      <c r="B300" s="193" t="s">
        <v>3097</v>
      </c>
      <c r="C300" s="193" t="s">
        <v>3418</v>
      </c>
      <c r="D300" s="193" t="s">
        <v>3852</v>
      </c>
    </row>
    <row r="301">
      <c r="A301" s="359">
        <v>46058.755640567135</v>
      </c>
      <c r="B301" s="193" t="s">
        <v>3097</v>
      </c>
      <c r="C301" s="193" t="s">
        <v>3418</v>
      </c>
      <c r="D301" s="193" t="s">
        <v>3854</v>
      </c>
    </row>
    <row r="302">
      <c r="A302" s="359">
        <v>46058.755666400466</v>
      </c>
      <c r="B302" s="193" t="s">
        <v>3097</v>
      </c>
      <c r="C302" s="193" t="s">
        <v>3418</v>
      </c>
      <c r="D302" s="193" t="s">
        <v>3858</v>
      </c>
    </row>
    <row r="303">
      <c r="A303" s="359">
        <v>46058.755682523144</v>
      </c>
      <c r="B303" s="193" t="s">
        <v>3097</v>
      </c>
      <c r="C303" s="193" t="s">
        <v>3418</v>
      </c>
      <c r="D303" s="193" t="s">
        <v>3863</v>
      </c>
    </row>
    <row r="304">
      <c r="A304" s="359">
        <v>46058.755699236106</v>
      </c>
      <c r="B304" s="193" t="s">
        <v>3097</v>
      </c>
      <c r="C304" s="193" t="s">
        <v>3418</v>
      </c>
      <c r="D304" s="193" t="s">
        <v>3864</v>
      </c>
    </row>
    <row r="305">
      <c r="A305" s="359">
        <v>46058.755715266205</v>
      </c>
      <c r="B305" s="193" t="s">
        <v>3097</v>
      </c>
      <c r="C305" s="193" t="s">
        <v>3418</v>
      </c>
      <c r="D305" s="193" t="s">
        <v>3865</v>
      </c>
    </row>
    <row r="306">
      <c r="A306" s="359">
        <v>46058.755732418984</v>
      </c>
      <c r="B306" s="193" t="s">
        <v>3097</v>
      </c>
      <c r="C306" s="193" t="s">
        <v>3418</v>
      </c>
      <c r="D306" s="193" t="s">
        <v>3871</v>
      </c>
    </row>
    <row r="307">
      <c r="A307" s="359">
        <v>46058.75574791667</v>
      </c>
      <c r="B307" s="193" t="s">
        <v>3097</v>
      </c>
      <c r="C307" s="193" t="s">
        <v>3418</v>
      </c>
      <c r="D307" s="193" t="s">
        <v>3876</v>
      </c>
    </row>
    <row r="308">
      <c r="A308" s="359">
        <v>46058.75576475695</v>
      </c>
      <c r="B308" s="193" t="s">
        <v>3097</v>
      </c>
      <c r="C308" s="193" t="s">
        <v>3418</v>
      </c>
      <c r="D308" s="193" t="s">
        <v>3880</v>
      </c>
    </row>
    <row r="309">
      <c r="A309" s="359">
        <v>46058.75578216436</v>
      </c>
      <c r="B309" s="193" t="s">
        <v>3097</v>
      </c>
      <c r="C309" s="193" t="s">
        <v>3418</v>
      </c>
      <c r="D309" s="193" t="s">
        <v>3882</v>
      </c>
    </row>
    <row r="310">
      <c r="A310" s="359">
        <v>46058.75580179398</v>
      </c>
      <c r="B310" s="193" t="s">
        <v>3097</v>
      </c>
      <c r="C310" s="193" t="s">
        <v>3418</v>
      </c>
      <c r="D310" s="193" t="s">
        <v>3883</v>
      </c>
    </row>
    <row r="311">
      <c r="A311" s="359">
        <v>46058.755817638885</v>
      </c>
      <c r="B311" s="193" t="s">
        <v>3097</v>
      </c>
      <c r="C311" s="193" t="s">
        <v>3418</v>
      </c>
      <c r="D311" s="193" t="s">
        <v>3885</v>
      </c>
    </row>
    <row r="312">
      <c r="A312" s="359">
        <v>46058.75583255787</v>
      </c>
      <c r="B312" s="193" t="s">
        <v>3097</v>
      </c>
      <c r="C312" s="193" t="s">
        <v>3418</v>
      </c>
      <c r="D312" s="193" t="s">
        <v>3886</v>
      </c>
    </row>
    <row r="313">
      <c r="A313" s="359">
        <v>46058.75585613426</v>
      </c>
      <c r="B313" s="193" t="s">
        <v>3097</v>
      </c>
      <c r="C313" s="193" t="s">
        <v>3418</v>
      </c>
      <c r="D313" s="193" t="s">
        <v>3890</v>
      </c>
    </row>
    <row r="314">
      <c r="A314" s="359">
        <v>46058.75587353009</v>
      </c>
      <c r="B314" s="193" t="s">
        <v>3097</v>
      </c>
      <c r="C314" s="193" t="s">
        <v>3418</v>
      </c>
      <c r="D314" s="193" t="s">
        <v>3894</v>
      </c>
    </row>
    <row r="315">
      <c r="A315" s="359">
        <v>46058.75589206019</v>
      </c>
      <c r="B315" s="193" t="s">
        <v>3097</v>
      </c>
      <c r="C315" s="193" t="s">
        <v>3418</v>
      </c>
      <c r="D315" s="193" t="s">
        <v>3896</v>
      </c>
    </row>
    <row r="316">
      <c r="A316" s="359">
        <v>46058.75590820602</v>
      </c>
      <c r="B316" s="193" t="s">
        <v>3097</v>
      </c>
      <c r="C316" s="193" t="s">
        <v>3418</v>
      </c>
      <c r="D316" s="193" t="s">
        <v>3897</v>
      </c>
    </row>
    <row r="317">
      <c r="A317" s="359">
        <v>46058.75592466435</v>
      </c>
      <c r="B317" s="193" t="s">
        <v>3097</v>
      </c>
      <c r="C317" s="193" t="s">
        <v>3418</v>
      </c>
      <c r="D317" s="193" t="s">
        <v>3899</v>
      </c>
    </row>
    <row r="318">
      <c r="A318" s="359">
        <v>46058.75594293981</v>
      </c>
      <c r="B318" s="193" t="s">
        <v>3097</v>
      </c>
      <c r="C318" s="193" t="s">
        <v>3418</v>
      </c>
      <c r="D318" s="193" t="s">
        <v>3900</v>
      </c>
    </row>
    <row r="319">
      <c r="A319" s="359">
        <v>46058.755959699076</v>
      </c>
      <c r="B319" s="193" t="s">
        <v>3097</v>
      </c>
      <c r="C319" s="193" t="s">
        <v>3418</v>
      </c>
      <c r="D319" s="193" t="s">
        <v>3901</v>
      </c>
    </row>
    <row r="320">
      <c r="A320" s="359">
        <v>46058.75597650463</v>
      </c>
      <c r="B320" s="193" t="s">
        <v>3097</v>
      </c>
      <c r="C320" s="193" t="s">
        <v>3418</v>
      </c>
      <c r="D320" s="193" t="s">
        <v>3903</v>
      </c>
    </row>
    <row r="321">
      <c r="A321" s="359">
        <v>46058.755996527776</v>
      </c>
      <c r="B321" s="193" t="s">
        <v>3097</v>
      </c>
      <c r="C321" s="193" t="s">
        <v>3418</v>
      </c>
      <c r="D321" s="193" t="s">
        <v>3909</v>
      </c>
    </row>
    <row r="322">
      <c r="A322" s="359">
        <v>46058.75601945602</v>
      </c>
      <c r="B322" s="193" t="s">
        <v>3097</v>
      </c>
      <c r="C322" s="193" t="s">
        <v>3418</v>
      </c>
      <c r="D322" s="193" t="s">
        <v>3911</v>
      </c>
    </row>
    <row r="323">
      <c r="A323" s="359">
        <v>46058.756071400465</v>
      </c>
      <c r="B323" s="193" t="s">
        <v>3097</v>
      </c>
      <c r="C323" s="193" t="s">
        <v>3418</v>
      </c>
      <c r="D323" s="193" t="s">
        <v>3916</v>
      </c>
    </row>
    <row r="324">
      <c r="A324" s="359">
        <v>46058.75608976852</v>
      </c>
      <c r="B324" s="193" t="s">
        <v>3097</v>
      </c>
      <c r="C324" s="193" t="s">
        <v>3418</v>
      </c>
      <c r="D324" s="193" t="s">
        <v>3918</v>
      </c>
    </row>
    <row r="325">
      <c r="A325" s="359">
        <v>46058.756105636574</v>
      </c>
      <c r="B325" s="193" t="s">
        <v>3097</v>
      </c>
      <c r="C325" s="193" t="s">
        <v>3418</v>
      </c>
      <c r="D325" s="193" t="s">
        <v>3919</v>
      </c>
    </row>
    <row r="326">
      <c r="A326" s="359">
        <v>46058.756121053244</v>
      </c>
      <c r="B326" s="193" t="s">
        <v>3097</v>
      </c>
      <c r="C326" s="193" t="s">
        <v>3418</v>
      </c>
      <c r="D326" s="193" t="s">
        <v>3922</v>
      </c>
    </row>
    <row r="327">
      <c r="A327" s="359">
        <v>46058.75614208334</v>
      </c>
      <c r="B327" s="193" t="s">
        <v>3097</v>
      </c>
      <c r="C327" s="193" t="s">
        <v>3418</v>
      </c>
      <c r="D327" s="193" t="s">
        <v>3928</v>
      </c>
    </row>
    <row r="328">
      <c r="A328" s="359">
        <v>46058.756164606486</v>
      </c>
      <c r="B328" s="193" t="s">
        <v>3097</v>
      </c>
      <c r="C328" s="193" t="s">
        <v>3418</v>
      </c>
      <c r="D328" s="193" t="s">
        <v>3933</v>
      </c>
    </row>
    <row r="329">
      <c r="A329" s="359">
        <v>46058.75618548611</v>
      </c>
      <c r="B329" s="193" t="s">
        <v>3097</v>
      </c>
      <c r="C329" s="193" t="s">
        <v>3418</v>
      </c>
      <c r="D329" s="193" t="s">
        <v>3936</v>
      </c>
    </row>
    <row r="330">
      <c r="A330" s="359">
        <v>46058.75620421296</v>
      </c>
      <c r="B330" s="193" t="s">
        <v>3097</v>
      </c>
      <c r="C330" s="193" t="s">
        <v>3418</v>
      </c>
      <c r="D330" s="193" t="s">
        <v>3938</v>
      </c>
    </row>
    <row r="331">
      <c r="A331" s="359">
        <v>46058.75871061343</v>
      </c>
      <c r="B331" s="193" t="s">
        <v>3097</v>
      </c>
      <c r="C331" s="193" t="s">
        <v>3119</v>
      </c>
      <c r="D331" s="193" t="s">
        <v>3939</v>
      </c>
    </row>
    <row r="332">
      <c r="A332" s="359">
        <v>46058.7601575463</v>
      </c>
      <c r="C332" s="193" t="s">
        <v>3119</v>
      </c>
      <c r="D332" s="193" t="s">
        <v>3940</v>
      </c>
    </row>
    <row r="333">
      <c r="A333" s="359">
        <v>46058.778221967594</v>
      </c>
      <c r="C333" s="193" t="s">
        <v>3119</v>
      </c>
      <c r="D333" s="193" t="s">
        <v>3942</v>
      </c>
    </row>
    <row r="334">
      <c r="A334" s="359">
        <v>46058.78177960648</v>
      </c>
      <c r="C334" s="193" t="s">
        <v>3119</v>
      </c>
      <c r="D334" s="193" t="s">
        <v>3944</v>
      </c>
    </row>
    <row r="335">
      <c r="A335" s="359">
        <v>46058.78191103009</v>
      </c>
      <c r="C335" s="193" t="s">
        <v>3119</v>
      </c>
      <c r="D335" s="193" t="s">
        <v>3948</v>
      </c>
    </row>
    <row r="336">
      <c r="A336" s="359">
        <v>46058.782519305554</v>
      </c>
      <c r="C336" s="193" t="s">
        <v>3119</v>
      </c>
      <c r="D336" s="193" t="s">
        <v>3951</v>
      </c>
    </row>
    <row r="337">
      <c r="A337" s="359">
        <v>46058.78254738426</v>
      </c>
      <c r="C337" s="193" t="s">
        <v>3119</v>
      </c>
      <c r="D337" s="193" t="s">
        <v>3951</v>
      </c>
    </row>
    <row r="339">
      <c r="A339" s="359">
        <v>46058.78268188657</v>
      </c>
      <c r="C339" s="193" t="s">
        <v>3119</v>
      </c>
      <c r="D339" s="193" t="s">
        <v>3951</v>
      </c>
    </row>
    <row r="341">
      <c r="A341" s="359">
        <v>46058.78272736111</v>
      </c>
      <c r="C341" s="193" t="s">
        <v>3119</v>
      </c>
      <c r="D341" s="193" t="s">
        <v>3951</v>
      </c>
    </row>
    <row r="342">
      <c r="A342" s="359">
        <v>46058.782736249996</v>
      </c>
      <c r="C342" s="193" t="s">
        <v>3119</v>
      </c>
      <c r="D342" s="193" t="s">
        <v>3951</v>
      </c>
    </row>
    <row r="343">
      <c r="A343" s="359">
        <v>46058.782842754634</v>
      </c>
      <c r="C343" s="193" t="s">
        <v>3119</v>
      </c>
      <c r="D343" s="193" t="s">
        <v>3951</v>
      </c>
    </row>
    <row r="344">
      <c r="A344" s="359">
        <v>46058.78310744213</v>
      </c>
      <c r="C344" s="193" t="s">
        <v>3119</v>
      </c>
      <c r="D344" s="193" t="s">
        <v>3951</v>
      </c>
    </row>
    <row r="345">
      <c r="A345" s="359">
        <v>46058.78318104167</v>
      </c>
      <c r="C345" s="193" t="s">
        <v>3119</v>
      </c>
      <c r="D345" s="193" t="s">
        <v>3953</v>
      </c>
    </row>
    <row r="346">
      <c r="A346" s="359">
        <v>46058.78519436343</v>
      </c>
      <c r="C346" s="193" t="s">
        <v>3119</v>
      </c>
      <c r="D346" s="193" t="s">
        <v>3954</v>
      </c>
    </row>
    <row r="347">
      <c r="A347" s="359">
        <v>46058.78767630787</v>
      </c>
      <c r="C347" s="193" t="s">
        <v>3119</v>
      </c>
      <c r="D347" s="193" t="s">
        <v>3955</v>
      </c>
    </row>
    <row r="348">
      <c r="A348" s="359">
        <v>46058.79267568287</v>
      </c>
      <c r="B348" s="193" t="s">
        <v>3097</v>
      </c>
      <c r="C348" s="193" t="s">
        <v>3418</v>
      </c>
      <c r="D348" s="193" t="s">
        <v>3956</v>
      </c>
    </row>
    <row r="349">
      <c r="A349" s="359">
        <v>46058.79290017361</v>
      </c>
      <c r="B349" s="193" t="s">
        <v>3097</v>
      </c>
      <c r="C349" s="193" t="s">
        <v>3418</v>
      </c>
      <c r="D349" s="193" t="s">
        <v>3957</v>
      </c>
    </row>
    <row r="350">
      <c r="A350" s="359">
        <v>46058.79302394676</v>
      </c>
      <c r="B350" s="193" t="s">
        <v>3097</v>
      </c>
      <c r="C350" s="193" t="s">
        <v>3418</v>
      </c>
      <c r="D350" s="193" t="s">
        <v>3959</v>
      </c>
    </row>
    <row r="351">
      <c r="A351" s="359">
        <v>46058.79396174768</v>
      </c>
      <c r="B351" s="193" t="s">
        <v>3097</v>
      </c>
      <c r="C351" s="193" t="s">
        <v>3418</v>
      </c>
      <c r="D351" s="193" t="s">
        <v>3962</v>
      </c>
    </row>
    <row r="352">
      <c r="A352" s="359">
        <v>46058.80207818287</v>
      </c>
      <c r="C352" s="193" t="s">
        <v>3119</v>
      </c>
      <c r="D352" s="193" t="s">
        <v>3963</v>
      </c>
    </row>
    <row r="353">
      <c r="A353" s="359">
        <v>46058.80893671296</v>
      </c>
      <c r="C353" s="193" t="s">
        <v>3119</v>
      </c>
      <c r="D353" s="193" t="s">
        <v>3968</v>
      </c>
    </row>
    <row r="354">
      <c r="A354" s="359">
        <v>46058.814517569444</v>
      </c>
      <c r="C354" s="193" t="s">
        <v>3119</v>
      </c>
      <c r="D354" s="193" t="s">
        <v>3972</v>
      </c>
    </row>
    <row r="355">
      <c r="A355" s="359">
        <v>46058.82197527778</v>
      </c>
      <c r="C355" s="193" t="s">
        <v>3119</v>
      </c>
      <c r="D355" s="193" t="s">
        <v>3972</v>
      </c>
    </row>
    <row r="356">
      <c r="A356" s="359">
        <v>46058.82331891204</v>
      </c>
      <c r="C356" s="193" t="s">
        <v>3119</v>
      </c>
      <c r="D356" s="193" t="s">
        <v>3978</v>
      </c>
    </row>
    <row r="357">
      <c r="A357" s="359">
        <v>46058.89760877315</v>
      </c>
      <c r="C357" s="193" t="s">
        <v>3119</v>
      </c>
      <c r="D357" s="193" t="s">
        <v>3979</v>
      </c>
    </row>
    <row r="358">
      <c r="A358" s="359">
        <v>46058.90020508102</v>
      </c>
      <c r="C358" s="193" t="s">
        <v>3119</v>
      </c>
      <c r="D358" s="193" t="s">
        <v>3980</v>
      </c>
    </row>
    <row r="359">
      <c r="A359" s="359">
        <v>46058.90317445602</v>
      </c>
      <c r="C359" s="193" t="s">
        <v>3119</v>
      </c>
      <c r="D359" s="193" t="s">
        <v>3980</v>
      </c>
    </row>
    <row r="360">
      <c r="A360" s="359">
        <v>46058.91955542824</v>
      </c>
      <c r="C360" s="193" t="s">
        <v>3119</v>
      </c>
      <c r="D360" s="193" t="s">
        <v>3980</v>
      </c>
    </row>
    <row r="361">
      <c r="A361" s="359">
        <v>46058.92007129629</v>
      </c>
      <c r="C361" s="193" t="s">
        <v>3119</v>
      </c>
      <c r="D361" s="193" t="s">
        <v>3980</v>
      </c>
    </row>
    <row r="362">
      <c r="A362" s="359">
        <v>46058.937515625</v>
      </c>
      <c r="C362" s="193" t="s">
        <v>3119</v>
      </c>
      <c r="D362" s="193" t="s">
        <v>3980</v>
      </c>
    </row>
    <row r="363">
      <c r="A363" s="359">
        <v>46059.74976600695</v>
      </c>
      <c r="C363" s="193" t="s">
        <v>3119</v>
      </c>
      <c r="D363" s="193" t="s">
        <v>3979</v>
      </c>
    </row>
    <row r="364">
      <c r="A364" s="359">
        <v>46059.77236458333</v>
      </c>
      <c r="B364" s="193" t="s">
        <v>3097</v>
      </c>
      <c r="C364" s="193" t="s">
        <v>3418</v>
      </c>
      <c r="D364" s="193" t="s">
        <v>3993</v>
      </c>
    </row>
    <row r="365">
      <c r="A365" s="359">
        <v>46059.77796332176</v>
      </c>
      <c r="C365" s="193" t="s">
        <v>3119</v>
      </c>
      <c r="D365" s="193" t="s">
        <v>3994</v>
      </c>
    </row>
    <row r="366">
      <c r="A366" s="359">
        <v>46059.78052675926</v>
      </c>
      <c r="C366" s="193" t="s">
        <v>3119</v>
      </c>
      <c r="D366" s="193" t="s">
        <v>3995</v>
      </c>
    </row>
    <row r="367">
      <c r="A367" s="359">
        <v>46059.781038217596</v>
      </c>
      <c r="C367" s="193" t="s">
        <v>3119</v>
      </c>
      <c r="D367" s="193" t="s">
        <v>3999</v>
      </c>
    </row>
    <row r="368">
      <c r="A368" s="359">
        <v>46059.78206428241</v>
      </c>
      <c r="C368" s="193" t="s">
        <v>3119</v>
      </c>
      <c r="D368" s="193" t="s">
        <v>4002</v>
      </c>
    </row>
    <row r="369">
      <c r="A369" s="359">
        <v>46059.78216826389</v>
      </c>
      <c r="C369" s="193" t="s">
        <v>3119</v>
      </c>
      <c r="D369" s="193" t="s">
        <v>4003</v>
      </c>
    </row>
    <row r="370">
      <c r="A370" s="359">
        <v>46059.78227962963</v>
      </c>
      <c r="C370" s="193" t="s">
        <v>3119</v>
      </c>
      <c r="D370" s="193" t="s">
        <v>4004</v>
      </c>
    </row>
    <row r="371">
      <c r="A371" s="359">
        <v>46059.782378206015</v>
      </c>
      <c r="C371" s="193" t="s">
        <v>3119</v>
      </c>
      <c r="D371" s="193" t="s">
        <v>4004</v>
      </c>
    </row>
    <row r="372">
      <c r="A372" s="359">
        <v>46059.783409930555</v>
      </c>
      <c r="C372" s="193" t="s">
        <v>3119</v>
      </c>
      <c r="D372" s="193" t="s">
        <v>4006</v>
      </c>
    </row>
    <row r="373">
      <c r="A373" s="359">
        <v>46059.785587164355</v>
      </c>
      <c r="C373" s="193" t="s">
        <v>3119</v>
      </c>
      <c r="D373" s="193" t="s">
        <v>4007</v>
      </c>
    </row>
    <row r="374">
      <c r="A374" s="359">
        <v>46059.78826994213</v>
      </c>
      <c r="C374" s="193" t="s">
        <v>3119</v>
      </c>
      <c r="D374" s="193" t="s">
        <v>4009</v>
      </c>
    </row>
    <row r="375">
      <c r="A375" s="359">
        <v>46059.79267642361</v>
      </c>
      <c r="B375" s="193" t="s">
        <v>3097</v>
      </c>
      <c r="C375" s="193" t="s">
        <v>3418</v>
      </c>
      <c r="D375" s="193" t="s">
        <v>4010</v>
      </c>
    </row>
    <row r="376">
      <c r="A376" s="359">
        <v>46059.792798888884</v>
      </c>
      <c r="B376" s="193" t="s">
        <v>3097</v>
      </c>
      <c r="C376" s="193" t="s">
        <v>3418</v>
      </c>
      <c r="D376" s="193" t="s">
        <v>4012</v>
      </c>
    </row>
    <row r="377">
      <c r="A377" s="359">
        <v>46059.79386128472</v>
      </c>
      <c r="B377" s="193" t="s">
        <v>3097</v>
      </c>
      <c r="C377" s="193" t="s">
        <v>3418</v>
      </c>
      <c r="D377" s="193" t="s">
        <v>3962</v>
      </c>
    </row>
    <row r="378">
      <c r="A378" s="359">
        <v>46059.79754756944</v>
      </c>
      <c r="C378" s="193" t="s">
        <v>3119</v>
      </c>
      <c r="D378" s="193" t="s">
        <v>4017</v>
      </c>
    </row>
    <row r="379">
      <c r="A379" s="359">
        <v>46059.798291631945</v>
      </c>
      <c r="C379" s="193" t="s">
        <v>3119</v>
      </c>
      <c r="D379" s="193" t="s">
        <v>4018</v>
      </c>
    </row>
    <row r="380">
      <c r="A380" s="359">
        <v>46059.79992746528</v>
      </c>
      <c r="C380" s="193" t="s">
        <v>3119</v>
      </c>
      <c r="D380" s="193" t="s">
        <v>4018</v>
      </c>
    </row>
    <row r="381">
      <c r="A381" s="359">
        <v>46059.80060765047</v>
      </c>
      <c r="C381" s="193" t="s">
        <v>3119</v>
      </c>
      <c r="D381" s="193" t="s">
        <v>4019</v>
      </c>
    </row>
    <row r="382">
      <c r="A382" s="359">
        <v>46059.80155575232</v>
      </c>
      <c r="C382" s="193" t="s">
        <v>3119</v>
      </c>
      <c r="D382" s="193" t="s">
        <v>4020</v>
      </c>
    </row>
    <row r="383">
      <c r="A383" s="359">
        <v>46059.8031850463</v>
      </c>
      <c r="B383" s="193" t="s">
        <v>3097</v>
      </c>
      <c r="C383" s="193" t="s">
        <v>3418</v>
      </c>
      <c r="D383" s="193" t="s">
        <v>4022</v>
      </c>
    </row>
    <row r="384">
      <c r="A384" s="359">
        <v>46059.80429659723</v>
      </c>
      <c r="C384" s="193" t="s">
        <v>3119</v>
      </c>
      <c r="D384" s="193" t="s">
        <v>4026</v>
      </c>
    </row>
    <row r="385">
      <c r="A385" s="359">
        <v>46059.82394461805</v>
      </c>
      <c r="B385" s="193" t="s">
        <v>3097</v>
      </c>
      <c r="C385" s="193" t="s">
        <v>3418</v>
      </c>
      <c r="D385" s="193" t="s">
        <v>4030</v>
      </c>
    </row>
    <row r="386">
      <c r="A386" s="359">
        <v>46059.847511099535</v>
      </c>
      <c r="C386" s="193" t="s">
        <v>3119</v>
      </c>
      <c r="D386" s="193" t="s">
        <v>3979</v>
      </c>
    </row>
    <row r="387">
      <c r="A387" s="359">
        <v>46059.95002106481</v>
      </c>
      <c r="C387" s="193" t="s">
        <v>3119</v>
      </c>
      <c r="D387" s="193" t="s">
        <v>4031</v>
      </c>
    </row>
    <row r="388">
      <c r="A388" s="359">
        <v>46062.771507708334</v>
      </c>
      <c r="C388" s="193" t="s">
        <v>3119</v>
      </c>
      <c r="D388" s="193" t="s">
        <v>4017</v>
      </c>
    </row>
    <row r="389">
      <c r="A389" s="359">
        <v>46062.77204909722</v>
      </c>
      <c r="C389" s="193" t="s">
        <v>3119</v>
      </c>
      <c r="D389" s="193" t="s">
        <v>4017</v>
      </c>
    </row>
    <row r="390">
      <c r="A390" s="359">
        <v>46062.85664012731</v>
      </c>
      <c r="C390" s="193" t="s">
        <v>3119</v>
      </c>
      <c r="D390" s="193" t="s">
        <v>4035</v>
      </c>
    </row>
    <row r="391">
      <c r="A391" s="359">
        <v>46062.87035375</v>
      </c>
      <c r="C391" s="193" t="s">
        <v>3119</v>
      </c>
      <c r="D391" s="193" t="s">
        <v>4038</v>
      </c>
    </row>
    <row r="392">
      <c r="A392" s="359">
        <v>46062.87093633102</v>
      </c>
      <c r="C392" s="193" t="s">
        <v>3119</v>
      </c>
      <c r="D392" s="193" t="s">
        <v>3979</v>
      </c>
    </row>
    <row r="393">
      <c r="A393" s="359">
        <v>46062.90780925926</v>
      </c>
      <c r="C393" s="193" t="s">
        <v>3119</v>
      </c>
      <c r="D393" s="193" t="s">
        <v>3980</v>
      </c>
    </row>
    <row r="394">
      <c r="A394" s="359">
        <v>46062.953920115746</v>
      </c>
      <c r="B394" s="193" t="s">
        <v>3097</v>
      </c>
      <c r="C394" s="193" t="s">
        <v>3119</v>
      </c>
      <c r="D394" s="193" t="s">
        <v>4031</v>
      </c>
    </row>
    <row r="395">
      <c r="A395" s="359">
        <v>46062.959542048615</v>
      </c>
      <c r="B395" s="193" t="s">
        <v>3097</v>
      </c>
      <c r="C395" s="193" t="s">
        <v>3418</v>
      </c>
      <c r="D395" s="193" t="s">
        <v>4040</v>
      </c>
    </row>
    <row r="396">
      <c r="A396" s="359">
        <v>46063.680516782406</v>
      </c>
      <c r="C396" s="193" t="s">
        <v>3119</v>
      </c>
      <c r="D396" s="193" t="s">
        <v>4043</v>
      </c>
    </row>
    <row r="397">
      <c r="A397" s="359">
        <v>46063.686505694444</v>
      </c>
      <c r="C397" s="193" t="s">
        <v>3119</v>
      </c>
      <c r="D397" s="193" t="s">
        <v>4046</v>
      </c>
    </row>
    <row r="398">
      <c r="A398" s="359">
        <v>46063.68896858796</v>
      </c>
      <c r="C398" s="193" t="s">
        <v>3119</v>
      </c>
      <c r="D398" s="193" t="s">
        <v>4048</v>
      </c>
    </row>
    <row r="399">
      <c r="A399" s="359">
        <v>46063.68963795139</v>
      </c>
      <c r="C399" s="193" t="s">
        <v>3119</v>
      </c>
      <c r="D399" s="193" t="s">
        <v>4048</v>
      </c>
    </row>
    <row r="400">
      <c r="A400" s="359">
        <v>46063.69091255787</v>
      </c>
      <c r="C400" s="193" t="s">
        <v>3119</v>
      </c>
      <c r="D400" s="193" t="s">
        <v>4048</v>
      </c>
    </row>
    <row r="401">
      <c r="A401" s="359">
        <v>46063.77304905093</v>
      </c>
      <c r="C401" s="193" t="s">
        <v>3119</v>
      </c>
      <c r="D401" s="193" t="s">
        <v>3940</v>
      </c>
    </row>
    <row r="402">
      <c r="A402" s="359">
        <v>46063.82042675926</v>
      </c>
      <c r="C402" s="193" t="s">
        <v>3119</v>
      </c>
      <c r="D402" s="193" t="s">
        <v>4031</v>
      </c>
    </row>
    <row r="403">
      <c r="A403" s="359">
        <v>46063.8216271412</v>
      </c>
      <c r="C403" s="193" t="s">
        <v>3119</v>
      </c>
      <c r="D403" s="193" t="s">
        <v>4031</v>
      </c>
    </row>
    <row r="404">
      <c r="A404" s="359">
        <v>46063.8216383449</v>
      </c>
      <c r="C404" s="193" t="s">
        <v>3119</v>
      </c>
      <c r="D404" s="193" t="s">
        <v>4031</v>
      </c>
    </row>
    <row r="405">
      <c r="A405" s="359">
        <v>46063.823105902775</v>
      </c>
      <c r="C405" s="193" t="s">
        <v>3119</v>
      </c>
      <c r="D405" s="193" t="s">
        <v>4031</v>
      </c>
    </row>
    <row r="406">
      <c r="A406" s="359">
        <v>46063.824339224535</v>
      </c>
      <c r="C406" s="193" t="s">
        <v>3119</v>
      </c>
      <c r="D406" s="193" t="s">
        <v>4031</v>
      </c>
    </row>
    <row r="407">
      <c r="A407" s="359">
        <v>46063.824792430554</v>
      </c>
      <c r="C407" s="193" t="s">
        <v>3119</v>
      </c>
      <c r="D407" s="193" t="s">
        <v>4031</v>
      </c>
    </row>
    <row r="408">
      <c r="A408" s="359">
        <v>46063.8274185301</v>
      </c>
      <c r="C408" s="193" t="s">
        <v>3119</v>
      </c>
      <c r="D408" s="193" t="s">
        <v>4031</v>
      </c>
    </row>
    <row r="409">
      <c r="A409" s="359">
        <v>46063.90760755787</v>
      </c>
      <c r="C409" s="193" t="s">
        <v>3119</v>
      </c>
      <c r="D409" s="193" t="s">
        <v>4057</v>
      </c>
    </row>
    <row r="410">
      <c r="A410" s="359">
        <v>46063.9078166088</v>
      </c>
      <c r="B410" s="193" t="s">
        <v>3097</v>
      </c>
      <c r="C410" s="193" t="s">
        <v>3418</v>
      </c>
      <c r="D410" s="193" t="s">
        <v>4058</v>
      </c>
    </row>
    <row r="411">
      <c r="A411" s="359">
        <v>46063.91446853009</v>
      </c>
      <c r="C411" s="193" t="s">
        <v>3119</v>
      </c>
      <c r="D411" s="193" t="s">
        <v>4035</v>
      </c>
    </row>
    <row r="412">
      <c r="A412" s="359">
        <v>46063.91920599537</v>
      </c>
      <c r="C412" s="193" t="s">
        <v>3119</v>
      </c>
      <c r="D412" s="193" t="s">
        <v>4059</v>
      </c>
    </row>
    <row r="413">
      <c r="A413" s="359">
        <v>46063.92110212963</v>
      </c>
      <c r="C413" s="193" t="s">
        <v>3119</v>
      </c>
      <c r="D413" s="193" t="s">
        <v>4035</v>
      </c>
    </row>
    <row r="415">
      <c r="A415" s="359">
        <v>46063.93254638889</v>
      </c>
      <c r="C415" s="193" t="s">
        <v>3119</v>
      </c>
      <c r="D415" s="193" t="s">
        <v>4035</v>
      </c>
    </row>
    <row r="416">
      <c r="A416" s="359">
        <v>46063.93282357639</v>
      </c>
      <c r="B416" s="193" t="s">
        <v>3097</v>
      </c>
      <c r="C416" s="193" t="s">
        <v>3119</v>
      </c>
      <c r="D416" s="193" t="s">
        <v>3979</v>
      </c>
    </row>
    <row r="417">
      <c r="A417" s="359">
        <v>46063.93289804398</v>
      </c>
      <c r="C417" s="193" t="s">
        <v>3119</v>
      </c>
      <c r="D417" s="193" t="s">
        <v>4035</v>
      </c>
    </row>
    <row r="418">
      <c r="A418" s="359">
        <v>46063.933757164355</v>
      </c>
      <c r="C418" s="193" t="s">
        <v>3119</v>
      </c>
      <c r="D418" s="193" t="s">
        <v>4035</v>
      </c>
    </row>
    <row r="419">
      <c r="A419" s="359">
        <v>46063.958679884265</v>
      </c>
      <c r="C419" s="193" t="s">
        <v>3119</v>
      </c>
      <c r="D419" s="193" t="s">
        <v>3994</v>
      </c>
    </row>
    <row r="420">
      <c r="A420" s="359">
        <v>46064.752474884255</v>
      </c>
      <c r="C420" s="193" t="s">
        <v>3119</v>
      </c>
      <c r="D420" s="193" t="s">
        <v>4031</v>
      </c>
    </row>
    <row r="421">
      <c r="A421" s="359">
        <v>46064.78743091435</v>
      </c>
      <c r="C421" s="193" t="s">
        <v>3119</v>
      </c>
      <c r="D421" s="193" t="s">
        <v>4061</v>
      </c>
    </row>
    <row r="422">
      <c r="A422" s="359">
        <v>46064.85955601852</v>
      </c>
      <c r="C422" s="193" t="s">
        <v>3119</v>
      </c>
      <c r="D422" s="193" t="s">
        <v>4063</v>
      </c>
    </row>
    <row r="423">
      <c r="A423" s="359">
        <v>46064.882050925924</v>
      </c>
      <c r="C423" s="193" t="s">
        <v>3119</v>
      </c>
      <c r="D423" s="193" t="s">
        <v>4064</v>
      </c>
    </row>
    <row r="424">
      <c r="A424" s="359">
        <v>46064.88486619213</v>
      </c>
      <c r="C424" s="193" t="s">
        <v>3119</v>
      </c>
      <c r="D424" s="193" t="s">
        <v>3994</v>
      </c>
    </row>
    <row r="425">
      <c r="A425" s="359">
        <v>46064.89962516204</v>
      </c>
      <c r="C425" s="193" t="s">
        <v>3119</v>
      </c>
      <c r="D425" s="193" t="s">
        <v>3979</v>
      </c>
    </row>
    <row r="426">
      <c r="A426" s="359">
        <v>46064.92809</v>
      </c>
      <c r="C426" s="193" t="s">
        <v>3119</v>
      </c>
      <c r="D426" s="193" t="s">
        <v>4069</v>
      </c>
    </row>
    <row r="427">
      <c r="A427" s="359">
        <v>46065.72198541666</v>
      </c>
      <c r="B427" s="193" t="s">
        <v>3097</v>
      </c>
      <c r="C427" s="193" t="s">
        <v>3418</v>
      </c>
      <c r="D427" s="193" t="s">
        <v>4074</v>
      </c>
    </row>
    <row r="428">
      <c r="A428" s="359">
        <v>46065.73809987269</v>
      </c>
      <c r="C428" s="193" t="s">
        <v>3119</v>
      </c>
      <c r="D428" s="193" t="s">
        <v>4063</v>
      </c>
    </row>
    <row r="429">
      <c r="A429" s="359">
        <v>46065.75473701389</v>
      </c>
      <c r="C429" s="193" t="s">
        <v>3119</v>
      </c>
      <c r="D429" s="193" t="s">
        <v>4079</v>
      </c>
    </row>
    <row r="431">
      <c r="A431" s="359">
        <v>46065.816440821756</v>
      </c>
      <c r="C431" s="193" t="s">
        <v>3119</v>
      </c>
      <c r="D431" s="193" t="s">
        <v>4081</v>
      </c>
    </row>
    <row r="432">
      <c r="A432" s="359">
        <v>46065.81644810185</v>
      </c>
      <c r="C432" s="193" t="s">
        <v>3119</v>
      </c>
      <c r="D432" s="193" t="s">
        <v>4081</v>
      </c>
    </row>
    <row r="433">
      <c r="A433" s="359">
        <v>46065.8166132176</v>
      </c>
      <c r="C433" s="193" t="s">
        <v>3119</v>
      </c>
      <c r="D433" s="193" t="s">
        <v>4081</v>
      </c>
    </row>
    <row r="434">
      <c r="A434" s="359">
        <v>46065.820229641206</v>
      </c>
      <c r="C434" s="193" t="s">
        <v>3119</v>
      </c>
      <c r="D434" s="193" t="s">
        <v>4035</v>
      </c>
    </row>
    <row r="435">
      <c r="A435" s="359">
        <v>46065.82382327547</v>
      </c>
      <c r="B435" s="193" t="s">
        <v>3097</v>
      </c>
      <c r="C435" s="193" t="s">
        <v>3418</v>
      </c>
      <c r="D435" s="193" t="s">
        <v>4089</v>
      </c>
    </row>
    <row r="436">
      <c r="A436" s="359">
        <v>46065.82410452546</v>
      </c>
      <c r="B436" s="193" t="s">
        <v>3097</v>
      </c>
      <c r="C436" s="193" t="s">
        <v>3418</v>
      </c>
      <c r="D436" s="193" t="s">
        <v>4090</v>
      </c>
    </row>
    <row r="437">
      <c r="A437" s="359">
        <v>46065.89871523148</v>
      </c>
      <c r="C437" s="193" t="s">
        <v>3119</v>
      </c>
      <c r="D437" s="193" t="s">
        <v>4091</v>
      </c>
    </row>
    <row r="438">
      <c r="A438" s="359">
        <v>46065.899741608795</v>
      </c>
      <c r="C438" s="193" t="s">
        <v>3119</v>
      </c>
      <c r="D438" s="193" t="s">
        <v>4094</v>
      </c>
    </row>
    <row r="439">
      <c r="A439" s="359">
        <v>46065.90142875</v>
      </c>
      <c r="C439" s="193" t="s">
        <v>3119</v>
      </c>
      <c r="D439" s="193" t="s">
        <v>4102</v>
      </c>
    </row>
    <row r="440">
      <c r="A440" s="359">
        <v>46065.928266076386</v>
      </c>
      <c r="B440" s="193" t="s">
        <v>3097</v>
      </c>
      <c r="C440" s="193" t="s">
        <v>3418</v>
      </c>
      <c r="D440" s="193" t="s">
        <v>4105</v>
      </c>
    </row>
    <row r="441">
      <c r="A441" s="359">
        <v>46065.940274988425</v>
      </c>
      <c r="C441" s="193" t="s">
        <v>3119</v>
      </c>
      <c r="D441" s="193" t="s">
        <v>4061</v>
      </c>
    </row>
    <row r="442">
      <c r="A442" s="359">
        <v>46066.7938694676</v>
      </c>
      <c r="C442" s="193" t="s">
        <v>3119</v>
      </c>
      <c r="D442" s="193" t="s">
        <v>4106</v>
      </c>
    </row>
    <row r="443">
      <c r="A443" s="359">
        <v>46066.79997594908</v>
      </c>
      <c r="C443" s="193" t="s">
        <v>3119</v>
      </c>
      <c r="D443" s="193" t="s">
        <v>4107</v>
      </c>
    </row>
    <row r="444">
      <c r="A444" s="359">
        <v>46066.89323223379</v>
      </c>
      <c r="C444" s="193" t="s">
        <v>3119</v>
      </c>
      <c r="D444" s="193" t="s">
        <v>4109</v>
      </c>
    </row>
    <row r="445">
      <c r="A445" s="359">
        <v>46066.894084803236</v>
      </c>
      <c r="C445" s="193" t="s">
        <v>3119</v>
      </c>
      <c r="D445" s="193" t="s">
        <v>4109</v>
      </c>
    </row>
    <row r="446">
      <c r="A446" s="359">
        <v>46066.935198101855</v>
      </c>
      <c r="C446" s="193" t="s">
        <v>3119</v>
      </c>
      <c r="D446" s="193" t="s">
        <v>4112</v>
      </c>
    </row>
    <row r="447">
      <c r="A447" s="359">
        <v>46069.679542812504</v>
      </c>
      <c r="C447" s="193" t="s">
        <v>3119</v>
      </c>
      <c r="D447" s="193" t="s">
        <v>4031</v>
      </c>
    </row>
    <row r="448">
      <c r="A448" s="359">
        <v>46069.71392711806</v>
      </c>
      <c r="C448" s="193" t="s">
        <v>3119</v>
      </c>
      <c r="D448" s="193" t="s">
        <v>4113</v>
      </c>
    </row>
    <row r="449">
      <c r="A449" s="359">
        <v>46069.80180020833</v>
      </c>
      <c r="C449" s="193" t="s">
        <v>3119</v>
      </c>
      <c r="D449" s="193" t="s">
        <v>4114</v>
      </c>
    </row>
    <row r="450">
      <c r="A450" s="359">
        <v>46069.83417751157</v>
      </c>
      <c r="B450" s="193" t="s">
        <v>3097</v>
      </c>
      <c r="C450" s="193" t="s">
        <v>3418</v>
      </c>
      <c r="D450" s="193" t="s">
        <v>4117</v>
      </c>
    </row>
    <row r="451">
      <c r="A451" s="359">
        <v>46069.88105376158</v>
      </c>
      <c r="C451" s="193" t="s">
        <v>3119</v>
      </c>
      <c r="D451" s="193" t="s">
        <v>4113</v>
      </c>
    </row>
    <row r="452">
      <c r="A452" s="359">
        <v>46069.88153895833</v>
      </c>
      <c r="C452" s="193" t="s">
        <v>3119</v>
      </c>
      <c r="D452" s="193" t="s">
        <v>4113</v>
      </c>
    </row>
    <row r="453">
      <c r="A453" s="359">
        <v>46069.942214236115</v>
      </c>
      <c r="C453" s="193" t="s">
        <v>3119</v>
      </c>
      <c r="D453" s="193" t="s">
        <v>4112</v>
      </c>
    </row>
    <row r="454">
      <c r="A454" s="359">
        <v>46069.943718298615</v>
      </c>
      <c r="C454" s="193" t="s">
        <v>3119</v>
      </c>
      <c r="D454" s="193" t="s">
        <v>4125</v>
      </c>
    </row>
    <row r="455">
      <c r="A455" s="359">
        <v>46070.74042101852</v>
      </c>
      <c r="B455" s="193" t="s">
        <v>3097</v>
      </c>
      <c r="C455" s="193" t="s">
        <v>3418</v>
      </c>
      <c r="D455" s="193" t="s">
        <v>4126</v>
      </c>
    </row>
    <row r="456">
      <c r="A456" s="359">
        <v>46070.773692256946</v>
      </c>
      <c r="C456" s="193" t="s">
        <v>3119</v>
      </c>
      <c r="D456" s="193" t="s">
        <v>4127</v>
      </c>
    </row>
    <row r="457">
      <c r="A457" s="359">
        <v>46070.83901159722</v>
      </c>
      <c r="C457" s="193" t="s">
        <v>3119</v>
      </c>
      <c r="D457" s="193" t="s">
        <v>4129</v>
      </c>
    </row>
    <row r="458">
      <c r="A458" s="359">
        <v>46070.85205800926</v>
      </c>
      <c r="C458" s="193" t="s">
        <v>3119</v>
      </c>
      <c r="D458" s="193" t="s">
        <v>4057</v>
      </c>
    </row>
    <row r="459">
      <c r="A459" s="359">
        <v>46070.85221875</v>
      </c>
      <c r="C459" s="193" t="s">
        <v>3119</v>
      </c>
      <c r="D459" s="193" t="s">
        <v>4057</v>
      </c>
    </row>
    <row r="460">
      <c r="A460" s="359">
        <v>46070.87062556713</v>
      </c>
      <c r="C460" s="193" t="s">
        <v>3119</v>
      </c>
      <c r="D460" s="193" t="s">
        <v>4125</v>
      </c>
    </row>
    <row r="461">
      <c r="A461" s="359">
        <v>46070.8782502199</v>
      </c>
      <c r="C461" s="193" t="s">
        <v>3119</v>
      </c>
      <c r="D461" s="193" t="s">
        <v>4129</v>
      </c>
    </row>
    <row r="462">
      <c r="A462" s="359">
        <v>46071.810572013885</v>
      </c>
      <c r="C462" s="193" t="s">
        <v>3119</v>
      </c>
      <c r="D462" s="193" t="s">
        <v>4112</v>
      </c>
    </row>
    <row r="463">
      <c r="A463" s="359">
        <v>46071.82264733796</v>
      </c>
      <c r="C463" s="193" t="s">
        <v>3119</v>
      </c>
      <c r="D463" s="193" t="s">
        <v>4136</v>
      </c>
    </row>
    <row r="464">
      <c r="A464" s="359">
        <v>46071.82305003473</v>
      </c>
      <c r="C464" s="193" t="s">
        <v>3119</v>
      </c>
      <c r="D464" s="193" t="s">
        <v>4112</v>
      </c>
    </row>
    <row r="465">
      <c r="A465" s="359">
        <v>46071.82413633102</v>
      </c>
      <c r="C465" s="193" t="s">
        <v>3119</v>
      </c>
      <c r="D465" s="193" t="s">
        <v>4137</v>
      </c>
    </row>
    <row r="466">
      <c r="A466" s="359">
        <v>46071.84403071759</v>
      </c>
      <c r="C466" s="193" t="s">
        <v>3119</v>
      </c>
      <c r="D466" s="193" t="s">
        <v>4138</v>
      </c>
    </row>
    <row r="467">
      <c r="A467" s="359">
        <v>46071.941409120365</v>
      </c>
      <c r="C467" s="193" t="s">
        <v>3119</v>
      </c>
      <c r="D467" s="193" t="s">
        <v>4139</v>
      </c>
    </row>
    <row r="468">
      <c r="A468" s="359">
        <v>46073.852267951384</v>
      </c>
      <c r="B468" s="193" t="s">
        <v>3097</v>
      </c>
      <c r="C468" s="193" t="s">
        <v>3119</v>
      </c>
      <c r="D468" s="193" t="s">
        <v>4140</v>
      </c>
    </row>
    <row r="469">
      <c r="A469" s="359">
        <v>46073.85521081019</v>
      </c>
      <c r="B469" s="193" t="s">
        <v>3097</v>
      </c>
      <c r="C469" s="193" t="s">
        <v>3418</v>
      </c>
      <c r="D469" s="193" t="s">
        <v>4145</v>
      </c>
    </row>
    <row r="470">
      <c r="A470" s="359">
        <v>46073.90907645834</v>
      </c>
      <c r="C470" s="193" t="s">
        <v>3119</v>
      </c>
      <c r="D470" s="193" t="s">
        <v>4149</v>
      </c>
    </row>
    <row r="471">
      <c r="A471" s="359">
        <v>46073.90914045139</v>
      </c>
      <c r="C471" s="193" t="s">
        <v>3119</v>
      </c>
      <c r="D471" s="193" t="s">
        <v>4149</v>
      </c>
    </row>
    <row r="472">
      <c r="A472" s="359">
        <v>46073.909642025465</v>
      </c>
      <c r="C472" s="193" t="s">
        <v>3119</v>
      </c>
      <c r="D472" s="193" t="s">
        <v>4154</v>
      </c>
    </row>
    <row r="473">
      <c r="A473" s="359">
        <v>46073.91781082176</v>
      </c>
      <c r="B473" s="193" t="s">
        <v>3097</v>
      </c>
      <c r="C473" s="193" t="s">
        <v>3418</v>
      </c>
      <c r="D473" s="193" t="s">
        <v>4155</v>
      </c>
    </row>
    <row r="474">
      <c r="A474" s="359">
        <v>46073.93169791666</v>
      </c>
      <c r="C474" s="193" t="s">
        <v>3119</v>
      </c>
      <c r="D474" s="193" t="s">
        <v>4156</v>
      </c>
    </row>
    <row r="475">
      <c r="A475" s="359">
        <v>46076.82574168981</v>
      </c>
      <c r="C475" s="193" t="s">
        <v>3119</v>
      </c>
      <c r="D475" s="193" t="s">
        <v>4158</v>
      </c>
    </row>
    <row r="476">
      <c r="A476" s="359">
        <v>46076.831718587964</v>
      </c>
      <c r="C476" s="193" t="s">
        <v>3119</v>
      </c>
      <c r="D476" s="193" t="s">
        <v>4158</v>
      </c>
    </row>
    <row r="477">
      <c r="A477" s="359">
        <v>46076.83698706019</v>
      </c>
      <c r="C477" s="193" t="s">
        <v>3119</v>
      </c>
      <c r="D477" s="193" t="s">
        <v>4138</v>
      </c>
    </row>
    <row r="478">
      <c r="A478" s="359">
        <v>46076.839741724536</v>
      </c>
      <c r="C478" s="193" t="s">
        <v>3119</v>
      </c>
      <c r="D478" s="193" t="s">
        <v>4161</v>
      </c>
    </row>
    <row r="479">
      <c r="A479" s="359">
        <v>46076.84648040509</v>
      </c>
      <c r="C479" s="193" t="s">
        <v>3119</v>
      </c>
      <c r="D479" s="193" t="s">
        <v>4162</v>
      </c>
    </row>
    <row r="480">
      <c r="A480" s="359">
        <v>46076.84665166667</v>
      </c>
      <c r="C480" s="193" t="s">
        <v>3119</v>
      </c>
      <c r="D480" s="193" t="s">
        <v>4162</v>
      </c>
    </row>
    <row r="481">
      <c r="A481" s="359">
        <v>46076.87974380787</v>
      </c>
      <c r="C481" s="193" t="s">
        <v>3119</v>
      </c>
      <c r="D481" s="193" t="s">
        <v>4138</v>
      </c>
    </row>
    <row r="482">
      <c r="A482" s="359">
        <v>46077.907184537034</v>
      </c>
      <c r="C482" s="193" t="s">
        <v>3119</v>
      </c>
      <c r="D482" s="193" t="s">
        <v>4161</v>
      </c>
    </row>
    <row r="483">
      <c r="A483" s="359">
        <v>46077.9211403588</v>
      </c>
      <c r="C483" s="193" t="s">
        <v>3119</v>
      </c>
      <c r="D483" s="193" t="s">
        <v>4161</v>
      </c>
    </row>
    <row r="484">
      <c r="A484" s="359">
        <v>46077.94029157408</v>
      </c>
      <c r="C484" s="193" t="s">
        <v>3119</v>
      </c>
      <c r="D484" s="193" t="s">
        <v>4140</v>
      </c>
    </row>
    <row r="485">
      <c r="A485" s="359">
        <v>46078.73154252315</v>
      </c>
      <c r="C485" s="193" t="s">
        <v>3119</v>
      </c>
      <c r="D485" s="193" t="s">
        <v>4004</v>
      </c>
    </row>
    <row r="486">
      <c r="A486" s="359">
        <v>46078.73244121528</v>
      </c>
      <c r="C486" s="193" t="s">
        <v>3119</v>
      </c>
      <c r="D486" s="193" t="s">
        <v>3995</v>
      </c>
    </row>
    <row r="487">
      <c r="A487" s="359">
        <v>46078.733232638886</v>
      </c>
      <c r="C487" s="193" t="s">
        <v>3119</v>
      </c>
      <c r="D487" s="193" t="s">
        <v>4003</v>
      </c>
    </row>
    <row r="488">
      <c r="A488" s="359">
        <v>46078.73413660879</v>
      </c>
      <c r="C488" s="193" t="s">
        <v>3119</v>
      </c>
      <c r="D488" s="193" t="s">
        <v>3999</v>
      </c>
    </row>
    <row r="489">
      <c r="A489" s="359">
        <v>46078.73416072917</v>
      </c>
      <c r="C489" s="193" t="s">
        <v>3119</v>
      </c>
      <c r="D489" s="193" t="s">
        <v>3999</v>
      </c>
    </row>
    <row r="490">
      <c r="A490" s="359">
        <v>46078.74328296296</v>
      </c>
      <c r="C490" s="193" t="s">
        <v>3119</v>
      </c>
      <c r="D490" s="193" t="s">
        <v>4002</v>
      </c>
    </row>
    <row r="491">
      <c r="A491" s="359">
        <v>46078.75372195602</v>
      </c>
      <c r="C491" s="193" t="s">
        <v>3119</v>
      </c>
      <c r="D491" s="193" t="s">
        <v>4006</v>
      </c>
    </row>
    <row r="492">
      <c r="A492" s="359">
        <v>46078.78834246528</v>
      </c>
      <c r="C492" s="193" t="s">
        <v>3119</v>
      </c>
      <c r="D492" s="193" t="s">
        <v>4106</v>
      </c>
    </row>
    <row r="493">
      <c r="A493" s="359">
        <v>46078.78834745371</v>
      </c>
      <c r="C493" s="193" t="s">
        <v>3119</v>
      </c>
      <c r="D493" s="193" t="s">
        <v>4177</v>
      </c>
    </row>
    <row r="494">
      <c r="A494" s="359">
        <v>46078.78835981482</v>
      </c>
      <c r="C494" s="193" t="s">
        <v>3119</v>
      </c>
      <c r="D494" s="193" t="s">
        <v>4106</v>
      </c>
    </row>
    <row r="495">
      <c r="A495" s="359">
        <v>46078.79069430556</v>
      </c>
      <c r="C495" s="193" t="s">
        <v>3119</v>
      </c>
      <c r="D495" s="193" t="s">
        <v>4106</v>
      </c>
    </row>
    <row r="496">
      <c r="A496" s="359">
        <v>46078.79914457176</v>
      </c>
      <c r="C496" s="193" t="s">
        <v>3119</v>
      </c>
      <c r="D496" s="193" t="s">
        <v>4003</v>
      </c>
    </row>
    <row r="497">
      <c r="A497" s="359">
        <v>46078.80485900463</v>
      </c>
      <c r="C497" s="193" t="s">
        <v>3119</v>
      </c>
      <c r="D497" s="193" t="s">
        <v>4188</v>
      </c>
    </row>
    <row r="498">
      <c r="A498" s="359">
        <v>46078.80497143518</v>
      </c>
      <c r="C498" s="193" t="s">
        <v>3119</v>
      </c>
      <c r="D498" s="193" t="s">
        <v>3995</v>
      </c>
    </row>
    <row r="499">
      <c r="A499" s="359">
        <v>46078.80561232639</v>
      </c>
      <c r="C499" s="193" t="s">
        <v>3119</v>
      </c>
      <c r="D499" s="193" t="s">
        <v>4177</v>
      </c>
    </row>
    <row r="500">
      <c r="A500" s="359">
        <v>46078.809252210645</v>
      </c>
      <c r="C500" s="193" t="s">
        <v>3119</v>
      </c>
      <c r="D500" s="193" t="s">
        <v>4191</v>
      </c>
    </row>
    <row r="501">
      <c r="A501" s="359">
        <v>46078.80933244213</v>
      </c>
      <c r="C501" s="193" t="s">
        <v>3119</v>
      </c>
      <c r="D501" s="193" t="s">
        <v>4002</v>
      </c>
    </row>
    <row r="502">
      <c r="A502" s="359">
        <v>46078.835915034724</v>
      </c>
      <c r="C502" s="193" t="s">
        <v>3119</v>
      </c>
      <c r="D502" s="193" t="s">
        <v>4057</v>
      </c>
    </row>
    <row r="503">
      <c r="A503" s="359">
        <v>46078.84277173611</v>
      </c>
      <c r="C503" s="193" t="s">
        <v>3119</v>
      </c>
      <c r="D503" s="193" t="s">
        <v>4007</v>
      </c>
    </row>
    <row r="504">
      <c r="A504" s="359">
        <v>46078.852607685185</v>
      </c>
      <c r="B504" s="193" t="s">
        <v>3097</v>
      </c>
      <c r="C504" s="193" t="s">
        <v>3119</v>
      </c>
      <c r="D504" s="193" t="s">
        <v>4198</v>
      </c>
    </row>
    <row r="505">
      <c r="A505" s="359">
        <v>46078.86790469907</v>
      </c>
      <c r="C505" s="193" t="s">
        <v>3119</v>
      </c>
      <c r="D505" s="193" t="s">
        <v>4127</v>
      </c>
    </row>
    <row r="506">
      <c r="A506" s="359">
        <v>46078.903775150466</v>
      </c>
      <c r="C506" s="193" t="s">
        <v>3119</v>
      </c>
      <c r="D506" s="193" t="s">
        <v>4156</v>
      </c>
    </row>
    <row r="507">
      <c r="A507" s="359">
        <v>46078.90704127315</v>
      </c>
      <c r="B507" s="193" t="s">
        <v>3097</v>
      </c>
      <c r="C507" s="193" t="s">
        <v>3418</v>
      </c>
      <c r="D507" s="193" t="s">
        <v>4200</v>
      </c>
    </row>
    <row r="508">
      <c r="A508" s="359">
        <v>46078.907122696764</v>
      </c>
      <c r="B508" s="193" t="s">
        <v>3097</v>
      </c>
      <c r="C508" s="193" t="s">
        <v>3418</v>
      </c>
      <c r="D508" s="193" t="s">
        <v>4204</v>
      </c>
    </row>
    <row r="509">
      <c r="A509" s="359">
        <v>46078.90923846065</v>
      </c>
      <c r="B509" s="193" t="s">
        <v>3097</v>
      </c>
      <c r="C509" s="193" t="s">
        <v>3091</v>
      </c>
      <c r="D509" s="193" t="s">
        <v>4209</v>
      </c>
    </row>
    <row r="510">
      <c r="A510" s="359">
        <v>46078.90931358797</v>
      </c>
      <c r="B510" s="193" t="s">
        <v>3097</v>
      </c>
      <c r="C510" s="193" t="s">
        <v>3091</v>
      </c>
      <c r="D510" s="193" t="s">
        <v>4211</v>
      </c>
    </row>
    <row r="511">
      <c r="A511" s="359">
        <v>46078.95922284722</v>
      </c>
      <c r="C511" s="193" t="s">
        <v>3119</v>
      </c>
      <c r="D511" s="193" t="s">
        <v>3968</v>
      </c>
    </row>
    <row r="512">
      <c r="A512" s="359">
        <v>46078.9593846875</v>
      </c>
      <c r="C512" s="193" t="s">
        <v>3119</v>
      </c>
      <c r="D512" s="193" t="s">
        <v>4057</v>
      </c>
    </row>
    <row r="513">
      <c r="A513" s="359">
        <v>46078.959894837964</v>
      </c>
      <c r="C513" s="193" t="s">
        <v>3119</v>
      </c>
      <c r="D513" s="193" t="s">
        <v>4019</v>
      </c>
    </row>
    <row r="514">
      <c r="A514" s="359">
        <v>46078.96326053241</v>
      </c>
      <c r="C514" s="193" t="s">
        <v>3119</v>
      </c>
      <c r="D514" s="193" t="s">
        <v>4219</v>
      </c>
    </row>
    <row r="515">
      <c r="A515" s="359">
        <v>46079.75859471065</v>
      </c>
      <c r="C515" s="193" t="s">
        <v>3119</v>
      </c>
      <c r="D515" s="193" t="s">
        <v>4129</v>
      </c>
    </row>
    <row r="516">
      <c r="A516" s="359">
        <v>46079.77693420139</v>
      </c>
      <c r="C516" s="193" t="s">
        <v>3119</v>
      </c>
      <c r="D516" s="193" t="s">
        <v>4113</v>
      </c>
    </row>
    <row r="517">
      <c r="A517" s="359">
        <v>46079.77717149306</v>
      </c>
      <c r="C517" s="193" t="s">
        <v>3119</v>
      </c>
      <c r="D517" s="193" t="s">
        <v>4139</v>
      </c>
    </row>
    <row r="518">
      <c r="A518" s="359">
        <v>46079.830939837964</v>
      </c>
      <c r="B518" s="193" t="s">
        <v>3097</v>
      </c>
      <c r="C518" s="193" t="s">
        <v>3119</v>
      </c>
      <c r="D518" s="193" t="s">
        <v>4020</v>
      </c>
    </row>
    <row r="519">
      <c r="A519" s="359">
        <v>46079.83143740741</v>
      </c>
      <c r="B519" s="193" t="s">
        <v>3097</v>
      </c>
      <c r="C519" s="193" t="s">
        <v>3119</v>
      </c>
      <c r="D519" s="193" t="s">
        <v>4020</v>
      </c>
    </row>
    <row r="520">
      <c r="A520" s="359">
        <v>46079.92116457176</v>
      </c>
      <c r="C520" s="193" t="s">
        <v>3119</v>
      </c>
      <c r="D520" s="193" t="s">
        <v>4154</v>
      </c>
    </row>
    <row r="521">
      <c r="A521" s="359">
        <v>46079.97518288194</v>
      </c>
      <c r="B521" s="193" t="s">
        <v>3097</v>
      </c>
      <c r="C521" s="193" t="s">
        <v>3091</v>
      </c>
      <c r="D521" s="193" t="s">
        <v>4236</v>
      </c>
    </row>
    <row r="522">
      <c r="A522" s="359">
        <v>46080.79511854167</v>
      </c>
      <c r="C522" s="193" t="s">
        <v>3119</v>
      </c>
      <c r="D522" s="193" t="s">
        <v>4239</v>
      </c>
    </row>
    <row r="523">
      <c r="A523" s="359">
        <v>46080.9398894676</v>
      </c>
      <c r="C523" s="193" t="s">
        <v>3119</v>
      </c>
      <c r="D523" s="193" t="s">
        <v>4026</v>
      </c>
    </row>
    <row r="524">
      <c r="A524" s="359">
        <v>46080.99404737269</v>
      </c>
      <c r="B524" s="193" t="s">
        <v>3097</v>
      </c>
      <c r="C524" s="193" t="s">
        <v>3119</v>
      </c>
      <c r="D524" s="193" t="s">
        <v>4241</v>
      </c>
    </row>
    <row r="525">
      <c r="A525" s="359">
        <v>46080.99601564815</v>
      </c>
      <c r="B525" s="193" t="s">
        <v>3097</v>
      </c>
      <c r="C525" s="193" t="s">
        <v>3091</v>
      </c>
      <c r="D525" s="193" t="s">
        <v>4244</v>
      </c>
    </row>
    <row r="526">
      <c r="A526" s="359">
        <v>46083.8811625463</v>
      </c>
      <c r="C526" s="193" t="s">
        <v>3119</v>
      </c>
      <c r="D526" s="193" t="s">
        <v>4248</v>
      </c>
    </row>
    <row r="527">
      <c r="A527" s="359">
        <v>46083.88140824074</v>
      </c>
      <c r="C527" s="193" t="s">
        <v>3119</v>
      </c>
      <c r="D527" s="193" t="s">
        <v>4137</v>
      </c>
    </row>
    <row r="528">
      <c r="A528" s="359">
        <v>46083.8815777662</v>
      </c>
      <c r="C528" s="193" t="s">
        <v>3119</v>
      </c>
      <c r="D528" s="193" t="s">
        <v>4149</v>
      </c>
    </row>
    <row r="529">
      <c r="A529" s="359">
        <v>46083.933407476856</v>
      </c>
      <c r="C529" s="193" t="s">
        <v>3119</v>
      </c>
      <c r="D529" s="193" t="s">
        <v>4251</v>
      </c>
    </row>
    <row r="530">
      <c r="A530" s="359">
        <v>46083.97528570602</v>
      </c>
      <c r="B530" s="193" t="s">
        <v>3097</v>
      </c>
      <c r="C530" s="193" t="s">
        <v>3091</v>
      </c>
      <c r="D530" s="193" t="s">
        <v>4254</v>
      </c>
    </row>
    <row r="531">
      <c r="A531" s="359">
        <v>46084.01589552083</v>
      </c>
      <c r="C531" s="193" t="s">
        <v>3119</v>
      </c>
      <c r="D531" s="193" t="s">
        <v>4257</v>
      </c>
    </row>
    <row r="532">
      <c r="A532" s="359">
        <v>46084.69323643518</v>
      </c>
      <c r="C532" s="193" t="s">
        <v>3119</v>
      </c>
      <c r="D532" s="193" t="s">
        <v>4260</v>
      </c>
    </row>
    <row r="533">
      <c r="A533" s="359">
        <v>46084.6944009375</v>
      </c>
      <c r="C533" s="193" t="s">
        <v>3119</v>
      </c>
      <c r="D533" s="193" t="s">
        <v>4261</v>
      </c>
    </row>
    <row r="534">
      <c r="A534" s="359">
        <v>46084.69448096065</v>
      </c>
      <c r="C534" s="193" t="s">
        <v>3119</v>
      </c>
      <c r="D534" s="193" t="s">
        <v>4261</v>
      </c>
    </row>
    <row r="535">
      <c r="A535" s="359">
        <v>46084.70531804398</v>
      </c>
      <c r="C535" s="193" t="s">
        <v>3119</v>
      </c>
      <c r="D535" s="193" t="s">
        <v>4263</v>
      </c>
    </row>
    <row r="536">
      <c r="A536" s="359">
        <v>46084.706004733795</v>
      </c>
      <c r="C536" s="193" t="s">
        <v>3119</v>
      </c>
      <c r="D536" s="193" t="s">
        <v>4263</v>
      </c>
    </row>
    <row r="537">
      <c r="A537" s="359">
        <v>46084.70614700232</v>
      </c>
      <c r="C537" s="193" t="s">
        <v>3119</v>
      </c>
      <c r="D537" s="193" t="s">
        <v>4271</v>
      </c>
    </row>
    <row r="538">
      <c r="A538" s="359">
        <v>46084.70702664352</v>
      </c>
      <c r="C538" s="193" t="s">
        <v>3119</v>
      </c>
      <c r="D538" s="193" t="s">
        <v>4106</v>
      </c>
    </row>
    <row r="539">
      <c r="A539" s="359">
        <v>46084.71229607639</v>
      </c>
      <c r="C539" s="193" t="s">
        <v>3119</v>
      </c>
      <c r="D539" s="193" t="s">
        <v>4057</v>
      </c>
    </row>
    <row r="540">
      <c r="A540" s="359">
        <v>46084.81468415509</v>
      </c>
      <c r="B540" s="193" t="s">
        <v>3097</v>
      </c>
      <c r="C540" s="193" t="s">
        <v>3119</v>
      </c>
      <c r="D540" s="193" t="s">
        <v>4281</v>
      </c>
    </row>
    <row r="541">
      <c r="A541" s="359">
        <v>46084.81725414352</v>
      </c>
      <c r="B541" s="193" t="s">
        <v>3097</v>
      </c>
      <c r="C541" s="193" t="s">
        <v>3119</v>
      </c>
      <c r="D541" s="193" t="s">
        <v>4177</v>
      </c>
    </row>
    <row r="542">
      <c r="A542" s="359">
        <v>46084.817328125</v>
      </c>
      <c r="B542" s="193" t="s">
        <v>3097</v>
      </c>
      <c r="C542" s="193" t="s">
        <v>3119</v>
      </c>
      <c r="D542" s="193" t="s">
        <v>4177</v>
      </c>
    </row>
    <row r="543">
      <c r="A543" s="359">
        <v>46084.81872953704</v>
      </c>
      <c r="B543" s="193" t="s">
        <v>3097</v>
      </c>
      <c r="C543" s="193" t="s">
        <v>3119</v>
      </c>
      <c r="D543" s="193" t="s">
        <v>4290</v>
      </c>
    </row>
    <row r="544">
      <c r="A544" s="359">
        <v>46084.81895939815</v>
      </c>
      <c r="B544" s="193" t="s">
        <v>3097</v>
      </c>
      <c r="C544" s="193" t="s">
        <v>3091</v>
      </c>
      <c r="D544" s="193" t="s">
        <v>4294</v>
      </c>
    </row>
    <row r="545">
      <c r="A545" s="359">
        <v>46084.819583125005</v>
      </c>
      <c r="B545" s="193" t="s">
        <v>3097</v>
      </c>
      <c r="C545" s="193" t="s">
        <v>3119</v>
      </c>
      <c r="D545" s="193" t="s">
        <v>4290</v>
      </c>
    </row>
    <row r="546">
      <c r="A546" s="359">
        <v>46084.82207085648</v>
      </c>
      <c r="B546" s="193" t="s">
        <v>3097</v>
      </c>
      <c r="C546" s="193" t="s">
        <v>3119</v>
      </c>
      <c r="D546" s="193" t="s">
        <v>4018</v>
      </c>
    </row>
    <row r="547">
      <c r="A547" s="359">
        <v>46084.82475327546</v>
      </c>
      <c r="B547" s="193" t="s">
        <v>3097</v>
      </c>
      <c r="C547" s="193" t="s">
        <v>3119</v>
      </c>
      <c r="D547" s="193" t="s">
        <v>4009</v>
      </c>
    </row>
    <row r="548">
      <c r="A548" s="359">
        <v>46084.82700075231</v>
      </c>
      <c r="B548" s="193" t="s">
        <v>3097</v>
      </c>
      <c r="C548" s="193" t="s">
        <v>3119</v>
      </c>
      <c r="D548" s="193" t="s">
        <v>4281</v>
      </c>
    </row>
    <row r="549">
      <c r="A549" s="359">
        <v>46084.82927716435</v>
      </c>
      <c r="B549" s="193" t="s">
        <v>3097</v>
      </c>
      <c r="C549" s="193" t="s">
        <v>3119</v>
      </c>
      <c r="D549" s="193" t="s">
        <v>4306</v>
      </c>
    </row>
    <row r="550">
      <c r="A550" s="359">
        <v>46084.82937186342</v>
      </c>
      <c r="B550" s="193" t="s">
        <v>3097</v>
      </c>
      <c r="C550" s="193" t="s">
        <v>3119</v>
      </c>
      <c r="D550" s="193" t="s">
        <v>4306</v>
      </c>
    </row>
    <row r="551">
      <c r="A551" s="359">
        <v>46084.829428171295</v>
      </c>
      <c r="B551" s="193" t="s">
        <v>3097</v>
      </c>
      <c r="C551" s="193" t="s">
        <v>3091</v>
      </c>
      <c r="D551" s="193" t="s">
        <v>4312</v>
      </c>
    </row>
    <row r="552">
      <c r="A552" s="359">
        <v>46084.82950356482</v>
      </c>
      <c r="B552" s="193" t="s">
        <v>3097</v>
      </c>
      <c r="C552" s="193" t="s">
        <v>3091</v>
      </c>
      <c r="D552" s="193" t="s">
        <v>4313</v>
      </c>
    </row>
    <row r="553">
      <c r="A553" s="359">
        <v>46084.82970324074</v>
      </c>
      <c r="B553" s="193" t="s">
        <v>3097</v>
      </c>
      <c r="C553" s="193" t="s">
        <v>3119</v>
      </c>
      <c r="D553" s="193" t="s">
        <v>4318</v>
      </c>
    </row>
    <row r="554">
      <c r="A554" s="359">
        <v>46084.829806678244</v>
      </c>
      <c r="B554" s="193" t="s">
        <v>3097</v>
      </c>
      <c r="C554" s="193" t="s">
        <v>3119</v>
      </c>
      <c r="D554" s="193" t="s">
        <v>4318</v>
      </c>
    </row>
    <row r="555">
      <c r="A555" s="359">
        <v>46084.83037027778</v>
      </c>
      <c r="B555" s="193" t="s">
        <v>3097</v>
      </c>
      <c r="C555" s="193" t="s">
        <v>3119</v>
      </c>
      <c r="D555" s="193" t="s">
        <v>4319</v>
      </c>
    </row>
    <row r="556">
      <c r="A556" s="359">
        <v>46084.83086957176</v>
      </c>
      <c r="B556" s="193" t="s">
        <v>3097</v>
      </c>
      <c r="C556" s="193" t="s">
        <v>3119</v>
      </c>
      <c r="D556" s="193" t="s">
        <v>4319</v>
      </c>
    </row>
    <row r="557">
      <c r="A557" s="359">
        <v>46084.83150849537</v>
      </c>
      <c r="B557" s="193" t="s">
        <v>3097</v>
      </c>
      <c r="C557" s="193" t="s">
        <v>3119</v>
      </c>
      <c r="D557" s="193" t="s">
        <v>4319</v>
      </c>
    </row>
    <row r="558">
      <c r="A558" s="359">
        <v>46084.836200949074</v>
      </c>
      <c r="B558" s="193" t="s">
        <v>3097</v>
      </c>
      <c r="C558" s="193" t="s">
        <v>3119</v>
      </c>
      <c r="D558" s="193" t="s">
        <v>4319</v>
      </c>
    </row>
    <row r="559">
      <c r="A559" s="359">
        <v>46084.83979731481</v>
      </c>
      <c r="B559" s="193" t="s">
        <v>3097</v>
      </c>
      <c r="C559" s="193" t="s">
        <v>3091</v>
      </c>
      <c r="D559" s="193" t="s">
        <v>4322</v>
      </c>
    </row>
    <row r="560">
      <c r="A560" s="359">
        <v>46084.83999085648</v>
      </c>
      <c r="B560" s="193" t="s">
        <v>3097</v>
      </c>
      <c r="C560" s="193" t="s">
        <v>3119</v>
      </c>
      <c r="D560" s="193" t="s">
        <v>4327</v>
      </c>
    </row>
    <row r="561">
      <c r="A561" s="359">
        <v>46084.84333034723</v>
      </c>
      <c r="B561" s="193" t="s">
        <v>3097</v>
      </c>
      <c r="C561" s="193" t="s">
        <v>3091</v>
      </c>
      <c r="D561" s="193" t="s">
        <v>4330</v>
      </c>
    </row>
    <row r="562">
      <c r="A562" s="359">
        <v>46084.883918217594</v>
      </c>
      <c r="B562" s="193" t="s">
        <v>3097</v>
      </c>
      <c r="C562" s="193" t="s">
        <v>3119</v>
      </c>
      <c r="D562" s="193" t="s">
        <v>4331</v>
      </c>
    </row>
    <row r="563">
      <c r="A563" s="359">
        <v>46084.88428967593</v>
      </c>
      <c r="B563" s="193" t="s">
        <v>3097</v>
      </c>
      <c r="C563" s="193" t="s">
        <v>3119</v>
      </c>
      <c r="D563" s="193" t="s">
        <v>4332</v>
      </c>
    </row>
    <row r="564">
      <c r="A564" s="359">
        <v>46084.88458413194</v>
      </c>
      <c r="B564" s="193" t="s">
        <v>3097</v>
      </c>
      <c r="C564" s="193" t="s">
        <v>3119</v>
      </c>
      <c r="D564" s="193" t="s">
        <v>4334</v>
      </c>
    </row>
    <row r="565">
      <c r="A565" s="359">
        <v>46084.885718391204</v>
      </c>
      <c r="B565" s="193" t="s">
        <v>3097</v>
      </c>
      <c r="C565" s="193" t="s">
        <v>3119</v>
      </c>
      <c r="D565" s="193" t="s">
        <v>4334</v>
      </c>
    </row>
    <row r="566">
      <c r="A566" s="359">
        <v>46084.89077209491</v>
      </c>
      <c r="C566" s="193" t="s">
        <v>3119</v>
      </c>
      <c r="D566" s="193" t="s">
        <v>4136</v>
      </c>
    </row>
    <row r="567">
      <c r="A567" s="359">
        <v>46084.890934930554</v>
      </c>
      <c r="C567" s="193" t="s">
        <v>3119</v>
      </c>
      <c r="D567" s="193" t="s">
        <v>4342</v>
      </c>
    </row>
    <row r="568">
      <c r="A568" s="359">
        <v>46084.89114902778</v>
      </c>
      <c r="C568" s="193" t="s">
        <v>3119</v>
      </c>
      <c r="D568" s="193" t="s">
        <v>4136</v>
      </c>
    </row>
    <row r="569">
      <c r="A569" s="359">
        <v>46084.89159998843</v>
      </c>
      <c r="C569" s="193" t="s">
        <v>3119</v>
      </c>
      <c r="D569" s="193" t="s">
        <v>4136</v>
      </c>
    </row>
    <row r="570">
      <c r="A570" s="359">
        <v>46084.91062775463</v>
      </c>
      <c r="B570" s="193" t="s">
        <v>3097</v>
      </c>
      <c r="C570" s="193" t="s">
        <v>3119</v>
      </c>
      <c r="D570" s="193" t="s">
        <v>4349</v>
      </c>
    </row>
    <row r="571">
      <c r="A571" s="359">
        <v>46084.91269378472</v>
      </c>
      <c r="B571" s="193" t="s">
        <v>3097</v>
      </c>
      <c r="C571" s="193" t="s">
        <v>3091</v>
      </c>
      <c r="D571" s="193" t="s">
        <v>4350</v>
      </c>
    </row>
    <row r="572">
      <c r="A572" s="359">
        <v>46084.91658451389</v>
      </c>
      <c r="B572" s="193" t="s">
        <v>3097</v>
      </c>
      <c r="C572" s="193" t="s">
        <v>3119</v>
      </c>
      <c r="D572" s="193" t="s">
        <v>4356</v>
      </c>
    </row>
    <row r="573">
      <c r="A573" s="359">
        <v>46084.917240891205</v>
      </c>
      <c r="B573" s="193" t="s">
        <v>3097</v>
      </c>
      <c r="C573" s="193" t="s">
        <v>3119</v>
      </c>
      <c r="D573" s="193" t="s">
        <v>4356</v>
      </c>
    </row>
    <row r="574">
      <c r="A574" s="359">
        <v>46084.91882200231</v>
      </c>
      <c r="B574" s="193" t="s">
        <v>3097</v>
      </c>
      <c r="C574" s="193" t="s">
        <v>3119</v>
      </c>
      <c r="D574" s="193" t="s">
        <v>4094</v>
      </c>
    </row>
    <row r="575">
      <c r="A575" s="359">
        <v>46084.91920483796</v>
      </c>
      <c r="B575" s="193" t="s">
        <v>3097</v>
      </c>
      <c r="C575" s="193" t="s">
        <v>3119</v>
      </c>
      <c r="D575" s="193" t="s">
        <v>4362</v>
      </c>
    </row>
    <row r="576">
      <c r="A576" s="359">
        <v>46084.91961747685</v>
      </c>
      <c r="B576" s="193" t="s">
        <v>3097</v>
      </c>
      <c r="C576" s="193" t="s">
        <v>3119</v>
      </c>
      <c r="D576" s="193" t="s">
        <v>4064</v>
      </c>
    </row>
    <row r="577">
      <c r="A577" s="359">
        <v>46084.9198777662</v>
      </c>
      <c r="B577" s="193" t="s">
        <v>3097</v>
      </c>
      <c r="C577" s="193" t="s">
        <v>3119</v>
      </c>
      <c r="D577" s="193" t="s">
        <v>4365</v>
      </c>
    </row>
    <row r="578">
      <c r="A578" s="359">
        <v>46084.92313318287</v>
      </c>
      <c r="B578" s="193" t="s">
        <v>3097</v>
      </c>
      <c r="C578" s="193" t="s">
        <v>3091</v>
      </c>
      <c r="D578" s="193" t="s">
        <v>4366</v>
      </c>
    </row>
    <row r="579">
      <c r="A579" s="359">
        <v>46084.923198159726</v>
      </c>
      <c r="B579" s="193" t="s">
        <v>3097</v>
      </c>
      <c r="C579" s="193" t="s">
        <v>3091</v>
      </c>
      <c r="D579" s="193" t="s">
        <v>4369</v>
      </c>
    </row>
    <row r="580">
      <c r="A580" s="359">
        <v>46084.92329975695</v>
      </c>
      <c r="B580" s="193" t="s">
        <v>3097</v>
      </c>
      <c r="C580" s="193" t="s">
        <v>3091</v>
      </c>
      <c r="D580" s="193" t="s">
        <v>4370</v>
      </c>
    </row>
    <row r="581">
      <c r="A581" s="359">
        <v>46084.923373356476</v>
      </c>
      <c r="B581" s="193" t="s">
        <v>3097</v>
      </c>
      <c r="C581" s="193" t="s">
        <v>3091</v>
      </c>
      <c r="D581" s="193" t="s">
        <v>4371</v>
      </c>
    </row>
    <row r="582">
      <c r="A582" s="359">
        <v>46084.923421354164</v>
      </c>
      <c r="B582" s="193" t="s">
        <v>3097</v>
      </c>
      <c r="C582" s="193" t="s">
        <v>3091</v>
      </c>
      <c r="D582" s="193" t="s">
        <v>4375</v>
      </c>
    </row>
    <row r="583">
      <c r="A583" s="359">
        <v>46084.92348590278</v>
      </c>
      <c r="B583" s="193" t="s">
        <v>3097</v>
      </c>
      <c r="C583" s="193" t="s">
        <v>3091</v>
      </c>
      <c r="D583" s="193" t="s">
        <v>4379</v>
      </c>
    </row>
    <row r="584">
      <c r="A584" s="359">
        <v>46084.92355762731</v>
      </c>
      <c r="B584" s="193" t="s">
        <v>3097</v>
      </c>
      <c r="C584" s="193" t="s">
        <v>3091</v>
      </c>
      <c r="D584" s="193" t="s">
        <v>4381</v>
      </c>
    </row>
    <row r="585">
      <c r="A585" s="359">
        <v>46084.92362731481</v>
      </c>
      <c r="B585" s="193" t="s">
        <v>3097</v>
      </c>
      <c r="C585" s="193" t="s">
        <v>3091</v>
      </c>
      <c r="D585" s="193" t="s">
        <v>4386</v>
      </c>
    </row>
    <row r="586">
      <c r="A586" s="359">
        <v>46084.92368118056</v>
      </c>
      <c r="B586" s="193" t="s">
        <v>3097</v>
      </c>
      <c r="C586" s="193" t="s">
        <v>3091</v>
      </c>
      <c r="D586" s="193" t="s">
        <v>4389</v>
      </c>
    </row>
    <row r="587">
      <c r="A587" s="359">
        <v>46084.92376247685</v>
      </c>
      <c r="B587" s="193" t="s">
        <v>3097</v>
      </c>
      <c r="C587" s="193" t="s">
        <v>3091</v>
      </c>
      <c r="D587" s="193" t="s">
        <v>4392</v>
      </c>
    </row>
    <row r="588">
      <c r="A588" s="359">
        <v>46084.92381528935</v>
      </c>
      <c r="B588" s="193" t="s">
        <v>3097</v>
      </c>
      <c r="C588" s="193" t="s">
        <v>3091</v>
      </c>
      <c r="D588" s="193" t="s">
        <v>4393</v>
      </c>
    </row>
    <row r="589">
      <c r="A589" s="359">
        <v>46084.92388210648</v>
      </c>
      <c r="B589" s="193" t="s">
        <v>3097</v>
      </c>
      <c r="C589" s="193" t="s">
        <v>3091</v>
      </c>
      <c r="D589" s="193" t="s">
        <v>4396</v>
      </c>
    </row>
    <row r="590">
      <c r="A590" s="359">
        <v>46084.926606608795</v>
      </c>
      <c r="B590" s="193" t="s">
        <v>3097</v>
      </c>
      <c r="C590" s="193" t="s">
        <v>3091</v>
      </c>
      <c r="D590" s="193" t="s">
        <v>4398</v>
      </c>
    </row>
    <row r="591">
      <c r="A591" s="359">
        <v>46084.92666013889</v>
      </c>
      <c r="B591" s="193" t="s">
        <v>3097</v>
      </c>
      <c r="C591" s="193" t="s">
        <v>3091</v>
      </c>
      <c r="D591" s="193" t="s">
        <v>4399</v>
      </c>
    </row>
    <row r="592">
      <c r="A592" s="359">
        <v>46084.92787622685</v>
      </c>
      <c r="B592" s="193" t="s">
        <v>3097</v>
      </c>
      <c r="C592" s="193" t="s">
        <v>3418</v>
      </c>
      <c r="D592" s="193" t="s">
        <v>4407</v>
      </c>
    </row>
    <row r="593">
      <c r="A593" s="359">
        <v>46084.92791694445</v>
      </c>
      <c r="B593" s="193" t="s">
        <v>3097</v>
      </c>
      <c r="C593" s="193" t="s">
        <v>3418</v>
      </c>
      <c r="D593" s="193" t="s">
        <v>4413</v>
      </c>
    </row>
    <row r="594">
      <c r="A594" s="359">
        <v>46084.92795466435</v>
      </c>
      <c r="B594" s="193" t="s">
        <v>3097</v>
      </c>
      <c r="C594" s="193" t="s">
        <v>3418</v>
      </c>
      <c r="D594" s="193" t="s">
        <v>4414</v>
      </c>
    </row>
    <row r="595">
      <c r="A595" s="359">
        <v>46084.92799496528</v>
      </c>
      <c r="B595" s="193" t="s">
        <v>3097</v>
      </c>
      <c r="C595" s="193" t="s">
        <v>3418</v>
      </c>
      <c r="D595" s="193" t="s">
        <v>4417</v>
      </c>
    </row>
    <row r="596">
      <c r="A596" s="359">
        <v>46084.928053599535</v>
      </c>
      <c r="B596" s="193" t="s">
        <v>3097</v>
      </c>
      <c r="C596" s="193" t="s">
        <v>3418</v>
      </c>
      <c r="D596" s="193" t="s">
        <v>4422</v>
      </c>
    </row>
    <row r="597">
      <c r="A597" s="359">
        <v>46084.92808846065</v>
      </c>
      <c r="B597" s="193" t="s">
        <v>3097</v>
      </c>
      <c r="C597" s="193" t="s">
        <v>3418</v>
      </c>
      <c r="D597" s="193" t="s">
        <v>4426</v>
      </c>
    </row>
    <row r="598">
      <c r="A598" s="359">
        <v>46084.92812565972</v>
      </c>
      <c r="B598" s="193" t="s">
        <v>3097</v>
      </c>
      <c r="C598" s="193" t="s">
        <v>3418</v>
      </c>
      <c r="D598" s="193" t="s">
        <v>4428</v>
      </c>
    </row>
    <row r="599">
      <c r="A599" s="359">
        <v>46084.9281954051</v>
      </c>
      <c r="B599" s="193" t="s">
        <v>3097</v>
      </c>
      <c r="C599" s="193" t="s">
        <v>3418</v>
      </c>
      <c r="D599" s="193" t="s">
        <v>4430</v>
      </c>
    </row>
    <row r="600">
      <c r="A600" s="359">
        <v>46084.92823694444</v>
      </c>
      <c r="B600" s="193" t="s">
        <v>3097</v>
      </c>
      <c r="C600" s="193" t="s">
        <v>3418</v>
      </c>
      <c r="D600" s="193" t="s">
        <v>4431</v>
      </c>
    </row>
    <row r="601">
      <c r="A601" s="359">
        <v>46084.92828197917</v>
      </c>
      <c r="B601" s="193" t="s">
        <v>3097</v>
      </c>
      <c r="C601" s="193" t="s">
        <v>3418</v>
      </c>
      <c r="D601" s="193" t="s">
        <v>4435</v>
      </c>
    </row>
    <row r="602">
      <c r="A602" s="359">
        <v>46084.928338321755</v>
      </c>
      <c r="B602" s="193" t="s">
        <v>3097</v>
      </c>
      <c r="C602" s="193" t="s">
        <v>3418</v>
      </c>
      <c r="D602" s="193" t="s">
        <v>4439</v>
      </c>
    </row>
    <row r="603">
      <c r="A603" s="359">
        <v>46084.939098483796</v>
      </c>
      <c r="B603" s="193" t="s">
        <v>3097</v>
      </c>
      <c r="C603" s="193" t="s">
        <v>3119</v>
      </c>
      <c r="D603" s="193" t="s">
        <v>4046</v>
      </c>
    </row>
    <row r="604">
      <c r="A604" s="359">
        <v>46084.94082371528</v>
      </c>
      <c r="B604" s="193" t="s">
        <v>3097</v>
      </c>
      <c r="C604" s="193" t="s">
        <v>3119</v>
      </c>
      <c r="D604" s="193" t="s">
        <v>4046</v>
      </c>
    </row>
    <row r="605">
      <c r="A605" s="359">
        <v>46084.96240287037</v>
      </c>
      <c r="B605" s="193" t="s">
        <v>3097</v>
      </c>
      <c r="C605" s="193" t="s">
        <v>3119</v>
      </c>
      <c r="D605" s="193" t="s">
        <v>4440</v>
      </c>
    </row>
    <row r="606">
      <c r="A606" s="359">
        <v>46084.96479665509</v>
      </c>
      <c r="B606" s="193" t="s">
        <v>3097</v>
      </c>
      <c r="C606" s="193" t="s">
        <v>3091</v>
      </c>
      <c r="D606" s="193" t="s">
        <v>4444</v>
      </c>
    </row>
    <row r="607">
      <c r="A607" s="359">
        <v>46084.97118846065</v>
      </c>
      <c r="B607" s="193" t="s">
        <v>3097</v>
      </c>
      <c r="C607" s="193" t="s">
        <v>3119</v>
      </c>
      <c r="D607" s="193" t="s">
        <v>4449</v>
      </c>
    </row>
    <row r="608">
      <c r="A608" s="359">
        <v>46084.97233965278</v>
      </c>
      <c r="B608" s="193" t="s">
        <v>3097</v>
      </c>
      <c r="C608" s="193" t="s">
        <v>3119</v>
      </c>
      <c r="D608" s="193" t="s">
        <v>4449</v>
      </c>
    </row>
    <row r="609">
      <c r="A609" s="359">
        <v>46084.999793888885</v>
      </c>
      <c r="C609" s="193" t="s">
        <v>3119</v>
      </c>
      <c r="D609" s="193" t="s">
        <v>4038</v>
      </c>
    </row>
    <row r="610">
      <c r="A610" s="359">
        <v>46085.00727512731</v>
      </c>
      <c r="C610" s="193" t="s">
        <v>3119</v>
      </c>
      <c r="D610" s="193" t="s">
        <v>3979</v>
      </c>
    </row>
    <row r="611">
      <c r="A611" s="359">
        <v>46085.718665636574</v>
      </c>
      <c r="C611" s="193" t="s">
        <v>3119</v>
      </c>
      <c r="D611" s="193" t="s">
        <v>4031</v>
      </c>
    </row>
    <row r="612">
      <c r="A612" s="359">
        <v>46085.725211412035</v>
      </c>
      <c r="B612" s="193" t="s">
        <v>3097</v>
      </c>
      <c r="C612" s="193" t="s">
        <v>3091</v>
      </c>
      <c r="D612" s="193" t="s">
        <v>4454</v>
      </c>
    </row>
    <row r="613">
      <c r="A613" s="359">
        <v>46085.72869012732</v>
      </c>
      <c r="B613" s="193" t="s">
        <v>3097</v>
      </c>
      <c r="C613" s="193" t="s">
        <v>3091</v>
      </c>
      <c r="D613" s="193" t="s">
        <v>4456</v>
      </c>
    </row>
    <row r="614">
      <c r="A614" s="359">
        <v>46085.73053515046</v>
      </c>
      <c r="C614" s="193" t="s">
        <v>3119</v>
      </c>
      <c r="D614" s="193" t="s">
        <v>4458</v>
      </c>
    </row>
    <row r="615">
      <c r="A615" s="359">
        <v>46085.81350935185</v>
      </c>
      <c r="B615" s="193" t="s">
        <v>3097</v>
      </c>
      <c r="C615" s="193" t="s">
        <v>3418</v>
      </c>
      <c r="D615" s="193" t="s">
        <v>4459</v>
      </c>
    </row>
    <row r="616">
      <c r="A616" s="359">
        <v>46085.816569375005</v>
      </c>
      <c r="C616" s="193" t="s">
        <v>3119</v>
      </c>
      <c r="D616" s="193" t="s">
        <v>3940</v>
      </c>
    </row>
    <row r="617">
      <c r="A617" s="359">
        <v>46085.82430616899</v>
      </c>
      <c r="C617" s="193" t="s">
        <v>3119</v>
      </c>
      <c r="D617" s="193" t="s">
        <v>3940</v>
      </c>
    </row>
    <row r="618">
      <c r="A618" s="359">
        <v>46085.824455995375</v>
      </c>
      <c r="C618" s="193" t="s">
        <v>3119</v>
      </c>
      <c r="D618" s="193" t="s">
        <v>4127</v>
      </c>
    </row>
    <row r="619">
      <c r="A619" s="359">
        <v>46085.83635420139</v>
      </c>
      <c r="C619" s="193" t="s">
        <v>3119</v>
      </c>
      <c r="D619" s="193" t="s">
        <v>4466</v>
      </c>
    </row>
    <row r="620">
      <c r="A620" s="359">
        <v>46085.838618449074</v>
      </c>
      <c r="B620" s="193" t="s">
        <v>3097</v>
      </c>
      <c r="C620" s="193" t="s">
        <v>3119</v>
      </c>
      <c r="D620" s="193" t="s">
        <v>4470</v>
      </c>
    </row>
    <row r="621">
      <c r="A621" s="359">
        <v>46085.83882087963</v>
      </c>
      <c r="B621" s="193" t="s">
        <v>3097</v>
      </c>
      <c r="C621" s="193" t="s">
        <v>3119</v>
      </c>
      <c r="D621" s="193" t="s">
        <v>3821</v>
      </c>
    </row>
    <row r="622">
      <c r="A622" s="359">
        <v>46085.8396399537</v>
      </c>
      <c r="B622" s="193" t="s">
        <v>3097</v>
      </c>
      <c r="C622" s="193" t="s">
        <v>3119</v>
      </c>
      <c r="D622" s="193" t="s">
        <v>3821</v>
      </c>
    </row>
    <row r="623">
      <c r="A623" s="359">
        <v>46085.84526006944</v>
      </c>
      <c r="B623" s="193" t="s">
        <v>3097</v>
      </c>
      <c r="C623" s="193" t="s">
        <v>3119</v>
      </c>
      <c r="D623" s="193" t="s">
        <v>3821</v>
      </c>
    </row>
    <row r="624">
      <c r="A624" s="359">
        <v>46085.845280416666</v>
      </c>
      <c r="B624" s="193" t="s">
        <v>3097</v>
      </c>
      <c r="C624" s="193" t="s">
        <v>3119</v>
      </c>
      <c r="D624" s="193" t="s">
        <v>3821</v>
      </c>
    </row>
    <row r="625">
      <c r="A625" s="359">
        <v>46085.85097547453</v>
      </c>
      <c r="C625" s="193" t="s">
        <v>3119</v>
      </c>
      <c r="D625" s="193" t="s">
        <v>4481</v>
      </c>
    </row>
    <row r="626">
      <c r="A626" s="359">
        <v>46085.8511909838</v>
      </c>
      <c r="C626" s="193" t="s">
        <v>3119</v>
      </c>
      <c r="D626" s="193" t="s">
        <v>4481</v>
      </c>
    </row>
    <row r="627">
      <c r="A627" s="359">
        <v>46085.85275731482</v>
      </c>
      <c r="B627" s="193" t="s">
        <v>3097</v>
      </c>
      <c r="C627" s="193" t="s">
        <v>3119</v>
      </c>
      <c r="D627" s="193" t="s">
        <v>4487</v>
      </c>
    </row>
    <row r="628">
      <c r="A628" s="359">
        <v>46085.85564612268</v>
      </c>
      <c r="B628" s="193" t="s">
        <v>3097</v>
      </c>
      <c r="C628" s="193" t="s">
        <v>3119</v>
      </c>
      <c r="D628" s="193" t="s">
        <v>4488</v>
      </c>
    </row>
    <row r="629">
      <c r="A629" s="359">
        <v>46085.856614386576</v>
      </c>
      <c r="B629" s="193" t="s">
        <v>3097</v>
      </c>
      <c r="C629" s="193" t="s">
        <v>3119</v>
      </c>
      <c r="D629" s="193" t="s">
        <v>4492</v>
      </c>
    </row>
    <row r="630">
      <c r="A630" s="359">
        <v>46085.85668972222</v>
      </c>
      <c r="B630" s="193" t="s">
        <v>3097</v>
      </c>
      <c r="C630" s="193" t="s">
        <v>3119</v>
      </c>
      <c r="D630" s="193" t="s">
        <v>4492</v>
      </c>
    </row>
    <row r="631">
      <c r="A631" s="359">
        <v>46085.85673475695</v>
      </c>
      <c r="B631" s="193" t="s">
        <v>3097</v>
      </c>
      <c r="C631" s="193" t="s">
        <v>3119</v>
      </c>
      <c r="D631" s="193" t="s">
        <v>4488</v>
      </c>
    </row>
    <row r="632">
      <c r="A632" s="359">
        <v>46085.85675634259</v>
      </c>
      <c r="B632" s="193" t="s">
        <v>3097</v>
      </c>
      <c r="C632" s="193" t="s">
        <v>3119</v>
      </c>
      <c r="D632" s="193" t="s">
        <v>4488</v>
      </c>
    </row>
    <row r="633">
      <c r="A633" s="359">
        <v>46085.864905243056</v>
      </c>
      <c r="B633" s="193" t="s">
        <v>3097</v>
      </c>
      <c r="C633" s="193" t="s">
        <v>3119</v>
      </c>
      <c r="D633" s="193" t="s">
        <v>4497</v>
      </c>
    </row>
    <row r="634">
      <c r="A634" s="359">
        <v>46085.8654175</v>
      </c>
      <c r="B634" s="193" t="s">
        <v>3097</v>
      </c>
      <c r="C634" s="193" t="s">
        <v>3418</v>
      </c>
      <c r="D634" s="193" t="s">
        <v>4499</v>
      </c>
    </row>
    <row r="635">
      <c r="A635" s="359">
        <v>46085.86573484953</v>
      </c>
      <c r="B635" s="193" t="s">
        <v>3097</v>
      </c>
      <c r="C635" s="193" t="s">
        <v>3119</v>
      </c>
      <c r="D635" s="193" t="s">
        <v>4306</v>
      </c>
    </row>
    <row r="636">
      <c r="A636" s="359">
        <v>46085.867389861116</v>
      </c>
      <c r="B636" s="193" t="s">
        <v>3097</v>
      </c>
      <c r="C636" s="193" t="s">
        <v>3119</v>
      </c>
      <c r="D636" s="193" t="s">
        <v>4306</v>
      </c>
    </row>
    <row r="637">
      <c r="A637" s="359">
        <v>46085.86974732639</v>
      </c>
      <c r="B637" s="193" t="s">
        <v>3097</v>
      </c>
      <c r="C637" s="193" t="s">
        <v>3119</v>
      </c>
      <c r="D637" s="193" t="s">
        <v>4505</v>
      </c>
    </row>
    <row r="638">
      <c r="A638" s="359">
        <v>46085.871032627314</v>
      </c>
      <c r="B638" s="193" t="s">
        <v>3097</v>
      </c>
      <c r="C638" s="193" t="s">
        <v>3091</v>
      </c>
      <c r="D638" s="193" t="s">
        <v>4512</v>
      </c>
    </row>
    <row r="639">
      <c r="A639" s="359">
        <v>46085.87195385416</v>
      </c>
      <c r="B639" s="193" t="s">
        <v>3097</v>
      </c>
      <c r="C639" s="193" t="s">
        <v>3119</v>
      </c>
      <c r="D639" s="193" t="s">
        <v>4514</v>
      </c>
    </row>
    <row r="640">
      <c r="A640" s="359">
        <v>46085.875808888886</v>
      </c>
      <c r="B640" s="193" t="s">
        <v>3097</v>
      </c>
      <c r="C640" s="193" t="s">
        <v>3418</v>
      </c>
      <c r="D640" s="193" t="s">
        <v>4515</v>
      </c>
    </row>
    <row r="641">
      <c r="A641" s="359">
        <v>46085.885973067125</v>
      </c>
      <c r="B641" s="193" t="s">
        <v>3097</v>
      </c>
      <c r="C641" s="193" t="s">
        <v>3119</v>
      </c>
      <c r="D641" s="193" t="s">
        <v>4516</v>
      </c>
    </row>
    <row r="642">
      <c r="A642" s="359">
        <v>46085.88600024306</v>
      </c>
      <c r="B642" s="193" t="s">
        <v>3097</v>
      </c>
      <c r="C642" s="193" t="s">
        <v>3119</v>
      </c>
      <c r="D642" s="193" t="s">
        <v>4516</v>
      </c>
    </row>
    <row r="643">
      <c r="A643" s="359">
        <v>46085.88622085648</v>
      </c>
      <c r="B643" s="193" t="s">
        <v>3097</v>
      </c>
      <c r="C643" s="193" t="s">
        <v>3418</v>
      </c>
      <c r="D643" s="193" t="s">
        <v>4522</v>
      </c>
    </row>
    <row r="644">
      <c r="A644" s="359">
        <v>46085.88685011574</v>
      </c>
      <c r="B644" s="193" t="s">
        <v>3097</v>
      </c>
      <c r="C644" s="193" t="s">
        <v>3119</v>
      </c>
      <c r="D644" s="193" t="s">
        <v>4523</v>
      </c>
    </row>
    <row r="645">
      <c r="A645" s="359">
        <v>46085.888437013884</v>
      </c>
      <c r="B645" s="193" t="s">
        <v>3097</v>
      </c>
      <c r="C645" s="193" t="s">
        <v>3091</v>
      </c>
      <c r="D645" s="193" t="s">
        <v>4524</v>
      </c>
    </row>
    <row r="646">
      <c r="A646" s="359">
        <v>46085.894554976854</v>
      </c>
      <c r="B646" s="193" t="s">
        <v>3097</v>
      </c>
      <c r="C646" s="193" t="s">
        <v>3119</v>
      </c>
      <c r="D646" s="193" t="s">
        <v>4525</v>
      </c>
    </row>
    <row r="647">
      <c r="A647" s="359">
        <v>46085.895877800926</v>
      </c>
      <c r="B647" s="193" t="s">
        <v>3097</v>
      </c>
      <c r="C647" s="193" t="s">
        <v>3119</v>
      </c>
      <c r="D647" s="193" t="s">
        <v>4529</v>
      </c>
    </row>
    <row r="648">
      <c r="A648" s="359">
        <v>46085.89744991898</v>
      </c>
      <c r="B648" s="193" t="s">
        <v>3097</v>
      </c>
      <c r="C648" s="193" t="s">
        <v>3119</v>
      </c>
      <c r="D648" s="193" t="s">
        <v>4525</v>
      </c>
    </row>
    <row r="649">
      <c r="A649" s="359">
        <v>46085.89761335649</v>
      </c>
      <c r="B649" s="193" t="s">
        <v>3097</v>
      </c>
      <c r="C649" s="193" t="s">
        <v>3119</v>
      </c>
      <c r="D649" s="193" t="s">
        <v>4533</v>
      </c>
    </row>
    <row r="650">
      <c r="A650" s="359">
        <v>46085.898205300924</v>
      </c>
      <c r="B650" s="193" t="s">
        <v>3097</v>
      </c>
      <c r="C650" s="193" t="s">
        <v>3119</v>
      </c>
      <c r="D650" s="193" t="s">
        <v>4017</v>
      </c>
    </row>
    <row r="651">
      <c r="A651" s="359">
        <v>46085.89985543981</v>
      </c>
      <c r="B651" s="193" t="s">
        <v>3097</v>
      </c>
      <c r="C651" s="193" t="s">
        <v>3119</v>
      </c>
      <c r="D651" s="193" t="s">
        <v>4219</v>
      </c>
    </row>
    <row r="652">
      <c r="A652" s="359">
        <v>46085.90326244213</v>
      </c>
      <c r="C652" s="193" t="s">
        <v>3119</v>
      </c>
      <c r="D652" s="193" t="s">
        <v>4536</v>
      </c>
    </row>
    <row r="653">
      <c r="A653" s="359">
        <v>46085.903610925925</v>
      </c>
      <c r="C653" s="193" t="s">
        <v>3119</v>
      </c>
      <c r="D653" s="193" t="s">
        <v>4536</v>
      </c>
    </row>
    <row r="654">
      <c r="A654" s="359">
        <v>46085.905812893514</v>
      </c>
      <c r="B654" s="193" t="s">
        <v>3097</v>
      </c>
      <c r="C654" s="193" t="s">
        <v>3091</v>
      </c>
      <c r="D654" s="193" t="s">
        <v>4538</v>
      </c>
    </row>
    <row r="655">
      <c r="A655" s="359">
        <v>46085.90586748843</v>
      </c>
      <c r="B655" s="193" t="s">
        <v>3097</v>
      </c>
      <c r="C655" s="193" t="s">
        <v>3091</v>
      </c>
      <c r="D655" s="193" t="s">
        <v>4539</v>
      </c>
    </row>
    <row r="656">
      <c r="A656" s="359">
        <v>46085.91963078704</v>
      </c>
      <c r="C656" s="193" t="s">
        <v>3119</v>
      </c>
      <c r="D656" s="193" t="s">
        <v>4540</v>
      </c>
    </row>
    <row r="657">
      <c r="A657" s="359">
        <v>46085.92538516204</v>
      </c>
      <c r="B657" s="193" t="s">
        <v>3097</v>
      </c>
      <c r="C657" s="193" t="s">
        <v>3119</v>
      </c>
      <c r="D657" s="193" t="s">
        <v>4004</v>
      </c>
    </row>
    <row r="658">
      <c r="A658" s="359">
        <v>46085.925426898146</v>
      </c>
      <c r="B658" s="193" t="s">
        <v>3097</v>
      </c>
      <c r="C658" s="193" t="s">
        <v>3119</v>
      </c>
      <c r="D658" s="193" t="s">
        <v>4004</v>
      </c>
    </row>
    <row r="659">
      <c r="A659" s="359">
        <v>46085.92992809028</v>
      </c>
      <c r="B659" s="193" t="s">
        <v>3097</v>
      </c>
      <c r="C659" s="193" t="s">
        <v>3119</v>
      </c>
      <c r="D659" s="193" t="s">
        <v>4002</v>
      </c>
    </row>
    <row r="660">
      <c r="A660" s="359">
        <v>46085.93078135417</v>
      </c>
      <c r="B660" s="193" t="s">
        <v>3097</v>
      </c>
      <c r="C660" s="193" t="s">
        <v>3119</v>
      </c>
      <c r="D660" s="193" t="s">
        <v>4002</v>
      </c>
    </row>
    <row r="661">
      <c r="A661" s="359">
        <v>46085.9325583912</v>
      </c>
      <c r="C661" s="193" t="s">
        <v>3119</v>
      </c>
      <c r="D661" s="193" t="s">
        <v>4543</v>
      </c>
    </row>
    <row r="662">
      <c r="A662" s="359">
        <v>46085.93696472222</v>
      </c>
      <c r="B662" s="193" t="s">
        <v>3097</v>
      </c>
      <c r="C662" s="193" t="s">
        <v>3091</v>
      </c>
      <c r="D662" s="193" t="s">
        <v>4544</v>
      </c>
    </row>
    <row r="663">
      <c r="A663" s="359">
        <v>46085.9385287037</v>
      </c>
      <c r="B663" s="193" t="s">
        <v>3097</v>
      </c>
      <c r="C663" s="193" t="s">
        <v>3119</v>
      </c>
      <c r="D663" s="193" t="s">
        <v>4020</v>
      </c>
    </row>
    <row r="664">
      <c r="A664" s="359">
        <v>46085.939907928245</v>
      </c>
      <c r="B664" s="193" t="s">
        <v>3097</v>
      </c>
      <c r="C664" s="193" t="s">
        <v>3119</v>
      </c>
      <c r="D664" s="193" t="s">
        <v>4020</v>
      </c>
    </row>
    <row r="665">
      <c r="A665" s="359">
        <v>46085.94066622685</v>
      </c>
      <c r="B665" s="193" t="s">
        <v>3097</v>
      </c>
      <c r="C665" s="193" t="s">
        <v>3119</v>
      </c>
      <c r="D665" s="193" t="s">
        <v>4020</v>
      </c>
    </row>
    <row r="666">
      <c r="A666" s="359">
        <v>46085.941071249996</v>
      </c>
      <c r="B666" s="193" t="s">
        <v>3097</v>
      </c>
      <c r="C666" s="193" t="s">
        <v>3119</v>
      </c>
      <c r="D666" s="193" t="s">
        <v>4020</v>
      </c>
    </row>
    <row r="667">
      <c r="A667" s="359">
        <v>46085.94363083333</v>
      </c>
      <c r="B667" s="193" t="s">
        <v>3097</v>
      </c>
      <c r="C667" s="193" t="s">
        <v>3119</v>
      </c>
      <c r="D667" s="193" t="s">
        <v>4290</v>
      </c>
    </row>
    <row r="668">
      <c r="A668" s="359">
        <v>46085.94393298611</v>
      </c>
      <c r="B668" s="193" t="s">
        <v>3097</v>
      </c>
      <c r="C668" s="193" t="s">
        <v>3091</v>
      </c>
      <c r="D668" s="193" t="s">
        <v>4547</v>
      </c>
    </row>
    <row r="669">
      <c r="A669" s="359">
        <v>46085.94635817129</v>
      </c>
      <c r="C669" s="193" t="s">
        <v>3119</v>
      </c>
      <c r="D669" s="193" t="s">
        <v>4059</v>
      </c>
    </row>
    <row r="670">
      <c r="A670" s="359">
        <v>46085.9661149537</v>
      </c>
      <c r="C670" s="193" t="s">
        <v>3119</v>
      </c>
      <c r="D670" s="193" t="s">
        <v>4079</v>
      </c>
    </row>
    <row r="671">
      <c r="A671" s="359">
        <v>46085.96990945602</v>
      </c>
      <c r="C671" s="193" t="s">
        <v>3119</v>
      </c>
      <c r="D671" s="193" t="s">
        <v>4079</v>
      </c>
    </row>
    <row r="672">
      <c r="A672" s="359">
        <v>46085.972581319445</v>
      </c>
      <c r="C672" s="193" t="s">
        <v>3119</v>
      </c>
      <c r="D672" s="193" t="s">
        <v>4127</v>
      </c>
    </row>
    <row r="673">
      <c r="A673" s="359">
        <v>46085.97278862269</v>
      </c>
      <c r="B673" s="193" t="s">
        <v>3097</v>
      </c>
      <c r="C673" s="193" t="s">
        <v>3119</v>
      </c>
      <c r="D673" s="193" t="s">
        <v>4079</v>
      </c>
    </row>
    <row r="674">
      <c r="A674" s="359">
        <v>46085.97300493055</v>
      </c>
      <c r="B674" s="193" t="s">
        <v>3097</v>
      </c>
      <c r="C674" s="193" t="s">
        <v>3119</v>
      </c>
      <c r="D674" s="193" t="s">
        <v>4079</v>
      </c>
    </row>
    <row r="675">
      <c r="A675" s="359">
        <v>46086.819831886576</v>
      </c>
      <c r="C675" s="193" t="s">
        <v>3119</v>
      </c>
      <c r="D675" s="193" t="s">
        <v>3979</v>
      </c>
    </row>
    <row r="676">
      <c r="A676" s="359">
        <v>46086.82798255787</v>
      </c>
      <c r="C676" s="193" t="s">
        <v>3119</v>
      </c>
      <c r="D676" s="193" t="s">
        <v>4127</v>
      </c>
    </row>
    <row r="677">
      <c r="A677" s="359">
        <v>46086.84582408565</v>
      </c>
      <c r="C677" s="193" t="s">
        <v>3119</v>
      </c>
      <c r="D677" s="193" t="s">
        <v>4536</v>
      </c>
    </row>
    <row r="678">
      <c r="A678" s="359">
        <v>46086.85175732639</v>
      </c>
      <c r="C678" s="193" t="s">
        <v>3119</v>
      </c>
      <c r="D678" s="193" t="s">
        <v>4038</v>
      </c>
    </row>
    <row r="679">
      <c r="A679" s="359">
        <v>46086.87137814815</v>
      </c>
      <c r="B679" s="193" t="s">
        <v>3097</v>
      </c>
      <c r="C679" s="193" t="s">
        <v>3119</v>
      </c>
      <c r="D679" s="193" t="s">
        <v>4558</v>
      </c>
    </row>
    <row r="680">
      <c r="A680" s="359">
        <v>46086.874498854166</v>
      </c>
      <c r="B680" s="193" t="s">
        <v>3097</v>
      </c>
      <c r="C680" s="193" t="s">
        <v>3091</v>
      </c>
      <c r="D680" s="193" t="s">
        <v>4560</v>
      </c>
    </row>
    <row r="681">
      <c r="A681" s="359">
        <v>46086.87623371527</v>
      </c>
      <c r="B681" s="193" t="s">
        <v>3097</v>
      </c>
      <c r="C681" s="193" t="s">
        <v>3119</v>
      </c>
      <c r="D681" s="193" t="s">
        <v>3951</v>
      </c>
    </row>
    <row r="682">
      <c r="A682" s="359">
        <v>46086.876256261574</v>
      </c>
      <c r="B682" s="193" t="s">
        <v>3097</v>
      </c>
      <c r="C682" s="193" t="s">
        <v>3119</v>
      </c>
      <c r="D682" s="193" t="s">
        <v>3951</v>
      </c>
    </row>
    <row r="683">
      <c r="A683" s="359">
        <v>46086.87802871528</v>
      </c>
      <c r="B683" s="193" t="s">
        <v>3097</v>
      </c>
      <c r="C683" s="193" t="s">
        <v>3091</v>
      </c>
      <c r="D683" s="193" t="s">
        <v>4564</v>
      </c>
    </row>
    <row r="684">
      <c r="A684" s="359">
        <v>46086.883023912036</v>
      </c>
      <c r="B684" s="193" t="s">
        <v>3097</v>
      </c>
      <c r="C684" s="193" t="s">
        <v>3119</v>
      </c>
      <c r="D684" s="193" t="s">
        <v>4565</v>
      </c>
    </row>
    <row r="685">
      <c r="A685" s="359">
        <v>46086.884928784726</v>
      </c>
      <c r="B685" s="193" t="s">
        <v>3097</v>
      </c>
      <c r="C685" s="193" t="s">
        <v>3091</v>
      </c>
      <c r="D685" s="193" t="s">
        <v>4566</v>
      </c>
    </row>
    <row r="686">
      <c r="A686" s="359">
        <v>46086.89664987268</v>
      </c>
      <c r="B686" s="193" t="s">
        <v>3097</v>
      </c>
      <c r="C686" s="193" t="s">
        <v>3119</v>
      </c>
      <c r="D686" s="193" t="s">
        <v>4470</v>
      </c>
    </row>
    <row r="687">
      <c r="A687" s="359">
        <v>46086.897149537035</v>
      </c>
      <c r="C687" s="193" t="s">
        <v>3119</v>
      </c>
      <c r="D687" s="193" t="s">
        <v>3979</v>
      </c>
    </row>
    <row r="688">
      <c r="A688" s="359">
        <v>46086.91268842593</v>
      </c>
      <c r="B688" s="193" t="s">
        <v>3097</v>
      </c>
      <c r="C688" s="193" t="s">
        <v>3091</v>
      </c>
      <c r="D688" s="193" t="s">
        <v>4567</v>
      </c>
    </row>
    <row r="689">
      <c r="A689" s="359">
        <v>46086.91457228009</v>
      </c>
      <c r="B689" s="193" t="s">
        <v>3097</v>
      </c>
      <c r="C689" s="193" t="s">
        <v>3119</v>
      </c>
      <c r="D689" s="193" t="s">
        <v>3995</v>
      </c>
    </row>
    <row r="690">
      <c r="A690" s="359">
        <v>46086.91544265047</v>
      </c>
      <c r="B690" s="193" t="s">
        <v>3097</v>
      </c>
      <c r="C690" s="193" t="s">
        <v>3119</v>
      </c>
      <c r="D690" s="193" t="s">
        <v>3995</v>
      </c>
    </row>
    <row r="691">
      <c r="A691" s="359">
        <v>46086.91628829861</v>
      </c>
      <c r="B691" s="193" t="s">
        <v>3097</v>
      </c>
      <c r="C691" s="193" t="s">
        <v>3091</v>
      </c>
      <c r="D691" s="193" t="s">
        <v>4570</v>
      </c>
    </row>
    <row r="692">
      <c r="A692" s="359">
        <v>46086.918882199076</v>
      </c>
      <c r="B692" s="193" t="s">
        <v>3097</v>
      </c>
      <c r="C692" s="193" t="s">
        <v>3119</v>
      </c>
      <c r="D692" s="193" t="s">
        <v>4219</v>
      </c>
    </row>
    <row r="693">
      <c r="A693" s="359">
        <v>46086.93883303241</v>
      </c>
      <c r="B693" s="193" t="s">
        <v>3097</v>
      </c>
      <c r="C693" s="193" t="s">
        <v>3119</v>
      </c>
      <c r="D693" s="193" t="s">
        <v>4018</v>
      </c>
    </row>
    <row r="694">
      <c r="A694" s="359">
        <v>46086.93944958333</v>
      </c>
      <c r="B694" s="193" t="s">
        <v>3097</v>
      </c>
      <c r="C694" s="193" t="s">
        <v>3119</v>
      </c>
      <c r="D694" s="193" t="s">
        <v>4018</v>
      </c>
    </row>
    <row r="695">
      <c r="A695" s="359">
        <v>46086.95384619213</v>
      </c>
      <c r="C695" s="193" t="s">
        <v>3119</v>
      </c>
      <c r="D695" s="193" t="s">
        <v>4579</v>
      </c>
    </row>
    <row r="696">
      <c r="A696" s="359">
        <v>46086.960186145836</v>
      </c>
      <c r="B696" s="193" t="s">
        <v>3097</v>
      </c>
      <c r="C696" s="193" t="s">
        <v>3119</v>
      </c>
      <c r="D696" s="193" t="s">
        <v>4003</v>
      </c>
    </row>
    <row r="697">
      <c r="A697" s="359">
        <v>46086.96351244213</v>
      </c>
      <c r="C697" s="193" t="s">
        <v>3119</v>
      </c>
      <c r="D697" s="193" t="s">
        <v>4580</v>
      </c>
    </row>
    <row r="698">
      <c r="A698" s="359">
        <v>46086.98909408565</v>
      </c>
      <c r="B698" s="193" t="s">
        <v>3097</v>
      </c>
      <c r="C698" s="193" t="s">
        <v>3091</v>
      </c>
      <c r="D698" s="193" t="s">
        <v>4593</v>
      </c>
    </row>
    <row r="699">
      <c r="A699" s="359">
        <v>46086.99036357639</v>
      </c>
      <c r="B699" s="193" t="s">
        <v>3097</v>
      </c>
      <c r="C699" s="193" t="s">
        <v>3418</v>
      </c>
      <c r="D699" s="193" t="s">
        <v>4594</v>
      </c>
    </row>
    <row r="700">
      <c r="A700" s="359">
        <v>46087.796048564815</v>
      </c>
      <c r="C700" s="193" t="s">
        <v>3119</v>
      </c>
      <c r="D700" s="193" t="s">
        <v>4597</v>
      </c>
    </row>
    <row r="701">
      <c r="A701" s="359">
        <v>46087.81502469907</v>
      </c>
      <c r="C701" s="193" t="s">
        <v>3119</v>
      </c>
      <c r="D701" s="193" t="s">
        <v>4019</v>
      </c>
    </row>
    <row r="702">
      <c r="A702" s="359">
        <v>46087.81646450231</v>
      </c>
      <c r="C702" s="193" t="s">
        <v>3119</v>
      </c>
      <c r="D702" s="193" t="s">
        <v>4019</v>
      </c>
    </row>
    <row r="703">
      <c r="A703" s="359">
        <v>46087.82228099537</v>
      </c>
      <c r="C703" s="193" t="s">
        <v>3119</v>
      </c>
      <c r="D703" s="193" t="s">
        <v>4009</v>
      </c>
    </row>
    <row r="704">
      <c r="A704" s="359">
        <v>46087.84150480324</v>
      </c>
      <c r="B704" s="193" t="s">
        <v>3097</v>
      </c>
      <c r="C704" s="193" t="s">
        <v>3119</v>
      </c>
      <c r="D704" s="193" t="s">
        <v>4106</v>
      </c>
    </row>
    <row r="705">
      <c r="A705" s="359">
        <v>46087.841553171296</v>
      </c>
      <c r="B705" s="193" t="s">
        <v>3097</v>
      </c>
      <c r="C705" s="193" t="s">
        <v>3119</v>
      </c>
      <c r="D705" s="193" t="s">
        <v>4057</v>
      </c>
    </row>
    <row r="706">
      <c r="A706" s="359">
        <v>46087.84887282408</v>
      </c>
      <c r="C706" s="193" t="s">
        <v>3119</v>
      </c>
      <c r="D706" s="193" t="s">
        <v>3823</v>
      </c>
    </row>
    <row r="707">
      <c r="A707" s="359">
        <v>46087.8493521875</v>
      </c>
      <c r="C707" s="193" t="s">
        <v>3119</v>
      </c>
      <c r="D707" s="193" t="s">
        <v>3823</v>
      </c>
    </row>
    <row r="708">
      <c r="A708" s="359">
        <v>46087.852049375</v>
      </c>
      <c r="B708" s="193" t="s">
        <v>3097</v>
      </c>
      <c r="C708" s="193" t="s">
        <v>3119</v>
      </c>
      <c r="D708" s="193" t="s">
        <v>4002</v>
      </c>
    </row>
    <row r="709">
      <c r="A709" s="359">
        <v>46087.859311319444</v>
      </c>
      <c r="C709" s="193" t="s">
        <v>3119</v>
      </c>
      <c r="D709" s="193" t="s">
        <v>4606</v>
      </c>
    </row>
    <row r="710">
      <c r="A710" s="359">
        <v>46087.86407269676</v>
      </c>
      <c r="B710" s="193" t="s">
        <v>3097</v>
      </c>
      <c r="C710" s="193" t="s">
        <v>3091</v>
      </c>
      <c r="D710" s="193" t="s">
        <v>4607</v>
      </c>
    </row>
    <row r="711">
      <c r="A711" s="359">
        <v>46087.864118067126</v>
      </c>
      <c r="B711" s="193" t="s">
        <v>3097</v>
      </c>
      <c r="C711" s="193" t="s">
        <v>3091</v>
      </c>
      <c r="D711" s="193" t="s">
        <v>4609</v>
      </c>
    </row>
    <row r="712">
      <c r="A712" s="359">
        <v>46087.865384895835</v>
      </c>
      <c r="B712" s="193" t="s">
        <v>3097</v>
      </c>
      <c r="C712" s="193" t="s">
        <v>3418</v>
      </c>
      <c r="D712" s="193" t="s">
        <v>4610</v>
      </c>
    </row>
    <row r="713">
      <c r="A713" s="359">
        <v>46087.865438657405</v>
      </c>
      <c r="B713" s="193" t="s">
        <v>3097</v>
      </c>
      <c r="C713" s="193" t="s">
        <v>3418</v>
      </c>
      <c r="D713" s="193" t="s">
        <v>4612</v>
      </c>
    </row>
    <row r="714">
      <c r="A714" s="359">
        <v>46087.865504456015</v>
      </c>
      <c r="B714" s="193" t="s">
        <v>3097</v>
      </c>
      <c r="C714" s="193" t="s">
        <v>3418</v>
      </c>
      <c r="D714" s="193" t="s">
        <v>4614</v>
      </c>
    </row>
    <row r="715">
      <c r="A715" s="359">
        <v>46087.865571793984</v>
      </c>
      <c r="B715" s="193" t="s">
        <v>3097</v>
      </c>
      <c r="C715" s="193" t="s">
        <v>3418</v>
      </c>
      <c r="D715" s="193" t="s">
        <v>4615</v>
      </c>
    </row>
    <row r="716">
      <c r="A716" s="359">
        <v>46087.865633194444</v>
      </c>
      <c r="B716" s="193" t="s">
        <v>3097</v>
      </c>
      <c r="C716" s="193" t="s">
        <v>3418</v>
      </c>
      <c r="D716" s="193" t="s">
        <v>4618</v>
      </c>
    </row>
    <row r="717">
      <c r="A717" s="359">
        <v>46087.86570597222</v>
      </c>
      <c r="B717" s="193" t="s">
        <v>3097</v>
      </c>
      <c r="C717" s="193" t="s">
        <v>3418</v>
      </c>
      <c r="D717" s="193" t="s">
        <v>4622</v>
      </c>
    </row>
    <row r="718">
      <c r="A718" s="359">
        <v>46087.86576832176</v>
      </c>
      <c r="B718" s="193" t="s">
        <v>3097</v>
      </c>
      <c r="C718" s="193" t="s">
        <v>3418</v>
      </c>
      <c r="D718" s="193" t="s">
        <v>4625</v>
      </c>
    </row>
    <row r="719">
      <c r="A719" s="359">
        <v>46087.86582457176</v>
      </c>
      <c r="B719" s="193" t="s">
        <v>3097</v>
      </c>
      <c r="C719" s="193" t="s">
        <v>3418</v>
      </c>
      <c r="D719" s="193" t="s">
        <v>4626</v>
      </c>
    </row>
    <row r="720">
      <c r="A720" s="359">
        <v>46087.86588107639</v>
      </c>
      <c r="B720" s="193" t="s">
        <v>3097</v>
      </c>
      <c r="C720" s="193" t="s">
        <v>3418</v>
      </c>
      <c r="D720" s="193" t="s">
        <v>4627</v>
      </c>
    </row>
    <row r="721">
      <c r="A721" s="359">
        <v>46087.865931990746</v>
      </c>
      <c r="B721" s="193" t="s">
        <v>3097</v>
      </c>
      <c r="C721" s="193" t="s">
        <v>3418</v>
      </c>
      <c r="D721" s="193" t="s">
        <v>4629</v>
      </c>
    </row>
    <row r="722">
      <c r="A722" s="359">
        <v>46087.86598539352</v>
      </c>
      <c r="B722" s="193" t="s">
        <v>3097</v>
      </c>
      <c r="C722" s="193" t="s">
        <v>3418</v>
      </c>
      <c r="D722" s="193" t="s">
        <v>4633</v>
      </c>
    </row>
    <row r="723">
      <c r="A723" s="359">
        <v>46087.86604797454</v>
      </c>
      <c r="B723" s="193" t="s">
        <v>3097</v>
      </c>
      <c r="C723" s="193" t="s">
        <v>3418</v>
      </c>
      <c r="D723" s="193" t="s">
        <v>4636</v>
      </c>
    </row>
    <row r="724">
      <c r="A724" s="359">
        <v>46087.86611534722</v>
      </c>
      <c r="B724" s="193" t="s">
        <v>3097</v>
      </c>
      <c r="C724" s="193" t="s">
        <v>3418</v>
      </c>
      <c r="D724" s="193" t="s">
        <v>4637</v>
      </c>
    </row>
    <row r="725">
      <c r="A725" s="359">
        <v>46087.86618084491</v>
      </c>
      <c r="B725" s="193" t="s">
        <v>3097</v>
      </c>
      <c r="C725" s="193" t="s">
        <v>3418</v>
      </c>
      <c r="D725" s="193" t="s">
        <v>4638</v>
      </c>
    </row>
    <row r="726">
      <c r="A726" s="359">
        <v>46087.86623554398</v>
      </c>
      <c r="B726" s="193" t="s">
        <v>3097</v>
      </c>
      <c r="C726" s="193" t="s">
        <v>3418</v>
      </c>
      <c r="D726" s="193" t="s">
        <v>4639</v>
      </c>
    </row>
    <row r="727">
      <c r="A727" s="359">
        <v>46087.866290879625</v>
      </c>
      <c r="B727" s="193" t="s">
        <v>3097</v>
      </c>
      <c r="C727" s="193" t="s">
        <v>3418</v>
      </c>
      <c r="D727" s="193" t="s">
        <v>4641</v>
      </c>
    </row>
    <row r="728">
      <c r="A728" s="359">
        <v>46087.86635033565</v>
      </c>
      <c r="B728" s="193" t="s">
        <v>3097</v>
      </c>
      <c r="C728" s="193" t="s">
        <v>3418</v>
      </c>
      <c r="D728" s="193" t="s">
        <v>4645</v>
      </c>
    </row>
    <row r="729">
      <c r="A729" s="359">
        <v>46087.86641819445</v>
      </c>
      <c r="B729" s="193" t="s">
        <v>3097</v>
      </c>
      <c r="C729" s="193" t="s">
        <v>3418</v>
      </c>
      <c r="D729" s="193" t="s">
        <v>4647</v>
      </c>
    </row>
    <row r="730">
      <c r="A730" s="359">
        <v>46087.86649008102</v>
      </c>
      <c r="B730" s="193" t="s">
        <v>3097</v>
      </c>
      <c r="C730" s="193" t="s">
        <v>3418</v>
      </c>
      <c r="D730" s="193" t="s">
        <v>4649</v>
      </c>
    </row>
    <row r="731">
      <c r="A731" s="359">
        <v>46087.86654754629</v>
      </c>
      <c r="B731" s="193" t="s">
        <v>3097</v>
      </c>
      <c r="C731" s="193" t="s">
        <v>3418</v>
      </c>
      <c r="D731" s="193" t="s">
        <v>4650</v>
      </c>
    </row>
    <row r="732">
      <c r="A732" s="359">
        <v>46087.86660547454</v>
      </c>
      <c r="B732" s="193" t="s">
        <v>3097</v>
      </c>
      <c r="C732" s="193" t="s">
        <v>3418</v>
      </c>
      <c r="D732" s="193" t="s">
        <v>4651</v>
      </c>
    </row>
    <row r="733">
      <c r="A733" s="359">
        <v>46087.87771577547</v>
      </c>
      <c r="B733" s="193" t="s">
        <v>3097</v>
      </c>
      <c r="C733" s="193" t="s">
        <v>3119</v>
      </c>
      <c r="D733" s="193" t="s">
        <v>4652</v>
      </c>
    </row>
    <row r="734">
      <c r="A734" s="359">
        <v>46087.87934100695</v>
      </c>
      <c r="C734" s="193" t="s">
        <v>3119</v>
      </c>
      <c r="D734" s="193" t="s">
        <v>4161</v>
      </c>
    </row>
    <row r="735">
      <c r="A735" s="359">
        <v>46087.879350104165</v>
      </c>
      <c r="C735" s="193" t="s">
        <v>3119</v>
      </c>
      <c r="D735" s="193" t="s">
        <v>4161</v>
      </c>
    </row>
    <row r="736">
      <c r="A736" s="359">
        <v>46087.88099034722</v>
      </c>
      <c r="B736" s="193" t="s">
        <v>3097</v>
      </c>
      <c r="C736" s="193" t="s">
        <v>3119</v>
      </c>
      <c r="D736" s="193" t="s">
        <v>4362</v>
      </c>
    </row>
    <row r="737">
      <c r="A737" s="359">
        <v>46087.92281626158</v>
      </c>
      <c r="B737" s="193" t="s">
        <v>3097</v>
      </c>
      <c r="C737" s="193" t="s">
        <v>3119</v>
      </c>
      <c r="D737" s="193" t="s">
        <v>4656</v>
      </c>
    </row>
    <row r="738">
      <c r="A738" s="359">
        <v>46087.92680825232</v>
      </c>
      <c r="B738" s="193" t="s">
        <v>3097</v>
      </c>
      <c r="C738" s="193" t="s">
        <v>3091</v>
      </c>
      <c r="D738" s="193" t="s">
        <v>4659</v>
      </c>
    </row>
    <row r="739">
      <c r="A739" s="359">
        <v>46087.96478898148</v>
      </c>
      <c r="B739" s="193" t="s">
        <v>3097</v>
      </c>
      <c r="C739" s="193" t="s">
        <v>3091</v>
      </c>
      <c r="D739" s="193" t="s">
        <v>4660</v>
      </c>
    </row>
    <row r="740">
      <c r="A740" s="359">
        <v>46087.97454115741</v>
      </c>
      <c r="C740" s="193" t="s">
        <v>3119</v>
      </c>
      <c r="D740" s="193" t="s">
        <v>4127</v>
      </c>
    </row>
    <row r="741">
      <c r="A741" s="359">
        <v>46090.815039016205</v>
      </c>
      <c r="C741" s="193" t="s">
        <v>3119</v>
      </c>
      <c r="D741" s="193" t="s">
        <v>3979</v>
      </c>
    </row>
    <row r="742">
      <c r="A742" s="359">
        <v>46090.81621634259</v>
      </c>
      <c r="C742" s="193" t="s">
        <v>3119</v>
      </c>
      <c r="D742" s="193" t="s">
        <v>3823</v>
      </c>
    </row>
    <row r="743">
      <c r="A743" s="359">
        <v>46090.81650159722</v>
      </c>
      <c r="C743" s="193" t="s">
        <v>3119</v>
      </c>
      <c r="D743" s="193" t="s">
        <v>4161</v>
      </c>
    </row>
    <row r="744">
      <c r="A744" s="359">
        <v>46090.87514576389</v>
      </c>
      <c r="C744" s="193" t="s">
        <v>3119</v>
      </c>
      <c r="D744" s="193" t="s">
        <v>3980</v>
      </c>
    </row>
    <row r="745">
      <c r="A745" s="359">
        <v>46090.876828761575</v>
      </c>
      <c r="C745" s="193" t="s">
        <v>3119</v>
      </c>
      <c r="D745" s="193" t="s">
        <v>3980</v>
      </c>
    </row>
    <row r="746">
      <c r="A746" s="359">
        <v>46090.90428018519</v>
      </c>
      <c r="C746" s="193" t="s">
        <v>3119</v>
      </c>
      <c r="D746" s="193" t="s">
        <v>4031</v>
      </c>
    </row>
    <row r="747">
      <c r="A747" s="359">
        <v>46090.90487806713</v>
      </c>
      <c r="C747" s="193" t="s">
        <v>3119</v>
      </c>
      <c r="D747" s="193" t="s">
        <v>4031</v>
      </c>
    </row>
    <row r="748">
      <c r="A748" s="359">
        <v>46090.90570689815</v>
      </c>
      <c r="C748" s="193" t="s">
        <v>3119</v>
      </c>
      <c r="D748" s="193" t="s">
        <v>4031</v>
      </c>
    </row>
    <row r="749">
      <c r="A749" s="359">
        <v>46090.9060721412</v>
      </c>
      <c r="C749" s="193" t="s">
        <v>3119</v>
      </c>
      <c r="D749" s="193" t="s">
        <v>4031</v>
      </c>
    </row>
    <row r="750">
      <c r="A750" s="359">
        <v>46090.90657532407</v>
      </c>
      <c r="C750" s="193" t="s">
        <v>3119</v>
      </c>
      <c r="D750" s="193" t="s">
        <v>4031</v>
      </c>
    </row>
    <row r="751">
      <c r="A751" s="359">
        <v>46090.90659789352</v>
      </c>
      <c r="C751" s="193" t="s">
        <v>3119</v>
      </c>
      <c r="D751" s="193" t="s">
        <v>4031</v>
      </c>
    </row>
    <row r="752">
      <c r="A752" s="359">
        <v>46090.90677079861</v>
      </c>
      <c r="C752" s="193" t="s">
        <v>3119</v>
      </c>
      <c r="D752" s="193" t="s">
        <v>4031</v>
      </c>
    </row>
    <row r="753">
      <c r="A753" s="359">
        <v>46090.98028837963</v>
      </c>
      <c r="B753" s="193" t="s">
        <v>3097</v>
      </c>
      <c r="C753" s="193" t="s">
        <v>3119</v>
      </c>
      <c r="D753" s="193" t="s">
        <v>4667</v>
      </c>
    </row>
    <row r="754">
      <c r="A754" s="359">
        <v>46090.98496071759</v>
      </c>
      <c r="C754" s="193" t="s">
        <v>3119</v>
      </c>
      <c r="D754" s="193" t="s">
        <v>4069</v>
      </c>
    </row>
    <row r="755">
      <c r="A755" s="359">
        <v>46090.9870475</v>
      </c>
      <c r="C755" s="193" t="s">
        <v>3119</v>
      </c>
      <c r="D755" s="193" t="s">
        <v>4069</v>
      </c>
    </row>
    <row r="756">
      <c r="A756" s="359">
        <v>46091.768022199074</v>
      </c>
      <c r="C756" s="193" t="s">
        <v>3119</v>
      </c>
      <c r="D756" s="193" t="s">
        <v>4318</v>
      </c>
    </row>
    <row r="757">
      <c r="A757" s="359">
        <v>46091.80581229167</v>
      </c>
      <c r="C757" s="193" t="s">
        <v>3119</v>
      </c>
      <c r="D757" s="193" t="s">
        <v>4161</v>
      </c>
    </row>
    <row r="758">
      <c r="A758" s="359">
        <v>46091.80855422454</v>
      </c>
      <c r="B758" s="193" t="s">
        <v>3097</v>
      </c>
      <c r="C758" s="193" t="s">
        <v>3091</v>
      </c>
      <c r="D758" s="193" t="s">
        <v>4672</v>
      </c>
    </row>
    <row r="759">
      <c r="A759" s="359">
        <v>46091.84116273148</v>
      </c>
      <c r="C759" s="193" t="s">
        <v>3119</v>
      </c>
      <c r="D759" s="193" t="s">
        <v>4035</v>
      </c>
    </row>
    <row r="760">
      <c r="A760" s="359">
        <v>46091.84224537037</v>
      </c>
      <c r="C760" s="193" t="s">
        <v>3119</v>
      </c>
      <c r="D760" s="193" t="s">
        <v>4035</v>
      </c>
    </row>
    <row r="761">
      <c r="A761" s="359">
        <v>46091.86852539352</v>
      </c>
      <c r="C761" s="193" t="s">
        <v>3119</v>
      </c>
      <c r="D761" s="193" t="s">
        <v>4161</v>
      </c>
    </row>
    <row r="762">
      <c r="A762" s="359">
        <v>46091.895118229164</v>
      </c>
      <c r="C762" s="193" t="s">
        <v>3119</v>
      </c>
      <c r="D762" s="193" t="s">
        <v>4676</v>
      </c>
    </row>
    <row r="763">
      <c r="A763" s="359">
        <v>46091.9628284375</v>
      </c>
      <c r="C763" s="193" t="s">
        <v>3119</v>
      </c>
      <c r="D763" s="193" t="s">
        <v>4677</v>
      </c>
    </row>
    <row r="764">
      <c r="A764" s="359">
        <v>46091.9667096875</v>
      </c>
      <c r="C764" s="193" t="s">
        <v>3119</v>
      </c>
      <c r="D764" s="193" t="s">
        <v>4063</v>
      </c>
    </row>
    <row r="765">
      <c r="A765" s="359">
        <v>46092.70154043981</v>
      </c>
      <c r="C765" s="193" t="s">
        <v>3119</v>
      </c>
      <c r="D765" s="193" t="s">
        <v>4031</v>
      </c>
    </row>
    <row r="766">
      <c r="A766" s="359">
        <v>46092.73534408565</v>
      </c>
      <c r="C766" s="193" t="s">
        <v>3119</v>
      </c>
      <c r="D766" s="193" t="s">
        <v>4676</v>
      </c>
    </row>
    <row r="767">
      <c r="A767" s="359">
        <v>46092.85711886574</v>
      </c>
      <c r="B767" s="193" t="s">
        <v>3097</v>
      </c>
      <c r="C767" s="193" t="s">
        <v>3091</v>
      </c>
      <c r="D767" s="193" t="s">
        <v>4679</v>
      </c>
    </row>
    <row r="768">
      <c r="A768" s="359">
        <v>46092.86076280093</v>
      </c>
      <c r="B768" s="193" t="s">
        <v>3097</v>
      </c>
      <c r="C768" s="193" t="s">
        <v>3091</v>
      </c>
      <c r="D768" s="193" t="s">
        <v>4680</v>
      </c>
    </row>
    <row r="769">
      <c r="A769" s="359">
        <v>46092.862087870366</v>
      </c>
      <c r="C769" s="193" t="s">
        <v>3119</v>
      </c>
      <c r="D769" s="193" t="s">
        <v>3944</v>
      </c>
    </row>
    <row r="770">
      <c r="A770" s="359">
        <v>46092.86537702546</v>
      </c>
      <c r="B770" s="193" t="s">
        <v>3097</v>
      </c>
      <c r="C770" s="193" t="s">
        <v>3418</v>
      </c>
      <c r="D770" s="193" t="s">
        <v>4682</v>
      </c>
    </row>
    <row r="771">
      <c r="A771" s="359">
        <v>46092.90262673611</v>
      </c>
      <c r="C771" s="193" t="s">
        <v>3119</v>
      </c>
      <c r="D771" s="193" t="s">
        <v>3979</v>
      </c>
    </row>
    <row r="772">
      <c r="A772" s="359">
        <v>46092.921863634256</v>
      </c>
      <c r="C772" s="193" t="s">
        <v>3119</v>
      </c>
      <c r="D772" s="193" t="s">
        <v>3940</v>
      </c>
    </row>
    <row r="773">
      <c r="A773" s="359">
        <v>46092.92294773148</v>
      </c>
      <c r="C773" s="193" t="s">
        <v>3119</v>
      </c>
      <c r="D773" s="193" t="s">
        <v>3940</v>
      </c>
    </row>
    <row r="774">
      <c r="A774" s="359">
        <v>46093.79928219908</v>
      </c>
      <c r="C774" s="193" t="s">
        <v>3119</v>
      </c>
      <c r="D774" s="193" t="s">
        <v>4081</v>
      </c>
    </row>
    <row r="775">
      <c r="A775" s="359">
        <v>46093.80442212963</v>
      </c>
      <c r="C775" s="193" t="s">
        <v>3119</v>
      </c>
      <c r="D775" s="193" t="s">
        <v>4081</v>
      </c>
    </row>
    <row r="776">
      <c r="A776" s="359">
        <v>46093.80804711806</v>
      </c>
      <c r="C776" s="193" t="s">
        <v>3119</v>
      </c>
      <c r="D776" s="193" t="s">
        <v>4081</v>
      </c>
    </row>
    <row r="777">
      <c r="A777" s="359">
        <v>46093.83281515047</v>
      </c>
      <c r="B777" s="193" t="s">
        <v>3097</v>
      </c>
      <c r="C777" s="193" t="s">
        <v>3091</v>
      </c>
      <c r="D777" s="193" t="s">
        <v>4690</v>
      </c>
    </row>
    <row r="778">
      <c r="A778" s="359">
        <v>46093.87867085648</v>
      </c>
      <c r="C778" s="193" t="s">
        <v>3119</v>
      </c>
      <c r="D778" s="193" t="s">
        <v>3995</v>
      </c>
    </row>
    <row r="779">
      <c r="A779" s="359">
        <v>46093.879863124996</v>
      </c>
      <c r="C779" s="193" t="s">
        <v>3119</v>
      </c>
      <c r="D779" s="193" t="s">
        <v>3999</v>
      </c>
    </row>
    <row r="780">
      <c r="A780" s="359">
        <v>46093.8823399074</v>
      </c>
      <c r="C780" s="193" t="s">
        <v>3119</v>
      </c>
      <c r="D780" s="193" t="s">
        <v>4002</v>
      </c>
    </row>
    <row r="781">
      <c r="A781" s="359">
        <v>46093.9022553588</v>
      </c>
      <c r="C781" s="193" t="s">
        <v>3119</v>
      </c>
      <c r="D781" s="193" t="s">
        <v>3979</v>
      </c>
    </row>
    <row r="782">
      <c r="A782" s="359">
        <v>46093.925411435186</v>
      </c>
      <c r="C782" s="193" t="s">
        <v>3119</v>
      </c>
      <c r="D782" s="193" t="s">
        <v>3999</v>
      </c>
    </row>
    <row r="783">
      <c r="A783" s="359">
        <v>46093.92592167824</v>
      </c>
      <c r="C783" s="193" t="s">
        <v>3119</v>
      </c>
      <c r="D783" s="193" t="s">
        <v>3999</v>
      </c>
    </row>
    <row r="784">
      <c r="A784" s="359">
        <v>46093.97695488426</v>
      </c>
      <c r="B784" s="193" t="s">
        <v>3097</v>
      </c>
      <c r="C784" s="193" t="s">
        <v>3119</v>
      </c>
      <c r="D784" s="193" t="s">
        <v>3951</v>
      </c>
    </row>
    <row r="785">
      <c r="A785" s="359">
        <v>46094.713513483795</v>
      </c>
      <c r="C785" s="193" t="s">
        <v>3119</v>
      </c>
      <c r="D785" s="193" t="s">
        <v>4696</v>
      </c>
    </row>
    <row r="786">
      <c r="A786" s="359">
        <v>46094.73106680556</v>
      </c>
      <c r="C786" s="193" t="s">
        <v>3119</v>
      </c>
      <c r="D786" s="193" t="s">
        <v>4698</v>
      </c>
    </row>
    <row r="787">
      <c r="A787" s="359">
        <v>46094.73120635416</v>
      </c>
      <c r="C787" s="193" t="s">
        <v>3119</v>
      </c>
      <c r="D787" s="193" t="s">
        <v>4698</v>
      </c>
    </row>
    <row r="788">
      <c r="A788" s="359">
        <v>46094.732775937504</v>
      </c>
      <c r="C788" s="193" t="s">
        <v>3119</v>
      </c>
      <c r="D788" s="193" t="s">
        <v>4698</v>
      </c>
    </row>
    <row r="789">
      <c r="A789" s="359">
        <v>46094.80782181713</v>
      </c>
      <c r="B789" s="193" t="s">
        <v>3097</v>
      </c>
      <c r="C789" s="193" t="s">
        <v>3119</v>
      </c>
      <c r="D789" s="193" t="s">
        <v>4699</v>
      </c>
    </row>
    <row r="790">
      <c r="A790" s="359">
        <v>46094.80793202546</v>
      </c>
      <c r="B790" s="193" t="s">
        <v>3097</v>
      </c>
      <c r="C790" s="193" t="s">
        <v>3119</v>
      </c>
      <c r="D790" s="193" t="s">
        <v>4699</v>
      </c>
    </row>
    <row r="791">
      <c r="A791" s="359">
        <v>46094.80879390046</v>
      </c>
      <c r="B791" s="193" t="s">
        <v>3097</v>
      </c>
      <c r="C791" s="193" t="s">
        <v>3119</v>
      </c>
      <c r="D791" s="193" t="s">
        <v>4699</v>
      </c>
    </row>
    <row r="792">
      <c r="A792" s="359">
        <v>46094.819276793976</v>
      </c>
      <c r="C792" s="193" t="s">
        <v>3119</v>
      </c>
      <c r="D792" s="193" t="s">
        <v>4699</v>
      </c>
    </row>
    <row r="793">
      <c r="A793" s="359">
        <v>46094.819540752316</v>
      </c>
      <c r="B793" s="193" t="s">
        <v>3097</v>
      </c>
      <c r="C793" s="193" t="s">
        <v>3119</v>
      </c>
      <c r="D793" s="193" t="s">
        <v>4699</v>
      </c>
    </row>
    <row r="794">
      <c r="A794" s="359">
        <v>46094.824566006944</v>
      </c>
      <c r="B794" s="193" t="s">
        <v>3097</v>
      </c>
      <c r="C794" s="193" t="s">
        <v>3119</v>
      </c>
      <c r="D794" s="193" t="s">
        <v>4652</v>
      </c>
    </row>
    <row r="795">
      <c r="A795" s="359">
        <v>46094.82569252315</v>
      </c>
      <c r="C795" s="193" t="s">
        <v>3119</v>
      </c>
      <c r="D795" s="193" t="s">
        <v>4362</v>
      </c>
    </row>
    <row r="796">
      <c r="A796" s="359">
        <v>46094.82649608796</v>
      </c>
      <c r="C796" s="193" t="s">
        <v>3119</v>
      </c>
      <c r="D796" s="193" t="s">
        <v>4362</v>
      </c>
    </row>
    <row r="797">
      <c r="A797" s="359">
        <v>46094.82667784722</v>
      </c>
      <c r="B797" s="193" t="s">
        <v>3097</v>
      </c>
      <c r="C797" s="193" t="s">
        <v>3119</v>
      </c>
      <c r="D797" s="193" t="s">
        <v>4676</v>
      </c>
    </row>
    <row r="798">
      <c r="A798" s="359">
        <v>46094.83359684028</v>
      </c>
      <c r="B798" s="193" t="s">
        <v>3097</v>
      </c>
      <c r="C798" s="193" t="s">
        <v>3119</v>
      </c>
      <c r="D798" s="193" t="s">
        <v>4707</v>
      </c>
    </row>
    <row r="799">
      <c r="A799" s="359">
        <v>46094.84425005787</v>
      </c>
      <c r="C799" s="193" t="s">
        <v>3119</v>
      </c>
      <c r="D799" s="193" t="s">
        <v>4069</v>
      </c>
    </row>
    <row r="800">
      <c r="A800" s="359">
        <v>46094.860779131945</v>
      </c>
      <c r="B800" s="193" t="s">
        <v>3097</v>
      </c>
      <c r="C800" s="193" t="s">
        <v>3119</v>
      </c>
      <c r="D800" s="193" t="s">
        <v>4709</v>
      </c>
    </row>
    <row r="801">
      <c r="A801" s="359">
        <v>46094.86240265046</v>
      </c>
      <c r="B801" s="193" t="s">
        <v>3097</v>
      </c>
      <c r="C801" s="193" t="s">
        <v>3119</v>
      </c>
      <c r="D801" s="193" t="s">
        <v>4711</v>
      </c>
    </row>
    <row r="802">
      <c r="A802" s="359">
        <v>46094.86286471065</v>
      </c>
      <c r="B802" s="193" t="s">
        <v>3097</v>
      </c>
      <c r="C802" s="193" t="s">
        <v>3119</v>
      </c>
      <c r="D802" s="193" t="s">
        <v>4026</v>
      </c>
    </row>
    <row r="803">
      <c r="A803" s="359">
        <v>46094.86410799768</v>
      </c>
      <c r="B803" s="193" t="s">
        <v>3097</v>
      </c>
      <c r="C803" s="193" t="s">
        <v>3119</v>
      </c>
      <c r="D803" s="193" t="s">
        <v>4057</v>
      </c>
    </row>
    <row r="804">
      <c r="A804" s="359">
        <v>46094.86634125</v>
      </c>
      <c r="B804" s="193" t="s">
        <v>3097</v>
      </c>
      <c r="C804" s="193" t="s">
        <v>3119</v>
      </c>
      <c r="D804" s="193" t="s">
        <v>4290</v>
      </c>
    </row>
    <row r="805">
      <c r="A805" s="359">
        <v>46094.86749819445</v>
      </c>
      <c r="B805" s="193" t="s">
        <v>3097</v>
      </c>
      <c r="C805" s="193" t="s">
        <v>3119</v>
      </c>
      <c r="D805" s="193" t="s">
        <v>4026</v>
      </c>
    </row>
    <row r="806">
      <c r="A806" s="359">
        <v>46094.868225474536</v>
      </c>
      <c r="B806" s="193" t="s">
        <v>3097</v>
      </c>
      <c r="C806" s="193" t="s">
        <v>3119</v>
      </c>
      <c r="D806" s="193" t="s">
        <v>4026</v>
      </c>
    </row>
    <row r="807">
      <c r="A807" s="359">
        <v>46094.87067618055</v>
      </c>
      <c r="B807" s="193" t="s">
        <v>3097</v>
      </c>
      <c r="C807" s="193" t="s">
        <v>3119</v>
      </c>
      <c r="D807" s="193" t="s">
        <v>4026</v>
      </c>
    </row>
    <row r="808">
      <c r="A808" s="359">
        <v>46094.91776548611</v>
      </c>
      <c r="C808" s="193" t="s">
        <v>3119</v>
      </c>
      <c r="D808" s="193" t="s">
        <v>4063</v>
      </c>
    </row>
    <row r="809">
      <c r="A809" s="359">
        <v>46097.92632537037</v>
      </c>
      <c r="C809" s="193" t="s">
        <v>3119</v>
      </c>
      <c r="D809" s="193" t="s">
        <v>4362</v>
      </c>
    </row>
    <row r="810">
      <c r="A810" s="359">
        <v>46097.971746828705</v>
      </c>
      <c r="B810" s="193" t="s">
        <v>3097</v>
      </c>
      <c r="C810" s="193" t="s">
        <v>3091</v>
      </c>
      <c r="D810" s="193" t="s">
        <v>4716</v>
      </c>
    </row>
    <row r="811">
      <c r="A811" s="359">
        <v>46097.971813807875</v>
      </c>
      <c r="B811" s="193" t="s">
        <v>3097</v>
      </c>
      <c r="C811" s="193" t="s">
        <v>3091</v>
      </c>
      <c r="D811" s="193" t="s">
        <v>4717</v>
      </c>
    </row>
    <row r="812">
      <c r="A812" s="359">
        <v>46097.97185555556</v>
      </c>
      <c r="B812" s="193" t="s">
        <v>3097</v>
      </c>
      <c r="C812" s="193" t="s">
        <v>3091</v>
      </c>
      <c r="D812" s="193" t="s">
        <v>4719</v>
      </c>
    </row>
    <row r="813">
      <c r="A813" s="359">
        <v>46097.97191528935</v>
      </c>
      <c r="B813" s="193" t="s">
        <v>3097</v>
      </c>
      <c r="C813" s="193" t="s">
        <v>3091</v>
      </c>
      <c r="D813" s="193" t="s">
        <v>4720</v>
      </c>
    </row>
    <row r="814">
      <c r="A814" s="359">
        <v>46097.97992146991</v>
      </c>
      <c r="B814" s="193" t="s">
        <v>3097</v>
      </c>
      <c r="C814" s="193" t="s">
        <v>3418</v>
      </c>
      <c r="D814" s="193" t="s">
        <v>4722</v>
      </c>
    </row>
    <row r="815">
      <c r="A815" s="359">
        <v>46097.97997211806</v>
      </c>
      <c r="B815" s="193" t="s">
        <v>3097</v>
      </c>
      <c r="C815" s="193" t="s">
        <v>3418</v>
      </c>
      <c r="D815" s="193" t="s">
        <v>4723</v>
      </c>
    </row>
    <row r="816">
      <c r="A816" s="359">
        <v>46097.98001018519</v>
      </c>
      <c r="B816" s="193" t="s">
        <v>3097</v>
      </c>
      <c r="C816" s="193" t="s">
        <v>3418</v>
      </c>
      <c r="D816" s="193" t="s">
        <v>4724</v>
      </c>
    </row>
    <row r="817">
      <c r="A817" s="359">
        <v>46097.98004863426</v>
      </c>
      <c r="B817" s="193" t="s">
        <v>3097</v>
      </c>
      <c r="C817" s="193" t="s">
        <v>3418</v>
      </c>
      <c r="D817" s="193" t="s">
        <v>4725</v>
      </c>
    </row>
    <row r="818">
      <c r="A818" s="359">
        <v>46097.98008876157</v>
      </c>
      <c r="B818" s="193" t="s">
        <v>3097</v>
      </c>
      <c r="C818" s="193" t="s">
        <v>3418</v>
      </c>
      <c r="D818" s="193" t="s">
        <v>4726</v>
      </c>
    </row>
    <row r="819">
      <c r="A819" s="359">
        <v>46097.98013196759</v>
      </c>
      <c r="B819" s="193" t="s">
        <v>3097</v>
      </c>
      <c r="C819" s="193" t="s">
        <v>3418</v>
      </c>
      <c r="D819" s="193" t="s">
        <v>4728</v>
      </c>
    </row>
    <row r="820">
      <c r="A820" s="359">
        <v>46097.980184409724</v>
      </c>
      <c r="B820" s="193" t="s">
        <v>3097</v>
      </c>
      <c r="C820" s="193" t="s">
        <v>3418</v>
      </c>
      <c r="D820" s="193" t="s">
        <v>4731</v>
      </c>
    </row>
    <row r="821">
      <c r="A821" s="359">
        <v>46097.980234131945</v>
      </c>
      <c r="B821" s="193" t="s">
        <v>3097</v>
      </c>
      <c r="C821" s="193" t="s">
        <v>3418</v>
      </c>
      <c r="D821" s="193" t="s">
        <v>4732</v>
      </c>
    </row>
    <row r="822">
      <c r="A822" s="359">
        <v>46097.98027934028</v>
      </c>
      <c r="B822" s="193" t="s">
        <v>3097</v>
      </c>
      <c r="C822" s="193" t="s">
        <v>3418</v>
      </c>
      <c r="D822" s="193" t="s">
        <v>4733</v>
      </c>
    </row>
    <row r="823">
      <c r="A823" s="359">
        <v>46097.98035186343</v>
      </c>
      <c r="B823" s="193" t="s">
        <v>3097</v>
      </c>
      <c r="C823" s="193" t="s">
        <v>3418</v>
      </c>
      <c r="D823" s="193" t="s">
        <v>4734</v>
      </c>
    </row>
    <row r="824">
      <c r="A824" s="359">
        <v>46097.980389247685</v>
      </c>
      <c r="B824" s="193" t="s">
        <v>3097</v>
      </c>
      <c r="C824" s="193" t="s">
        <v>3418</v>
      </c>
      <c r="D824" s="193" t="s">
        <v>4735</v>
      </c>
    </row>
    <row r="825">
      <c r="A825" s="359">
        <v>46097.980440625004</v>
      </c>
      <c r="B825" s="193" t="s">
        <v>3097</v>
      </c>
      <c r="C825" s="193" t="s">
        <v>3418</v>
      </c>
      <c r="D825" s="193" t="s">
        <v>4736</v>
      </c>
    </row>
    <row r="826">
      <c r="A826" s="359">
        <v>46097.98049221065</v>
      </c>
      <c r="B826" s="193" t="s">
        <v>3097</v>
      </c>
      <c r="C826" s="193" t="s">
        <v>3418</v>
      </c>
      <c r="D826" s="193" t="s">
        <v>4740</v>
      </c>
    </row>
    <row r="827">
      <c r="A827" s="359">
        <v>46097.9805331713</v>
      </c>
      <c r="B827" s="193" t="s">
        <v>3097</v>
      </c>
      <c r="C827" s="193" t="s">
        <v>3418</v>
      </c>
      <c r="D827" s="193" t="s">
        <v>4742</v>
      </c>
    </row>
    <row r="828">
      <c r="A828" s="359">
        <v>46097.980591562504</v>
      </c>
      <c r="B828" s="193" t="s">
        <v>3097</v>
      </c>
      <c r="C828" s="193" t="s">
        <v>3418</v>
      </c>
      <c r="D828" s="193" t="s">
        <v>4745</v>
      </c>
    </row>
    <row r="829">
      <c r="A829" s="359">
        <v>46097.980627048615</v>
      </c>
      <c r="B829" s="193" t="s">
        <v>3097</v>
      </c>
      <c r="C829" s="193" t="s">
        <v>3418</v>
      </c>
      <c r="D829" s="193" t="s">
        <v>4746</v>
      </c>
    </row>
    <row r="830">
      <c r="A830" s="359">
        <v>46097.980683553236</v>
      </c>
      <c r="B830" s="193" t="s">
        <v>3097</v>
      </c>
      <c r="C830" s="193" t="s">
        <v>3418</v>
      </c>
      <c r="D830" s="193" t="s">
        <v>4747</v>
      </c>
    </row>
    <row r="831">
      <c r="A831" s="359">
        <v>46097.980744560184</v>
      </c>
      <c r="B831" s="193" t="s">
        <v>3097</v>
      </c>
      <c r="C831" s="193" t="s">
        <v>3418</v>
      </c>
      <c r="D831" s="193" t="s">
        <v>4748</v>
      </c>
    </row>
    <row r="832">
      <c r="A832" s="359">
        <v>46097.98079435185</v>
      </c>
      <c r="B832" s="193" t="s">
        <v>3097</v>
      </c>
      <c r="C832" s="193" t="s">
        <v>3418</v>
      </c>
      <c r="D832" s="193" t="s">
        <v>4750</v>
      </c>
    </row>
    <row r="833">
      <c r="A833" s="359">
        <v>46097.98084116898</v>
      </c>
      <c r="B833" s="193" t="s">
        <v>3097</v>
      </c>
      <c r="C833" s="193" t="s">
        <v>3418</v>
      </c>
      <c r="D833" s="193" t="s">
        <v>4755</v>
      </c>
    </row>
    <row r="834">
      <c r="A834" s="359">
        <v>46098.73579542824</v>
      </c>
      <c r="B834" s="193" t="s">
        <v>3097</v>
      </c>
      <c r="C834" s="193" t="s">
        <v>3091</v>
      </c>
      <c r="D834" s="193" t="s">
        <v>4759</v>
      </c>
    </row>
    <row r="835">
      <c r="A835" s="359">
        <v>46098.89201650463</v>
      </c>
      <c r="B835" s="193" t="s">
        <v>3097</v>
      </c>
      <c r="C835" s="193" t="s">
        <v>3119</v>
      </c>
      <c r="D835" s="193" t="s">
        <v>4761</v>
      </c>
    </row>
    <row r="836">
      <c r="A836" s="359">
        <v>46098.89267552084</v>
      </c>
      <c r="B836" s="193" t="s">
        <v>3097</v>
      </c>
      <c r="C836" s="193" t="s">
        <v>3119</v>
      </c>
      <c r="D836" s="193" t="s">
        <v>4707</v>
      </c>
    </row>
    <row r="837">
      <c r="A837" s="359">
        <v>46098.895366655095</v>
      </c>
      <c r="B837" s="193" t="s">
        <v>3097</v>
      </c>
      <c r="C837" s="193" t="s">
        <v>3091</v>
      </c>
      <c r="D837" s="193" t="s">
        <v>4762</v>
      </c>
    </row>
    <row r="838">
      <c r="A838" s="359">
        <v>46098.89547376157</v>
      </c>
      <c r="B838" s="193" t="s">
        <v>3097</v>
      </c>
      <c r="C838" s="193" t="s">
        <v>3091</v>
      </c>
      <c r="D838" s="193" t="s">
        <v>4765</v>
      </c>
    </row>
    <row r="839">
      <c r="A839" s="359">
        <v>46098.89556284722</v>
      </c>
      <c r="B839" s="193" t="s">
        <v>3097</v>
      </c>
      <c r="C839" s="193" t="s">
        <v>3091</v>
      </c>
      <c r="D839" s="193" t="s">
        <v>4766</v>
      </c>
    </row>
    <row r="840">
      <c r="A840" s="359">
        <v>46098.89664046296</v>
      </c>
      <c r="B840" s="193" t="s">
        <v>3097</v>
      </c>
      <c r="C840" s="193" t="s">
        <v>3418</v>
      </c>
      <c r="D840" s="193" t="s">
        <v>4770</v>
      </c>
    </row>
    <row r="841">
      <c r="A841" s="359">
        <v>46098.89670369213</v>
      </c>
      <c r="B841" s="193" t="s">
        <v>3097</v>
      </c>
      <c r="C841" s="193" t="s">
        <v>3418</v>
      </c>
      <c r="D841" s="193" t="s">
        <v>4773</v>
      </c>
    </row>
    <row r="842">
      <c r="A842" s="359">
        <v>46098.952430185185</v>
      </c>
      <c r="C842" s="193" t="s">
        <v>3119</v>
      </c>
      <c r="D842" s="193" t="s">
        <v>4775</v>
      </c>
    </row>
    <row r="843">
      <c r="A843" s="359">
        <v>46099.79946033565</v>
      </c>
      <c r="C843" s="193" t="s">
        <v>3119</v>
      </c>
      <c r="D843" s="193" t="s">
        <v>4038</v>
      </c>
    </row>
    <row r="844">
      <c r="A844" s="359">
        <v>46099.7994791088</v>
      </c>
      <c r="C844" s="193" t="s">
        <v>3119</v>
      </c>
      <c r="D844" s="193" t="s">
        <v>4698</v>
      </c>
    </row>
    <row r="845">
      <c r="A845" s="359">
        <v>46099.84248394676</v>
      </c>
      <c r="C845" s="193" t="s">
        <v>3119</v>
      </c>
      <c r="D845" s="193" t="s">
        <v>4778</v>
      </c>
    </row>
    <row r="846">
      <c r="A846" s="359">
        <v>46099.84252394676</v>
      </c>
      <c r="C846" s="193" t="s">
        <v>3119</v>
      </c>
      <c r="D846" s="193" t="s">
        <v>4778</v>
      </c>
    </row>
    <row r="847">
      <c r="A847" s="359">
        <v>46099.842809803245</v>
      </c>
      <c r="C847" s="193" t="s">
        <v>3119</v>
      </c>
      <c r="D847" s="193" t="s">
        <v>4778</v>
      </c>
    </row>
    <row r="848">
      <c r="A848" s="359">
        <v>46099.845582106485</v>
      </c>
      <c r="C848" s="193" t="s">
        <v>3119</v>
      </c>
      <c r="D848" s="193" t="s">
        <v>4778</v>
      </c>
    </row>
    <row r="849">
      <c r="A849" s="359">
        <v>46099.89981200232</v>
      </c>
      <c r="C849" s="193" t="s">
        <v>3119</v>
      </c>
      <c r="D849" s="193" t="s">
        <v>4698</v>
      </c>
    </row>
    <row r="850">
      <c r="A850" s="359">
        <v>46099.90632997685</v>
      </c>
      <c r="C850" s="193" t="s">
        <v>3119</v>
      </c>
      <c r="D850" s="193" t="s">
        <v>4783</v>
      </c>
    </row>
    <row r="851">
      <c r="A851" s="359">
        <v>46099.906826527775</v>
      </c>
      <c r="C851" s="193" t="s">
        <v>3119</v>
      </c>
      <c r="D851" s="193" t="s">
        <v>4786</v>
      </c>
    </row>
    <row r="852">
      <c r="A852" s="359">
        <v>46099.91008055556</v>
      </c>
      <c r="C852" s="193" t="s">
        <v>3119</v>
      </c>
      <c r="D852" s="193" t="s">
        <v>4787</v>
      </c>
    </row>
    <row r="853">
      <c r="A853" s="359">
        <v>46099.91188111111</v>
      </c>
      <c r="C853" s="193" t="s">
        <v>3119</v>
      </c>
      <c r="D853" s="193" t="s">
        <v>4788</v>
      </c>
    </row>
    <row r="854">
      <c r="A854" s="359">
        <v>46099.91278987269</v>
      </c>
      <c r="C854" s="193" t="s">
        <v>3119</v>
      </c>
      <c r="D854" s="193" t="s">
        <v>4789</v>
      </c>
    </row>
    <row r="855">
      <c r="A855" s="359">
        <v>46099.91527863426</v>
      </c>
      <c r="C855" s="193" t="s">
        <v>3119</v>
      </c>
      <c r="D855" s="193" t="s">
        <v>4790</v>
      </c>
    </row>
    <row r="856">
      <c r="A856" s="359">
        <v>46099.915544421296</v>
      </c>
      <c r="C856" s="193" t="s">
        <v>3119</v>
      </c>
      <c r="D856" s="193" t="s">
        <v>4790</v>
      </c>
    </row>
    <row r="857">
      <c r="A857" s="359">
        <v>46099.9158275463</v>
      </c>
      <c r="C857" s="193" t="s">
        <v>3119</v>
      </c>
      <c r="D857" s="193" t="s">
        <v>4791</v>
      </c>
    </row>
    <row r="858">
      <c r="A858" s="359">
        <v>46099.93861212963</v>
      </c>
      <c r="C858" s="193" t="s">
        <v>3119</v>
      </c>
      <c r="D858" s="193" t="s">
        <v>4057</v>
      </c>
    </row>
    <row r="859">
      <c r="A859" s="359">
        <v>46099.97987739583</v>
      </c>
      <c r="C859" s="193" t="s">
        <v>3119</v>
      </c>
      <c r="D859" s="193" t="s">
        <v>4069</v>
      </c>
    </row>
    <row r="860">
      <c r="A860" s="359">
        <v>46100.84144498843</v>
      </c>
      <c r="C860" s="193" t="s">
        <v>3119</v>
      </c>
      <c r="D860" s="193" t="s">
        <v>4698</v>
      </c>
    </row>
    <row r="861">
      <c r="A861" s="359">
        <v>46100.842163587964</v>
      </c>
      <c r="C861" s="193" t="s">
        <v>3119</v>
      </c>
      <c r="D861" s="193" t="s">
        <v>4795</v>
      </c>
    </row>
    <row r="862">
      <c r="A862" s="359">
        <v>46104.67659778935</v>
      </c>
      <c r="B862" s="193" t="s">
        <v>3097</v>
      </c>
      <c r="C862" s="193" t="s">
        <v>3091</v>
      </c>
      <c r="D862" s="193" t="s">
        <v>4796</v>
      </c>
    </row>
    <row r="863">
      <c r="A863" s="359">
        <v>46105.75285619213</v>
      </c>
      <c r="C863" s="193" t="s">
        <v>3119</v>
      </c>
      <c r="D863" s="193" t="s">
        <v>4061</v>
      </c>
    </row>
    <row r="864">
      <c r="A864" s="359">
        <v>46105.753111412036</v>
      </c>
      <c r="C864" s="193" t="s">
        <v>3119</v>
      </c>
      <c r="D864" s="193" t="s">
        <v>4112</v>
      </c>
    </row>
    <row r="865">
      <c r="A865" s="359">
        <v>46105.75367322916</v>
      </c>
      <c r="C865" s="193" t="s">
        <v>3119</v>
      </c>
      <c r="D865" s="193" t="s">
        <v>4125</v>
      </c>
    </row>
    <row r="866">
      <c r="A866" s="359">
        <v>46105.82873392361</v>
      </c>
      <c r="B866" s="193" t="s">
        <v>3097</v>
      </c>
      <c r="C866" s="193" t="s">
        <v>3119</v>
      </c>
      <c r="D866" s="193" t="s">
        <v>4127</v>
      </c>
    </row>
    <row r="867">
      <c r="A867" s="359">
        <v>46105.82876533565</v>
      </c>
      <c r="B867" s="193" t="s">
        <v>3097</v>
      </c>
      <c r="C867" s="193" t="s">
        <v>3119</v>
      </c>
      <c r="D867" s="193" t="s">
        <v>4127</v>
      </c>
    </row>
    <row r="868">
      <c r="A868" s="359">
        <v>46105.82880540509</v>
      </c>
      <c r="B868" s="193" t="s">
        <v>3097</v>
      </c>
      <c r="C868" s="193" t="s">
        <v>3119</v>
      </c>
      <c r="D868" s="193" t="s">
        <v>4127</v>
      </c>
    </row>
    <row r="869">
      <c r="A869" s="359">
        <v>46105.82894262731</v>
      </c>
      <c r="B869" s="193" t="s">
        <v>3097</v>
      </c>
      <c r="C869" s="193" t="s">
        <v>3119</v>
      </c>
      <c r="D869" s="193" t="s">
        <v>4127</v>
      </c>
    </row>
    <row r="870">
      <c r="A870" s="359">
        <v>46105.829363032404</v>
      </c>
      <c r="B870" s="193" t="s">
        <v>3097</v>
      </c>
      <c r="C870" s="193" t="s">
        <v>3091</v>
      </c>
      <c r="D870" s="193" t="s">
        <v>4803</v>
      </c>
    </row>
    <row r="871">
      <c r="A871" s="359">
        <v>46105.935208124996</v>
      </c>
      <c r="C871" s="193" t="s">
        <v>3119</v>
      </c>
      <c r="D871" s="193" t="s">
        <v>4698</v>
      </c>
    </row>
    <row r="872">
      <c r="A872" s="359">
        <v>46105.93700730324</v>
      </c>
      <c r="B872" s="193" t="s">
        <v>3097</v>
      </c>
      <c r="C872" s="193" t="s">
        <v>3091</v>
      </c>
      <c r="D872" s="193" t="s">
        <v>4804</v>
      </c>
    </row>
    <row r="873">
      <c r="A873" s="359">
        <v>46106.7154330787</v>
      </c>
      <c r="C873" s="193" t="s">
        <v>3119</v>
      </c>
      <c r="D873" s="193" t="s">
        <v>4158</v>
      </c>
    </row>
    <row r="874">
      <c r="A874" s="359">
        <v>46106.71558668981</v>
      </c>
      <c r="C874" s="193" t="s">
        <v>3119</v>
      </c>
      <c r="D874" s="193" t="s">
        <v>4158</v>
      </c>
    </row>
    <row r="875">
      <c r="A875" s="359">
        <v>46106.76067603009</v>
      </c>
      <c r="C875" s="193" t="s">
        <v>3119</v>
      </c>
      <c r="D875" s="193" t="s">
        <v>4061</v>
      </c>
    </row>
    <row r="876">
      <c r="A876" s="359">
        <v>46106.76089640046</v>
      </c>
      <c r="C876" s="193" t="s">
        <v>3119</v>
      </c>
      <c r="D876" s="193" t="s">
        <v>4061</v>
      </c>
    </row>
    <row r="877">
      <c r="A877" s="359">
        <v>46106.76270603009</v>
      </c>
      <c r="C877" s="193" t="s">
        <v>3119</v>
      </c>
      <c r="D877" s="193" t="s">
        <v>4061</v>
      </c>
    </row>
    <row r="878">
      <c r="A878" s="359">
        <v>46106.79503289352</v>
      </c>
      <c r="C878" s="193" t="s">
        <v>3119</v>
      </c>
      <c r="D878" s="193" t="s">
        <v>4004</v>
      </c>
    </row>
    <row r="879">
      <c r="A879" s="359">
        <v>46106.83478315972</v>
      </c>
      <c r="C879" s="193" t="s">
        <v>3119</v>
      </c>
      <c r="D879" s="193" t="s">
        <v>4125</v>
      </c>
    </row>
    <row r="880">
      <c r="A880" s="359">
        <v>46107.76638901621</v>
      </c>
      <c r="C880" s="193" t="s">
        <v>3119</v>
      </c>
      <c r="D880" s="193" t="s">
        <v>4458</v>
      </c>
    </row>
    <row r="881">
      <c r="A881" s="359">
        <v>46107.76856434028</v>
      </c>
      <c r="C881" s="193" t="s">
        <v>3119</v>
      </c>
      <c r="D881" s="193" t="s">
        <v>4063</v>
      </c>
    </row>
    <row r="882">
      <c r="A882" s="359">
        <v>46107.776570497685</v>
      </c>
      <c r="C882" s="193" t="s">
        <v>3119</v>
      </c>
      <c r="D882" s="193" t="s">
        <v>4156</v>
      </c>
    </row>
    <row r="883">
      <c r="A883" s="359">
        <v>46107.83609795139</v>
      </c>
      <c r="C883" s="193" t="s">
        <v>3119</v>
      </c>
      <c r="D883" s="193" t="s">
        <v>4795</v>
      </c>
    </row>
    <row r="884">
      <c r="A884" s="359">
        <v>46107.83622557871</v>
      </c>
      <c r="C884" s="193" t="s">
        <v>3119</v>
      </c>
      <c r="D884" s="193" t="s">
        <v>4795</v>
      </c>
    </row>
    <row r="885">
      <c r="A885" s="359">
        <v>46107.96857481482</v>
      </c>
      <c r="C885" s="193" t="s">
        <v>3119</v>
      </c>
      <c r="D885" s="193" t="s">
        <v>4031</v>
      </c>
    </row>
    <row r="886">
      <c r="A886" s="359">
        <v>46107.96939431713</v>
      </c>
      <c r="C886" s="193" t="s">
        <v>3119</v>
      </c>
      <c r="D886" s="193" t="s">
        <v>4031</v>
      </c>
    </row>
    <row r="887">
      <c r="A887" s="359">
        <v>46108.74309665509</v>
      </c>
      <c r="C887" s="193" t="s">
        <v>3119</v>
      </c>
      <c r="D887" s="193" t="s">
        <v>4061</v>
      </c>
    </row>
    <row r="888">
      <c r="A888" s="359">
        <v>46108.81571015046</v>
      </c>
      <c r="C888" s="193" t="s">
        <v>3119</v>
      </c>
      <c r="D888" s="193" t="s">
        <v>4061</v>
      </c>
    </row>
    <row r="889">
      <c r="A889" s="359">
        <v>46108.81766663195</v>
      </c>
      <c r="C889" s="193" t="s">
        <v>3119</v>
      </c>
      <c r="D889" s="193" t="s">
        <v>4061</v>
      </c>
    </row>
    <row r="890">
      <c r="A890" s="359">
        <v>46111.81599350694</v>
      </c>
      <c r="C890" s="193" t="s">
        <v>3119</v>
      </c>
      <c r="D890" s="193" t="s">
        <v>4009</v>
      </c>
    </row>
    <row r="891">
      <c r="A891" s="359">
        <v>46111.81600733796</v>
      </c>
      <c r="C891" s="193" t="s">
        <v>3119</v>
      </c>
      <c r="D891" s="193" t="s">
        <v>4009</v>
      </c>
    </row>
    <row r="892">
      <c r="A892" s="359">
        <v>46111.82028153935</v>
      </c>
      <c r="C892" s="193" t="s">
        <v>3119</v>
      </c>
      <c r="D892" s="193" t="s">
        <v>4009</v>
      </c>
    </row>
    <row r="893">
      <c r="A893" s="359">
        <v>46111.912763541666</v>
      </c>
      <c r="C893" s="193" t="s">
        <v>3119</v>
      </c>
      <c r="D893" s="193" t="s">
        <v>4795</v>
      </c>
    </row>
    <row r="894">
      <c r="A894" s="359">
        <v>46111.91486582176</v>
      </c>
      <c r="C894" s="193" t="s">
        <v>3119</v>
      </c>
      <c r="D894" s="193" t="s">
        <v>4795</v>
      </c>
    </row>
    <row r="895">
      <c r="A895" s="359">
        <v>46111.916092326384</v>
      </c>
      <c r="C895" s="193" t="s">
        <v>3119</v>
      </c>
      <c r="D895" s="193" t="s">
        <v>4795</v>
      </c>
    </row>
    <row r="896">
      <c r="A896" s="359">
        <v>46111.91804916666</v>
      </c>
      <c r="C896" s="193" t="s">
        <v>3119</v>
      </c>
      <c r="D896" s="193" t="s">
        <v>4815</v>
      </c>
    </row>
    <row r="897">
      <c r="A897" s="359">
        <v>46111.95182328703</v>
      </c>
      <c r="C897" s="193" t="s">
        <v>3119</v>
      </c>
      <c r="D897" s="193" t="s">
        <v>4031</v>
      </c>
    </row>
    <row r="898">
      <c r="A898" s="359">
        <v>46111.952460243054</v>
      </c>
      <c r="C898" s="193" t="s">
        <v>3119</v>
      </c>
      <c r="D898" s="193" t="s">
        <v>4334</v>
      </c>
    </row>
    <row r="899">
      <c r="A899" s="359">
        <v>46111.96138886574</v>
      </c>
      <c r="C899" s="193" t="s">
        <v>3119</v>
      </c>
      <c r="D899" s="193" t="s">
        <v>4817</v>
      </c>
    </row>
    <row r="900">
      <c r="A900" s="359">
        <v>46111.961427118054</v>
      </c>
      <c r="C900" s="193" t="s">
        <v>3119</v>
      </c>
      <c r="D900" s="193" t="s">
        <v>4817</v>
      </c>
    </row>
    <row r="901">
      <c r="A901" s="359">
        <v>46112.79797876158</v>
      </c>
      <c r="C901" s="193" t="s">
        <v>3119</v>
      </c>
      <c r="D901" s="193" t="s">
        <v>4818</v>
      </c>
    </row>
    <row r="902">
      <c r="A902" s="359">
        <v>46112.79921079861</v>
      </c>
      <c r="C902" s="193" t="s">
        <v>3119</v>
      </c>
      <c r="D902" s="193" t="s">
        <v>4137</v>
      </c>
    </row>
    <row r="903">
      <c r="A903" s="359">
        <v>46112.85093572916</v>
      </c>
      <c r="C903" s="193" t="s">
        <v>3119</v>
      </c>
      <c r="D903" s="193" t="s">
        <v>4136</v>
      </c>
    </row>
    <row r="905">
      <c r="A905" s="359">
        <v>46112.89214858796</v>
      </c>
      <c r="B905" s="193" t="s">
        <v>3097</v>
      </c>
      <c r="C905" s="193" t="s">
        <v>3119</v>
      </c>
      <c r="D905" s="193" t="s">
        <v>4817</v>
      </c>
    </row>
    <row r="906">
      <c r="A906" s="359">
        <v>46112.89476284722</v>
      </c>
      <c r="B906" s="193" t="s">
        <v>3097</v>
      </c>
      <c r="C906" s="193" t="s">
        <v>3119</v>
      </c>
      <c r="D906" s="193" t="s">
        <v>3823</v>
      </c>
    </row>
    <row r="907">
      <c r="A907" s="359">
        <v>46112.895915636575</v>
      </c>
      <c r="B907" s="193" t="s">
        <v>3097</v>
      </c>
      <c r="C907" s="193" t="s">
        <v>3119</v>
      </c>
      <c r="D907" s="193" t="s">
        <v>4821</v>
      </c>
    </row>
    <row r="908">
      <c r="A908" s="359">
        <v>46112.895996747684</v>
      </c>
      <c r="B908" s="193" t="s">
        <v>3097</v>
      </c>
      <c r="C908" s="193" t="s">
        <v>3119</v>
      </c>
      <c r="D908" s="193" t="s">
        <v>3944</v>
      </c>
    </row>
    <row r="909">
      <c r="A909" s="359">
        <v>46112.89735988426</v>
      </c>
      <c r="B909" s="193" t="s">
        <v>3097</v>
      </c>
      <c r="C909" s="193" t="s">
        <v>3119</v>
      </c>
      <c r="D909" s="193" t="s">
        <v>4109</v>
      </c>
    </row>
    <row r="910">
      <c r="A910" s="359">
        <v>46112.89835979167</v>
      </c>
      <c r="B910" s="193" t="s">
        <v>3097</v>
      </c>
      <c r="C910" s="193" t="s">
        <v>3119</v>
      </c>
      <c r="D910" s="193" t="s">
        <v>4822</v>
      </c>
    </row>
    <row r="911">
      <c r="A911" s="359">
        <v>46112.898415856485</v>
      </c>
      <c r="B911" s="193" t="s">
        <v>3097</v>
      </c>
      <c r="C911" s="193" t="s">
        <v>3119</v>
      </c>
      <c r="D911" s="193" t="s">
        <v>4822</v>
      </c>
    </row>
    <row r="912">
      <c r="A912" s="359">
        <v>46112.898516354166</v>
      </c>
      <c r="B912" s="193" t="s">
        <v>3097</v>
      </c>
      <c r="C912" s="193" t="s">
        <v>3119</v>
      </c>
      <c r="D912" s="193" t="s">
        <v>4109</v>
      </c>
    </row>
    <row r="913">
      <c r="A913" s="359">
        <v>46112.89854760417</v>
      </c>
      <c r="B913" s="193" t="s">
        <v>3097</v>
      </c>
      <c r="C913" s="193" t="s">
        <v>3119</v>
      </c>
      <c r="D913" s="193" t="s">
        <v>3944</v>
      </c>
    </row>
    <row r="914">
      <c r="A914" s="359">
        <v>46112.9021608912</v>
      </c>
      <c r="B914" s="193" t="s">
        <v>3097</v>
      </c>
      <c r="C914" s="193" t="s">
        <v>3119</v>
      </c>
      <c r="D914" s="193" t="s">
        <v>4487</v>
      </c>
    </row>
    <row r="915">
      <c r="A915" s="359">
        <v>46112.90217622685</v>
      </c>
      <c r="B915" s="193" t="s">
        <v>3097</v>
      </c>
      <c r="C915" s="193" t="s">
        <v>3119</v>
      </c>
      <c r="D915" s="193" t="s">
        <v>4487</v>
      </c>
    </row>
    <row r="916">
      <c r="A916" s="359">
        <v>46112.90349054398</v>
      </c>
      <c r="B916" s="193" t="s">
        <v>3097</v>
      </c>
      <c r="C916" s="193" t="s">
        <v>3119</v>
      </c>
      <c r="D916" s="193" t="s">
        <v>4487</v>
      </c>
    </row>
    <row r="917">
      <c r="A917" s="359">
        <v>46112.90381614583</v>
      </c>
      <c r="B917" s="193" t="s">
        <v>3097</v>
      </c>
      <c r="C917" s="193" t="s">
        <v>3119</v>
      </c>
      <c r="D917" s="193" t="s">
        <v>4823</v>
      </c>
    </row>
    <row r="918">
      <c r="A918" s="359">
        <v>46112.930161365744</v>
      </c>
      <c r="B918" s="193" t="s">
        <v>3097</v>
      </c>
      <c r="C918" s="193" t="s">
        <v>3119</v>
      </c>
      <c r="D918" s="193" t="s">
        <v>4824</v>
      </c>
    </row>
    <row r="919">
      <c r="A919" s="359">
        <v>46112.930444178244</v>
      </c>
      <c r="B919" s="193" t="s">
        <v>3097</v>
      </c>
      <c r="C919" s="193" t="s">
        <v>3119</v>
      </c>
      <c r="D919" s="193" t="s">
        <v>4825</v>
      </c>
    </row>
    <row r="920">
      <c r="A920" s="359">
        <v>46112.94660484954</v>
      </c>
      <c r="B920" s="193" t="s">
        <v>3097</v>
      </c>
      <c r="C920" s="193" t="s">
        <v>3119</v>
      </c>
      <c r="D920" s="193" t="s">
        <v>4565</v>
      </c>
    </row>
    <row r="921">
      <c r="A921" s="359">
        <v>46112.95349903935</v>
      </c>
      <c r="B921" s="193" t="s">
        <v>3097</v>
      </c>
      <c r="C921" s="193" t="s">
        <v>3119</v>
      </c>
      <c r="D921" s="193" t="s">
        <v>4707</v>
      </c>
    </row>
    <row r="922">
      <c r="A922" s="359">
        <v>46112.95524988426</v>
      </c>
      <c r="B922" s="193" t="s">
        <v>3097</v>
      </c>
      <c r="C922" s="193" t="s">
        <v>3119</v>
      </c>
      <c r="D922" s="193" t="s">
        <v>4440</v>
      </c>
    </row>
    <row r="923">
      <c r="A923" s="359">
        <v>46112.95725821759</v>
      </c>
      <c r="B923" s="193" t="s">
        <v>3097</v>
      </c>
      <c r="C923" s="193" t="s">
        <v>3119</v>
      </c>
      <c r="D923" s="193" t="s">
        <v>4826</v>
      </c>
    </row>
    <row r="924">
      <c r="A924" s="359">
        <v>46112.96315940972</v>
      </c>
      <c r="B924" s="193" t="s">
        <v>3097</v>
      </c>
      <c r="C924" s="193" t="s">
        <v>3119</v>
      </c>
      <c r="D924" s="193" t="s">
        <v>4826</v>
      </c>
    </row>
    <row r="925">
      <c r="A925" s="359">
        <v>46113.832155729164</v>
      </c>
      <c r="C925" s="193" t="s">
        <v>3119</v>
      </c>
      <c r="D925" s="193" t="s">
        <v>4827</v>
      </c>
    </row>
    <row r="926">
      <c r="A926" s="359">
        <v>46113.83686949074</v>
      </c>
      <c r="C926" s="193" t="s">
        <v>3119</v>
      </c>
      <c r="D926" s="193" t="s">
        <v>4828</v>
      </c>
    </row>
    <row r="927">
      <c r="A927" s="359">
        <v>46114.67645025463</v>
      </c>
      <c r="C927" s="193" t="s">
        <v>3119</v>
      </c>
      <c r="D927" s="193" t="s">
        <v>4829</v>
      </c>
    </row>
    <row r="928">
      <c r="A928" s="359">
        <v>46114.67792836805</v>
      </c>
      <c r="C928" s="193" t="s">
        <v>3119</v>
      </c>
      <c r="D928" s="193" t="s">
        <v>4830</v>
      </c>
    </row>
    <row r="929">
      <c r="A929" s="359">
        <v>46114.76711204861</v>
      </c>
      <c r="B929" s="193" t="s">
        <v>3097</v>
      </c>
      <c r="C929" s="193" t="s">
        <v>3119</v>
      </c>
      <c r="D929" s="193" t="s">
        <v>4830</v>
      </c>
    </row>
    <row r="930">
      <c r="A930" s="359">
        <v>46114.78694658565</v>
      </c>
      <c r="C930" s="193" t="s">
        <v>3119</v>
      </c>
      <c r="D930" s="193" t="s">
        <v>4828</v>
      </c>
    </row>
    <row r="931">
      <c r="A931" s="359">
        <v>46114.79171866898</v>
      </c>
      <c r="C931" s="193" t="s">
        <v>3119</v>
      </c>
      <c r="D931" s="193" t="s">
        <v>4828</v>
      </c>
    </row>
    <row r="932">
      <c r="A932" s="359">
        <v>46114.79199565972</v>
      </c>
      <c r="C932" s="193" t="s">
        <v>3119</v>
      </c>
      <c r="D932" s="193" t="s">
        <v>4828</v>
      </c>
    </row>
    <row r="933">
      <c r="A933" s="359">
        <v>46114.82063210648</v>
      </c>
      <c r="C933" s="193" t="s">
        <v>3119</v>
      </c>
      <c r="D933" s="193" t="s">
        <v>4136</v>
      </c>
    </row>
    <row r="934">
      <c r="A934" s="359">
        <v>46114.82231603009</v>
      </c>
      <c r="C934" s="193" t="s">
        <v>3119</v>
      </c>
      <c r="D934" s="193" t="s">
        <v>4833</v>
      </c>
    </row>
    <row r="935">
      <c r="A935" s="359">
        <v>46114.83608959491</v>
      </c>
      <c r="C935" s="193" t="s">
        <v>3119</v>
      </c>
      <c r="D935" s="193" t="s">
        <v>4833</v>
      </c>
    </row>
    <row r="936">
      <c r="A936" s="359">
        <v>46114.844892685185</v>
      </c>
      <c r="B936" s="193" t="s">
        <v>3097</v>
      </c>
      <c r="C936" s="193" t="s">
        <v>3119</v>
      </c>
      <c r="D936" s="193" t="s">
        <v>4136</v>
      </c>
    </row>
    <row r="937">
      <c r="A937" s="359">
        <v>46114.84939780092</v>
      </c>
      <c r="C937" s="193" t="s">
        <v>3119</v>
      </c>
      <c r="D937" s="193" t="s">
        <v>4248</v>
      </c>
    </row>
    <row r="938">
      <c r="A938" s="359">
        <v>46115.731690925924</v>
      </c>
      <c r="C938" s="193" t="s">
        <v>3119</v>
      </c>
      <c r="D938" s="193" t="s">
        <v>4149</v>
      </c>
    </row>
    <row r="939">
      <c r="A939" s="359">
        <v>46115.75221564814</v>
      </c>
      <c r="C939" s="193" t="s">
        <v>3119</v>
      </c>
      <c r="D939" s="193" t="s">
        <v>4149</v>
      </c>
    </row>
    <row r="940">
      <c r="A940" s="359">
        <v>46115.75528585648</v>
      </c>
      <c r="C940" s="193" t="s">
        <v>3119</v>
      </c>
      <c r="D940" s="193" t="s">
        <v>4828</v>
      </c>
    </row>
    <row r="941">
      <c r="A941" s="359">
        <v>46115.75673810185</v>
      </c>
      <c r="C941" s="193" t="s">
        <v>3119</v>
      </c>
      <c r="D941" s="193" t="s">
        <v>4828</v>
      </c>
    </row>
    <row r="942">
      <c r="A942" s="359">
        <v>46115.75693403935</v>
      </c>
      <c r="C942" s="193" t="s">
        <v>3119</v>
      </c>
      <c r="D942" s="193" t="s">
        <v>4828</v>
      </c>
    </row>
    <row r="943">
      <c r="A943" s="359">
        <v>46115.75924075232</v>
      </c>
      <c r="C943" s="193" t="s">
        <v>3119</v>
      </c>
      <c r="D943" s="193" t="s">
        <v>4828</v>
      </c>
    </row>
    <row r="944">
      <c r="A944" s="359">
        <v>46115.77075142361</v>
      </c>
      <c r="C944" s="193" t="s">
        <v>3119</v>
      </c>
      <c r="D944" s="193" t="s">
        <v>4828</v>
      </c>
    </row>
    <row r="945">
      <c r="A945" s="359">
        <v>46115.772690451384</v>
      </c>
      <c r="C945" s="193" t="s">
        <v>3119</v>
      </c>
      <c r="D945" s="193" t="s">
        <v>4828</v>
      </c>
    </row>
    <row r="946">
      <c r="A946" s="359">
        <v>46115.79121390046</v>
      </c>
      <c r="C946" s="193" t="s">
        <v>3119</v>
      </c>
      <c r="D946" s="193" t="s">
        <v>4828</v>
      </c>
    </row>
    <row r="947">
      <c r="A947" s="359">
        <v>46115.85602690972</v>
      </c>
      <c r="C947" s="193" t="s">
        <v>3119</v>
      </c>
      <c r="D947" s="193" t="s">
        <v>4063</v>
      </c>
    </row>
    <row r="948">
      <c r="A948" s="359">
        <v>46115.89851328704</v>
      </c>
      <c r="C948" s="193" t="s">
        <v>3119</v>
      </c>
      <c r="D948" s="193" t="s">
        <v>4248</v>
      </c>
    </row>
    <row r="949">
      <c r="A949" s="359">
        <v>46115.914479178246</v>
      </c>
      <c r="C949" s="193" t="s">
        <v>3119</v>
      </c>
      <c r="D949" s="193" t="s">
        <v>4248</v>
      </c>
    </row>
    <row r="950">
      <c r="A950" s="359">
        <v>46119.85774234954</v>
      </c>
      <c r="C950" s="193" t="s">
        <v>3119</v>
      </c>
      <c r="D950" s="193" t="s">
        <v>4136</v>
      </c>
    </row>
    <row r="951">
      <c r="A951" s="359">
        <v>46120.89089833334</v>
      </c>
      <c r="B951" s="193" t="s">
        <v>3097</v>
      </c>
      <c r="C951" s="193" t="s">
        <v>3119</v>
      </c>
      <c r="D951" s="193" t="s">
        <v>4845</v>
      </c>
    </row>
    <row r="952">
      <c r="A952" s="359">
        <v>46120.92570717593</v>
      </c>
      <c r="C952" s="193" t="s">
        <v>3119</v>
      </c>
      <c r="D952" s="193" t="s">
        <v>4241</v>
      </c>
    </row>
    <row r="953">
      <c r="A953" s="359">
        <v>46120.9261244213</v>
      </c>
      <c r="C953" s="193" t="s">
        <v>3119</v>
      </c>
      <c r="D953" s="193" t="s">
        <v>4241</v>
      </c>
    </row>
    <row r="954">
      <c r="A954" s="359">
        <v>46121.75262922454</v>
      </c>
      <c r="C954" s="193" t="s">
        <v>3119</v>
      </c>
      <c r="D954" s="193" t="s">
        <v>4138</v>
      </c>
    </row>
    <row r="955">
      <c r="A955" s="359">
        <v>46121.81338662037</v>
      </c>
      <c r="C955" s="193" t="s">
        <v>3119</v>
      </c>
      <c r="D955" s="193" t="s">
        <v>4449</v>
      </c>
    </row>
    <row r="956">
      <c r="A956" s="359">
        <v>46121.81549729167</v>
      </c>
      <c r="B956" s="193" t="s">
        <v>3097</v>
      </c>
      <c r="C956" s="193" t="s">
        <v>3091</v>
      </c>
      <c r="D956" s="193" t="s">
        <v>4850</v>
      </c>
    </row>
    <row r="957">
      <c r="A957" s="359">
        <v>46121.815592280094</v>
      </c>
      <c r="B957" s="193" t="s">
        <v>3097</v>
      </c>
      <c r="C957" s="193" t="s">
        <v>3091</v>
      </c>
      <c r="D957" s="193" t="s">
        <v>4851</v>
      </c>
    </row>
    <row r="958">
      <c r="A958" s="359">
        <v>46121.818963935184</v>
      </c>
      <c r="B958" s="193" t="s">
        <v>3097</v>
      </c>
      <c r="C958" s="193" t="s">
        <v>3091</v>
      </c>
      <c r="D958" s="193" t="s">
        <v>4852</v>
      </c>
    </row>
    <row r="959">
      <c r="A959" s="359">
        <v>46121.82240967592</v>
      </c>
      <c r="B959" s="193" t="s">
        <v>3097</v>
      </c>
      <c r="C959" s="193" t="s">
        <v>3091</v>
      </c>
      <c r="D959" s="193" t="s">
        <v>4853</v>
      </c>
    </row>
    <row r="960">
      <c r="A960" s="359">
        <v>46121.8224812963</v>
      </c>
      <c r="B960" s="193" t="s">
        <v>3097</v>
      </c>
      <c r="C960" s="193" t="s">
        <v>3091</v>
      </c>
      <c r="D960" s="193" t="s">
        <v>4855</v>
      </c>
    </row>
    <row r="961">
      <c r="A961" s="359">
        <v>46121.86577096065</v>
      </c>
      <c r="C961" s="193" t="s">
        <v>3119</v>
      </c>
      <c r="D961" s="193" t="s">
        <v>4248</v>
      </c>
    </row>
    <row r="962">
      <c r="A962" s="359">
        <v>46121.866127905094</v>
      </c>
      <c r="C962" s="193" t="s">
        <v>3119</v>
      </c>
      <c r="D962" s="193" t="s">
        <v>4248</v>
      </c>
    </row>
    <row r="963">
      <c r="A963" s="359">
        <v>46121.86681440972</v>
      </c>
      <c r="C963" s="193" t="s">
        <v>3119</v>
      </c>
      <c r="D963" s="193" t="s">
        <v>4248</v>
      </c>
    </row>
    <row r="964">
      <c r="A964" s="359">
        <v>46121.88474378472</v>
      </c>
      <c r="B964" s="193" t="s">
        <v>3097</v>
      </c>
      <c r="C964" s="193" t="s">
        <v>3119</v>
      </c>
      <c r="D964" s="193" t="s">
        <v>4845</v>
      </c>
    </row>
    <row r="965">
      <c r="A965" s="359">
        <v>46122.72867128473</v>
      </c>
      <c r="B965" s="193" t="s">
        <v>3097</v>
      </c>
      <c r="C965" s="193" t="s">
        <v>3091</v>
      </c>
      <c r="D965" s="193" t="s">
        <v>4861</v>
      </c>
    </row>
    <row r="966">
      <c r="A966" s="359">
        <v>46122.72874038194</v>
      </c>
      <c r="B966" s="193" t="s">
        <v>3097</v>
      </c>
      <c r="C966" s="193" t="s">
        <v>3091</v>
      </c>
      <c r="D966" s="193" t="s">
        <v>4862</v>
      </c>
    </row>
    <row r="967">
      <c r="A967" s="359">
        <v>46122.72920353009</v>
      </c>
      <c r="C967" s="193" t="s">
        <v>3119</v>
      </c>
      <c r="D967" s="193" t="s">
        <v>4127</v>
      </c>
    </row>
    <row r="968">
      <c r="A968" s="359">
        <v>46122.72998521991</v>
      </c>
      <c r="B968" s="193" t="s">
        <v>3097</v>
      </c>
      <c r="C968" s="193" t="s">
        <v>3418</v>
      </c>
      <c r="D968" s="193" t="s">
        <v>4866</v>
      </c>
    </row>
    <row r="969">
      <c r="A969" s="359">
        <v>46122.73006155093</v>
      </c>
      <c r="B969" s="193" t="s">
        <v>3097</v>
      </c>
      <c r="C969" s="193" t="s">
        <v>3418</v>
      </c>
      <c r="D969" s="193" t="s">
        <v>4868</v>
      </c>
    </row>
    <row r="970">
      <c r="A970" s="359">
        <v>46122.730132129625</v>
      </c>
      <c r="B970" s="193" t="s">
        <v>3097</v>
      </c>
      <c r="C970" s="193" t="s">
        <v>3418</v>
      </c>
      <c r="D970" s="193" t="s">
        <v>4870</v>
      </c>
    </row>
    <row r="971">
      <c r="A971" s="359">
        <v>46122.73019732639</v>
      </c>
      <c r="B971" s="193" t="s">
        <v>3097</v>
      </c>
      <c r="C971" s="193" t="s">
        <v>3418</v>
      </c>
      <c r="D971" s="193" t="s">
        <v>4871</v>
      </c>
    </row>
    <row r="972">
      <c r="A972" s="359">
        <v>46122.73213150463</v>
      </c>
      <c r="B972" s="193" t="s">
        <v>3097</v>
      </c>
      <c r="C972" s="193" t="s">
        <v>3091</v>
      </c>
      <c r="D972" s="193" t="s">
        <v>4872</v>
      </c>
    </row>
    <row r="973">
      <c r="A973" s="359">
        <v>46122.73224519676</v>
      </c>
      <c r="B973" s="193" t="s">
        <v>3097</v>
      </c>
      <c r="C973" s="193" t="s">
        <v>3091</v>
      </c>
      <c r="D973" s="193" t="s">
        <v>4876</v>
      </c>
    </row>
    <row r="974">
      <c r="A974" s="359">
        <v>46122.73232296296</v>
      </c>
      <c r="B974" s="193" t="s">
        <v>3097</v>
      </c>
      <c r="C974" s="193" t="s">
        <v>3091</v>
      </c>
      <c r="D974" s="193" t="s">
        <v>4881</v>
      </c>
    </row>
    <row r="975">
      <c r="A975" s="359">
        <v>46122.73239509259</v>
      </c>
      <c r="B975" s="193" t="s">
        <v>3097</v>
      </c>
      <c r="C975" s="193" t="s">
        <v>3091</v>
      </c>
      <c r="D975" s="193" t="s">
        <v>4883</v>
      </c>
    </row>
    <row r="976">
      <c r="A976" s="359">
        <v>46122.74039119213</v>
      </c>
      <c r="B976" s="193" t="s">
        <v>3097</v>
      </c>
      <c r="C976" s="193" t="s">
        <v>3418</v>
      </c>
      <c r="D976" s="193" t="s">
        <v>4884</v>
      </c>
    </row>
    <row r="977">
      <c r="A977" s="359">
        <v>46122.74046527778</v>
      </c>
      <c r="B977" s="193" t="s">
        <v>3097</v>
      </c>
      <c r="C977" s="193" t="s">
        <v>3418</v>
      </c>
      <c r="D977" s="193" t="s">
        <v>4885</v>
      </c>
    </row>
    <row r="978">
      <c r="A978" s="359">
        <v>46122.74055364583</v>
      </c>
      <c r="B978" s="193" t="s">
        <v>3097</v>
      </c>
      <c r="C978" s="193" t="s">
        <v>3418</v>
      </c>
      <c r="D978" s="193" t="s">
        <v>4886</v>
      </c>
    </row>
    <row r="979">
      <c r="A979" s="359">
        <v>46122.740625289356</v>
      </c>
      <c r="B979" s="193" t="s">
        <v>3097</v>
      </c>
      <c r="C979" s="193" t="s">
        <v>3418</v>
      </c>
      <c r="D979" s="193" t="s">
        <v>4888</v>
      </c>
    </row>
    <row r="980">
      <c r="A980" s="359">
        <v>46122.7727665625</v>
      </c>
      <c r="C980" s="193" t="s">
        <v>3119</v>
      </c>
      <c r="D980" s="193" t="s">
        <v>4158</v>
      </c>
    </row>
    <row r="981">
      <c r="A981" s="359">
        <v>46122.88426152778</v>
      </c>
      <c r="C981" s="193" t="s">
        <v>3119</v>
      </c>
      <c r="D981" s="193" t="s">
        <v>4125</v>
      </c>
    </row>
    <row r="982">
      <c r="A982" s="359">
        <v>46122.884624224534</v>
      </c>
      <c r="C982" s="193" t="s">
        <v>3119</v>
      </c>
      <c r="D982" s="193" t="s">
        <v>4158</v>
      </c>
    </row>
    <row r="983">
      <c r="A983" s="359">
        <v>46125.687011030095</v>
      </c>
      <c r="B983" s="193" t="s">
        <v>3097</v>
      </c>
      <c r="C983" s="193" t="s">
        <v>3091</v>
      </c>
      <c r="D983" s="193" t="s">
        <v>4896</v>
      </c>
    </row>
    <row r="984">
      <c r="A984" s="359">
        <v>46125.687084756944</v>
      </c>
      <c r="B984" s="193" t="s">
        <v>3097</v>
      </c>
      <c r="C984" s="193" t="s">
        <v>3091</v>
      </c>
      <c r="D984" s="193" t="s">
        <v>4899</v>
      </c>
    </row>
    <row r="985">
      <c r="A985" s="359">
        <v>46125.68718126157</v>
      </c>
      <c r="B985" s="193" t="s">
        <v>3097</v>
      </c>
      <c r="C985" s="193" t="s">
        <v>3091</v>
      </c>
      <c r="D985" s="193" t="s">
        <v>4901</v>
      </c>
    </row>
    <row r="986">
      <c r="A986" s="359">
        <v>46125.68726215277</v>
      </c>
      <c r="B986" s="193" t="s">
        <v>3097</v>
      </c>
      <c r="C986" s="193" t="s">
        <v>3091</v>
      </c>
      <c r="D986" s="193" t="s">
        <v>4902</v>
      </c>
    </row>
    <row r="987">
      <c r="A987" s="359">
        <v>46125.68734752315</v>
      </c>
      <c r="B987" s="193" t="s">
        <v>3097</v>
      </c>
      <c r="C987" s="193" t="s">
        <v>3091</v>
      </c>
      <c r="D987" s="193" t="s">
        <v>4903</v>
      </c>
    </row>
    <row r="988">
      <c r="A988" s="359">
        <v>46125.6874658912</v>
      </c>
      <c r="B988" s="193" t="s">
        <v>3097</v>
      </c>
      <c r="C988" s="193" t="s">
        <v>3091</v>
      </c>
      <c r="D988" s="193" t="s">
        <v>4904</v>
      </c>
    </row>
    <row r="989">
      <c r="A989" s="359">
        <v>46125.68829089121</v>
      </c>
      <c r="B989" s="193" t="s">
        <v>3097</v>
      </c>
      <c r="C989" s="193" t="s">
        <v>3418</v>
      </c>
      <c r="D989" s="193" t="s">
        <v>4908</v>
      </c>
    </row>
    <row r="990">
      <c r="A990" s="359">
        <v>46125.688370648146</v>
      </c>
      <c r="B990" s="193" t="s">
        <v>3097</v>
      </c>
      <c r="C990" s="193" t="s">
        <v>3418</v>
      </c>
      <c r="D990" s="193" t="s">
        <v>4910</v>
      </c>
    </row>
    <row r="991">
      <c r="A991" s="359">
        <v>46125.68843465278</v>
      </c>
      <c r="B991" s="193" t="s">
        <v>3097</v>
      </c>
      <c r="C991" s="193" t="s">
        <v>3418</v>
      </c>
      <c r="D991" s="193" t="s">
        <v>4914</v>
      </c>
    </row>
    <row r="992">
      <c r="A992" s="359">
        <v>46125.688498275464</v>
      </c>
      <c r="B992" s="193" t="s">
        <v>3097</v>
      </c>
      <c r="C992" s="193" t="s">
        <v>3418</v>
      </c>
      <c r="D992" s="193" t="s">
        <v>4915</v>
      </c>
    </row>
    <row r="993">
      <c r="A993" s="359">
        <v>46125.69392709491</v>
      </c>
      <c r="B993" s="193" t="s">
        <v>3097</v>
      </c>
      <c r="C993" s="193" t="s">
        <v>3091</v>
      </c>
      <c r="D993" s="193" t="s">
        <v>4916</v>
      </c>
    </row>
    <row r="994">
      <c r="A994" s="359">
        <v>46125.69399909722</v>
      </c>
      <c r="B994" s="193" t="s">
        <v>3097</v>
      </c>
      <c r="C994" s="193" t="s">
        <v>3091</v>
      </c>
      <c r="D994" s="193" t="s">
        <v>4917</v>
      </c>
    </row>
    <row r="995">
      <c r="A995" s="359">
        <v>46125.72606019676</v>
      </c>
      <c r="C995" s="193" t="s">
        <v>3119</v>
      </c>
      <c r="D995" s="193" t="s">
        <v>3972</v>
      </c>
    </row>
    <row r="996">
      <c r="A996" s="359">
        <v>46125.8813928125</v>
      </c>
      <c r="C996" s="193" t="s">
        <v>3119</v>
      </c>
      <c r="D996" s="193" t="s">
        <v>4918</v>
      </c>
    </row>
    <row r="997">
      <c r="A997" s="359">
        <v>46125.912524513886</v>
      </c>
      <c r="C997" s="193" t="s">
        <v>3119</v>
      </c>
      <c r="D997" s="193" t="s">
        <v>4458</v>
      </c>
    </row>
    <row r="998">
      <c r="A998" s="359">
        <v>46125.916194895835</v>
      </c>
      <c r="B998" s="193" t="s">
        <v>3097</v>
      </c>
      <c r="C998" s="193" t="s">
        <v>3091</v>
      </c>
      <c r="D998" s="193" t="s">
        <v>4922</v>
      </c>
    </row>
    <row r="999">
      <c r="A999" s="359">
        <v>46126.75644415509</v>
      </c>
      <c r="B999" s="193" t="s">
        <v>3097</v>
      </c>
      <c r="C999" s="193" t="s">
        <v>3091</v>
      </c>
      <c r="D999" s="193" t="s">
        <v>4925</v>
      </c>
    </row>
    <row r="1000">
      <c r="A1000" s="359">
        <v>46128.68079813657</v>
      </c>
      <c r="C1000" s="193" t="s">
        <v>3119</v>
      </c>
      <c r="D1000" s="193" t="s">
        <v>4927</v>
      </c>
    </row>
    <row r="1001">
      <c r="A1001" s="359">
        <v>46128.91494123843</v>
      </c>
      <c r="C1001" s="193" t="s">
        <v>3119</v>
      </c>
      <c r="D1001" s="193" t="s">
        <v>4059</v>
      </c>
    </row>
    <row r="1002">
      <c r="A1002" s="359">
        <v>46129.69888265047</v>
      </c>
      <c r="B1002" s="193" t="s">
        <v>3097</v>
      </c>
      <c r="C1002" s="193" t="s">
        <v>3119</v>
      </c>
      <c r="D1002" s="193" t="s">
        <v>4458</v>
      </c>
    </row>
    <row r="1003">
      <c r="A1003" s="359">
        <v>46129.83984564815</v>
      </c>
      <c r="B1003" s="193" t="s">
        <v>3097</v>
      </c>
      <c r="C1003" s="193" t="s">
        <v>3091</v>
      </c>
      <c r="D1003" s="193" t="s">
        <v>4928</v>
      </c>
    </row>
    <row r="1004">
      <c r="A1004" s="359">
        <v>46129.88202255787</v>
      </c>
      <c r="B1004" s="193"/>
      <c r="C1004" s="193" t="s">
        <v>3119</v>
      </c>
      <c r="D1004" s="193" t="s">
        <v>4536</v>
      </c>
    </row>
    <row r="1005">
      <c r="A1005" s="359">
        <v>46129.89188967593</v>
      </c>
      <c r="B1005" s="193" t="s">
        <v>3097</v>
      </c>
      <c r="C1005" s="193" t="s">
        <v>3091</v>
      </c>
      <c r="D1005" s="193" t="s">
        <v>4929</v>
      </c>
    </row>
    <row r="1006">
      <c r="A1006" s="359">
        <v>46129.91769246528</v>
      </c>
      <c r="B1006" s="193" t="s">
        <v>3097</v>
      </c>
      <c r="C1006" s="193" t="s">
        <v>3119</v>
      </c>
      <c r="D1006" s="193" t="s">
        <v>4933</v>
      </c>
    </row>
    <row r="1007">
      <c r="A1007" s="359">
        <v>46129.919630648146</v>
      </c>
      <c r="B1007" s="193" t="s">
        <v>3097</v>
      </c>
      <c r="C1007" s="193" t="s">
        <v>3091</v>
      </c>
      <c r="D1007" s="193" t="s">
        <v>4936</v>
      </c>
    </row>
    <row r="1008">
      <c r="A1008" s="359">
        <v>46129.93934695602</v>
      </c>
      <c r="B1008" s="193"/>
      <c r="C1008" s="193" t="s">
        <v>3119</v>
      </c>
      <c r="D1008" s="193" t="s">
        <v>3980</v>
      </c>
    </row>
    <row r="1009">
      <c r="A1009" s="359">
        <v>46132.86035379629</v>
      </c>
      <c r="B1009" s="193"/>
      <c r="C1009" s="193" t="s">
        <v>3119</v>
      </c>
      <c r="D1009" s="193" t="s">
        <v>4938</v>
      </c>
    </row>
    <row r="1010">
      <c r="A1010" s="359">
        <v>46132.86794607639</v>
      </c>
      <c r="B1010" s="193"/>
      <c r="C1010" s="193" t="s">
        <v>3119</v>
      </c>
      <c r="D1010" s="193" t="s">
        <v>4939</v>
      </c>
    </row>
    <row r="1011">
      <c r="A1011" s="359">
        <v>46132.970706631946</v>
      </c>
      <c r="B1011" s="193"/>
      <c r="C1011" s="193" t="s">
        <v>3119</v>
      </c>
      <c r="D1011" s="193" t="s">
        <v>4927</v>
      </c>
    </row>
    <row r="1012">
      <c r="A1012" s="359">
        <v>46133.86413696759</v>
      </c>
      <c r="B1012" s="193"/>
      <c r="C1012" s="193" t="s">
        <v>3119</v>
      </c>
      <c r="D1012" s="193" t="s">
        <v>4031</v>
      </c>
    </row>
    <row r="1013">
      <c r="A1013" s="359">
        <v>46133.86457642361</v>
      </c>
      <c r="B1013" s="193"/>
      <c r="C1013" s="193" t="s">
        <v>3119</v>
      </c>
      <c r="D1013" s="193" t="s">
        <v>4031</v>
      </c>
    </row>
    <row r="1014">
      <c r="A1014" s="359">
        <v>46133.88515456019</v>
      </c>
      <c r="B1014" s="193" t="s">
        <v>3097</v>
      </c>
      <c r="C1014" s="193" t="s">
        <v>3119</v>
      </c>
      <c r="D1014" s="193" t="s">
        <v>4038</v>
      </c>
    </row>
    <row r="1015">
      <c r="A1015" s="359">
        <v>46133.89828809028</v>
      </c>
      <c r="B1015" s="193" t="s">
        <v>3097</v>
      </c>
      <c r="C1015" s="193" t="s">
        <v>3119</v>
      </c>
      <c r="D1015" s="193" t="s">
        <v>4711</v>
      </c>
    </row>
    <row r="1016">
      <c r="A1016" s="359">
        <v>46134.70564238426</v>
      </c>
      <c r="B1016" s="193"/>
      <c r="C1016" s="193" t="s">
        <v>3119</v>
      </c>
      <c r="D1016" s="193" t="s">
        <v>4945</v>
      </c>
    </row>
    <row r="1017">
      <c r="A1017" s="359">
        <v>46134.70569928241</v>
      </c>
      <c r="B1017" s="193"/>
      <c r="C1017" s="193" t="s">
        <v>3119</v>
      </c>
      <c r="D1017" s="193" t="s">
        <v>4947</v>
      </c>
    </row>
    <row r="1018">
      <c r="A1018" s="359">
        <v>46134.705871631944</v>
      </c>
      <c r="B1018" s="193"/>
      <c r="C1018" s="193" t="s">
        <v>3119</v>
      </c>
      <c r="D1018" s="193" t="s">
        <v>4947</v>
      </c>
    </row>
    <row r="1019">
      <c r="A1019" s="359">
        <v>46134.705924317124</v>
      </c>
      <c r="B1019" s="193"/>
      <c r="C1019" s="193" t="s">
        <v>3119</v>
      </c>
      <c r="D1019" s="193" t="s">
        <v>4948</v>
      </c>
    </row>
    <row r="1020">
      <c r="A1020" s="359">
        <v>46134.70596864584</v>
      </c>
      <c r="B1020" s="193"/>
      <c r="C1020" s="193" t="s">
        <v>3119</v>
      </c>
      <c r="D1020" s="193" t="s">
        <v>4950</v>
      </c>
    </row>
    <row r="1021">
      <c r="A1021" s="359">
        <v>46134.705995</v>
      </c>
      <c r="B1021" s="193"/>
      <c r="C1021" s="193" t="s">
        <v>3119</v>
      </c>
      <c r="D1021" s="193" t="s">
        <v>4950</v>
      </c>
    </row>
    <row r="1022">
      <c r="A1022" s="359">
        <v>46134.70610865741</v>
      </c>
      <c r="B1022" s="193"/>
      <c r="C1022" s="193" t="s">
        <v>3119</v>
      </c>
      <c r="D1022" s="193" t="s">
        <v>4954</v>
      </c>
    </row>
    <row r="1023">
      <c r="A1023" s="359">
        <v>46134.70640519676</v>
      </c>
      <c r="B1023" s="193"/>
      <c r="C1023" s="193" t="s">
        <v>3119</v>
      </c>
      <c r="D1023" s="193" t="s">
        <v>4829</v>
      </c>
    </row>
    <row r="1024">
      <c r="A1024" s="359">
        <v>46134.75322539352</v>
      </c>
      <c r="B1024" s="193"/>
      <c r="C1024" s="193" t="s">
        <v>3119</v>
      </c>
      <c r="D1024" s="193" t="s">
        <v>3972</v>
      </c>
    </row>
    <row r="1025">
      <c r="A1025" s="359">
        <v>46134.939750046295</v>
      </c>
      <c r="B1025" s="193"/>
      <c r="C1025" s="193" t="s">
        <v>3119</v>
      </c>
      <c r="D1025" s="193" t="s">
        <v>4927</v>
      </c>
    </row>
    <row r="1026">
      <c r="A1026" s="359">
        <v>46134.93975784723</v>
      </c>
      <c r="B1026" s="193"/>
      <c r="C1026" s="193" t="s">
        <v>3119</v>
      </c>
      <c r="D1026" s="193" t="s">
        <v>4927</v>
      </c>
    </row>
    <row r="1027">
      <c r="A1027" s="359">
        <v>46134.943009317125</v>
      </c>
      <c r="B1027" s="193"/>
      <c r="C1027" s="193" t="s">
        <v>3119</v>
      </c>
      <c r="D1027" s="193" t="s">
        <v>4667</v>
      </c>
    </row>
    <row r="1028">
      <c r="A1028" s="359">
        <v>46134.94303681713</v>
      </c>
      <c r="B1028" s="193"/>
      <c r="C1028" s="193" t="s">
        <v>3119</v>
      </c>
      <c r="D1028" s="193" t="s">
        <v>4667</v>
      </c>
    </row>
    <row r="1029">
      <c r="A1029" s="359">
        <v>46134.94332872685</v>
      </c>
      <c r="B1029" s="193"/>
      <c r="C1029" s="193" t="s">
        <v>3119</v>
      </c>
      <c r="D1029" s="193" t="s">
        <v>4667</v>
      </c>
    </row>
    <row r="1030">
      <c r="A1030" s="359">
        <v>46135.75866158565</v>
      </c>
      <c r="B1030" s="193"/>
      <c r="C1030" s="193" t="s">
        <v>3119</v>
      </c>
      <c r="D1030" s="193" t="s">
        <v>4698</v>
      </c>
    </row>
    <row r="1031">
      <c r="A1031" s="359">
        <v>46135.76149305556</v>
      </c>
      <c r="B1031" s="193"/>
      <c r="C1031" s="193" t="s">
        <v>3119</v>
      </c>
      <c r="D1031" s="193" t="s">
        <v>3980</v>
      </c>
    </row>
    <row r="1032">
      <c r="A1032" s="359">
        <v>46135.76192693287</v>
      </c>
      <c r="B1032" s="193"/>
      <c r="C1032" s="193" t="s">
        <v>3119</v>
      </c>
      <c r="D1032" s="193" t="s">
        <v>3980</v>
      </c>
    </row>
    <row r="1033">
      <c r="A1033" s="359">
        <v>46135.76928912037</v>
      </c>
      <c r="B1033" s="193"/>
      <c r="C1033" s="193" t="s">
        <v>3119</v>
      </c>
      <c r="D1033" s="193" t="s">
        <v>4927</v>
      </c>
    </row>
    <row r="1034">
      <c r="A1034" s="359">
        <v>46135.76945983796</v>
      </c>
      <c r="B1034" s="193"/>
      <c r="C1034" s="193" t="s">
        <v>3119</v>
      </c>
      <c r="D1034" s="193" t="s">
        <v>4927</v>
      </c>
    </row>
    <row r="1035">
      <c r="A1035" s="359">
        <v>46135.87416038194</v>
      </c>
      <c r="B1035" s="193"/>
      <c r="C1035" s="193" t="s">
        <v>3119</v>
      </c>
      <c r="D1035" s="193" t="s">
        <v>4667</v>
      </c>
    </row>
    <row r="1036">
      <c r="A1036" s="359">
        <v>46135.874206238426</v>
      </c>
      <c r="B1036" s="193"/>
      <c r="C1036" s="193" t="s">
        <v>3119</v>
      </c>
      <c r="D1036" s="193" t="s">
        <v>4466</v>
      </c>
    </row>
    <row r="1037">
      <c r="A1037" s="359">
        <v>46135.874212442126</v>
      </c>
      <c r="B1037" s="193"/>
      <c r="C1037" s="193" t="s">
        <v>3119</v>
      </c>
      <c r="D1037" s="193" t="s">
        <v>4466</v>
      </c>
    </row>
    <row r="1038">
      <c r="A1038" s="359">
        <v>46135.87433222222</v>
      </c>
      <c r="B1038" s="193"/>
      <c r="C1038" s="193" t="s">
        <v>3119</v>
      </c>
      <c r="D1038" s="193" t="s">
        <v>4466</v>
      </c>
    </row>
    <row r="1039">
      <c r="A1039" s="359">
        <v>46135.94963585648</v>
      </c>
      <c r="B1039" s="193"/>
      <c r="C1039" s="193" t="s">
        <v>3119</v>
      </c>
      <c r="D1039" s="193" t="s">
        <v>3979</v>
      </c>
    </row>
    <row r="1040">
      <c r="A1040" s="359">
        <v>46135.951064849534</v>
      </c>
      <c r="B1040" s="193"/>
      <c r="C1040" s="193" t="s">
        <v>3119</v>
      </c>
      <c r="D1040" s="193" t="s">
        <v>3979</v>
      </c>
    </row>
    <row r="1041">
      <c r="A1041" s="359">
        <v>46135.96002965278</v>
      </c>
      <c r="B1041" s="193" t="s">
        <v>3097</v>
      </c>
      <c r="C1041" s="193" t="s">
        <v>3119</v>
      </c>
      <c r="D1041" s="193" t="s">
        <v>4976</v>
      </c>
    </row>
    <row r="1042">
      <c r="A1042" s="359">
        <v>46135.96032652778</v>
      </c>
      <c r="B1042" s="193" t="s">
        <v>3097</v>
      </c>
      <c r="C1042" s="193" t="s">
        <v>3119</v>
      </c>
      <c r="D1042" s="193" t="s">
        <v>4026</v>
      </c>
    </row>
    <row r="1043">
      <c r="A1043" s="359">
        <v>46135.960583506945</v>
      </c>
      <c r="B1043" s="193" t="s">
        <v>3097</v>
      </c>
      <c r="C1043" s="193" t="s">
        <v>3119</v>
      </c>
      <c r="D1043" s="193" t="s">
        <v>3999</v>
      </c>
    </row>
    <row r="1044">
      <c r="A1044" s="359">
        <v>46135.960645451385</v>
      </c>
      <c r="B1044" s="193" t="s">
        <v>3097</v>
      </c>
      <c r="C1044" s="193" t="s">
        <v>3119</v>
      </c>
      <c r="D1044" s="193" t="s">
        <v>4004</v>
      </c>
    </row>
    <row r="1045">
      <c r="A1045" s="359">
        <v>46135.961366550924</v>
      </c>
      <c r="B1045" s="193" t="s">
        <v>3097</v>
      </c>
      <c r="C1045" s="193" t="s">
        <v>3091</v>
      </c>
      <c r="D1045" s="193" t="s">
        <v>4980</v>
      </c>
    </row>
    <row r="1046">
      <c r="A1046" s="359">
        <v>46136.81459819444</v>
      </c>
      <c r="B1046" s="193"/>
      <c r="C1046" s="193" t="s">
        <v>3119</v>
      </c>
      <c r="D1046" s="193" t="s">
        <v>4063</v>
      </c>
    </row>
    <row r="1047">
      <c r="A1047" s="359">
        <v>46136.8397563426</v>
      </c>
      <c r="B1047" s="193" t="s">
        <v>3097</v>
      </c>
      <c r="C1047" s="193" t="s">
        <v>3091</v>
      </c>
      <c r="D1047" s="193" t="s">
        <v>4982</v>
      </c>
    </row>
    <row r="1048">
      <c r="A1048" s="359">
        <v>46136.939870752314</v>
      </c>
      <c r="B1048" s="193"/>
      <c r="C1048" s="193" t="s">
        <v>3119</v>
      </c>
      <c r="D1048" s="193" t="s">
        <v>4063</v>
      </c>
    </row>
    <row r="1049">
      <c r="A1049" s="359">
        <v>46136.94706322916</v>
      </c>
      <c r="B1049" s="193"/>
      <c r="C1049" s="193" t="s">
        <v>3119</v>
      </c>
      <c r="D1049" s="193" t="s">
        <v>4063</v>
      </c>
    </row>
    <row r="1050">
      <c r="A1050" s="359">
        <v>46139.51222582176</v>
      </c>
      <c r="B1050" s="193"/>
      <c r="C1050" s="193" t="s">
        <v>3119</v>
      </c>
      <c r="D1050" s="193" t="s">
        <v>4987</v>
      </c>
    </row>
    <row r="1051">
      <c r="A1051" s="359">
        <v>46139.51228332176</v>
      </c>
      <c r="B1051" s="193"/>
      <c r="C1051" s="193" t="s">
        <v>3119</v>
      </c>
      <c r="D1051" s="193" t="s">
        <v>4711</v>
      </c>
    </row>
    <row r="1052">
      <c r="A1052" s="359">
        <v>46139.719533483796</v>
      </c>
      <c r="B1052" s="193" t="s">
        <v>3097</v>
      </c>
      <c r="C1052" s="193" t="s">
        <v>3418</v>
      </c>
      <c r="D1052" s="193" t="s">
        <v>4991</v>
      </c>
    </row>
    <row r="1053">
      <c r="A1053" s="359">
        <v>46139.725071099536</v>
      </c>
      <c r="B1053" s="193" t="s">
        <v>3097</v>
      </c>
      <c r="C1053" s="193" t="s">
        <v>3119</v>
      </c>
      <c r="D1053" s="193" t="s">
        <v>4994</v>
      </c>
    </row>
    <row r="1054">
      <c r="A1054" s="359">
        <v>46139.725122592594</v>
      </c>
      <c r="B1054" s="193" t="s">
        <v>3097</v>
      </c>
      <c r="C1054" s="193" t="s">
        <v>3119</v>
      </c>
      <c r="D1054" s="193" t="s">
        <v>4994</v>
      </c>
    </row>
    <row r="1055">
      <c r="A1055" s="359">
        <v>46139.72512846065</v>
      </c>
      <c r="B1055" s="193" t="s">
        <v>3097</v>
      </c>
      <c r="C1055" s="193" t="s">
        <v>3119</v>
      </c>
      <c r="D1055" s="193" t="s">
        <v>4994</v>
      </c>
    </row>
    <row r="1056">
      <c r="A1056" s="359">
        <v>46139.725204965274</v>
      </c>
      <c r="B1056" s="193" t="s">
        <v>3097</v>
      </c>
      <c r="C1056" s="193" t="s">
        <v>3119</v>
      </c>
      <c r="D1056" s="193" t="s">
        <v>4994</v>
      </c>
    </row>
    <row r="1057">
      <c r="A1057" s="359">
        <v>46139.7266253125</v>
      </c>
      <c r="B1057" s="193" t="s">
        <v>3097</v>
      </c>
      <c r="C1057" s="193" t="s">
        <v>3119</v>
      </c>
      <c r="D1057" s="193" t="s">
        <v>4761</v>
      </c>
    </row>
    <row r="1058">
      <c r="A1058" s="359">
        <v>46139.72878914352</v>
      </c>
      <c r="B1058" s="193"/>
      <c r="C1058" s="193" t="s">
        <v>3119</v>
      </c>
      <c r="D1058" s="193" t="s">
        <v>4125</v>
      </c>
    </row>
    <row r="1059">
      <c r="A1059" s="359">
        <v>46139.72928024306</v>
      </c>
      <c r="B1059" s="193"/>
      <c r="C1059" s="193" t="s">
        <v>3119</v>
      </c>
      <c r="D1059" s="193" t="s">
        <v>4125</v>
      </c>
    </row>
    <row r="1060">
      <c r="A1060" s="359">
        <v>46139.77521356482</v>
      </c>
      <c r="B1060" s="193"/>
      <c r="C1060" s="193" t="s">
        <v>3119</v>
      </c>
      <c r="D1060" s="193" t="s">
        <v>4061</v>
      </c>
    </row>
    <row r="1061">
      <c r="A1061" s="359">
        <v>46139.775892743055</v>
      </c>
      <c r="B1061" s="193"/>
      <c r="C1061" s="193" t="s">
        <v>3119</v>
      </c>
      <c r="D1061" s="193" t="s">
        <v>4061</v>
      </c>
    </row>
    <row r="1062">
      <c r="A1062" s="359">
        <v>46139.9189815625</v>
      </c>
      <c r="B1062" s="193"/>
      <c r="C1062" s="193" t="s">
        <v>3119</v>
      </c>
      <c r="D1062" s="193" t="s">
        <v>4112</v>
      </c>
    </row>
    <row r="1063">
      <c r="A1063" s="359">
        <v>46139.94739194444</v>
      </c>
      <c r="B1063" s="193" t="s">
        <v>3097</v>
      </c>
      <c r="C1063" s="193" t="s">
        <v>3091</v>
      </c>
      <c r="D1063" s="193" t="s">
        <v>5000</v>
      </c>
    </row>
    <row r="1064">
      <c r="A1064" s="359">
        <v>46139.98728240741</v>
      </c>
      <c r="B1064" s="193"/>
      <c r="C1064" s="193" t="s">
        <v>3119</v>
      </c>
      <c r="D1064" s="193" t="s">
        <v>3940</v>
      </c>
    </row>
    <row r="1065">
      <c r="A1065" s="359">
        <v>46140.86006355324</v>
      </c>
      <c r="B1065" s="193"/>
      <c r="C1065" s="193" t="s">
        <v>3119</v>
      </c>
      <c r="D1065" s="193" t="s">
        <v>5002</v>
      </c>
    </row>
    <row r="1066">
      <c r="A1066" s="359">
        <v>46140.88047423611</v>
      </c>
      <c r="B1066" s="193"/>
      <c r="C1066" s="193" t="s">
        <v>3119</v>
      </c>
      <c r="D1066" s="193" t="s">
        <v>3979</v>
      </c>
    </row>
    <row r="1067">
      <c r="A1067" s="359">
        <v>46141.70187916666</v>
      </c>
      <c r="B1067" s="193"/>
      <c r="C1067" s="193" t="s">
        <v>3119</v>
      </c>
      <c r="D1067" s="193" t="s">
        <v>4137</v>
      </c>
    </row>
    <row r="1068">
      <c r="A1068" s="359">
        <v>46141.70195918981</v>
      </c>
      <c r="B1068" s="193"/>
      <c r="C1068" s="193" t="s">
        <v>3119</v>
      </c>
      <c r="D1068" s="193" t="s">
        <v>4137</v>
      </c>
    </row>
    <row r="1069">
      <c r="A1069" s="359">
        <v>46141.70265664352</v>
      </c>
      <c r="B1069" s="193"/>
      <c r="C1069" s="193" t="s">
        <v>3119</v>
      </c>
      <c r="D1069" s="193" t="s">
        <v>4137</v>
      </c>
    </row>
    <row r="1070">
      <c r="A1070" s="359">
        <v>46141.71477899306</v>
      </c>
      <c r="B1070" s="193" t="s">
        <v>3097</v>
      </c>
      <c r="C1070" s="193" t="s">
        <v>3091</v>
      </c>
      <c r="D1070" s="193" t="s">
        <v>4908</v>
      </c>
    </row>
    <row r="1071">
      <c r="A1071" s="359">
        <v>46141.714849675926</v>
      </c>
      <c r="B1071" s="193" t="s">
        <v>3097</v>
      </c>
      <c r="C1071" s="193" t="s">
        <v>3091</v>
      </c>
      <c r="D1071" s="193" t="s">
        <v>5011</v>
      </c>
    </row>
    <row r="1072">
      <c r="A1072" s="359">
        <v>46141.71956960648</v>
      </c>
      <c r="B1072" s="193" t="s">
        <v>3097</v>
      </c>
      <c r="C1072" s="193" t="s">
        <v>3418</v>
      </c>
      <c r="D1072" s="193" t="s">
        <v>5012</v>
      </c>
    </row>
    <row r="1073">
      <c r="A1073" s="359">
        <v>46141.84091164352</v>
      </c>
      <c r="B1073" s="193" t="s">
        <v>3097</v>
      </c>
      <c r="C1073" s="193" t="s">
        <v>3119</v>
      </c>
      <c r="D1073" s="193" t="s">
        <v>3979</v>
      </c>
    </row>
    <row r="1074">
      <c r="A1074" s="359">
        <v>46141.88842152778</v>
      </c>
      <c r="B1074" s="193"/>
      <c r="C1074" s="193" t="s">
        <v>3119</v>
      </c>
      <c r="D1074" s="193" t="s">
        <v>4565</v>
      </c>
    </row>
    <row r="1075">
      <c r="A1075" s="359">
        <v>46141.889147118054</v>
      </c>
      <c r="B1075" s="193"/>
      <c r="C1075" s="193" t="s">
        <v>3119</v>
      </c>
      <c r="D1075" s="193" t="s">
        <v>4565</v>
      </c>
    </row>
    <row r="1076">
      <c r="A1076" s="359">
        <v>46141.95595045139</v>
      </c>
      <c r="B1076" s="193"/>
      <c r="C1076" s="193" t="s">
        <v>3119</v>
      </c>
      <c r="D1076" s="193" t="s">
        <v>4158</v>
      </c>
    </row>
    <row r="1077">
      <c r="A1077" s="359">
        <v>46141.96129818287</v>
      </c>
      <c r="B1077" s="193" t="s">
        <v>3097</v>
      </c>
      <c r="C1077" s="193" t="s">
        <v>3091</v>
      </c>
      <c r="D1077" s="193" t="s">
        <v>5014</v>
      </c>
    </row>
    <row r="1078">
      <c r="A1078" s="359">
        <v>46141.998301597225</v>
      </c>
      <c r="B1078" s="193"/>
      <c r="C1078" s="193" t="s">
        <v>3119</v>
      </c>
      <c r="D1078" s="193" t="s">
        <v>4505</v>
      </c>
    </row>
    <row r="1079">
      <c r="A1079" s="359">
        <v>46141.99953475695</v>
      </c>
      <c r="B1079" s="193"/>
      <c r="C1079" s="193" t="s">
        <v>3119</v>
      </c>
      <c r="D1079" s="193" t="s">
        <v>4505</v>
      </c>
    </row>
    <row r="1080">
      <c r="A1080" s="359">
        <v>46141.99964793981</v>
      </c>
      <c r="B1080" s="193"/>
      <c r="C1080" s="193" t="s">
        <v>3119</v>
      </c>
      <c r="D1080" s="193" t="s">
        <v>4505</v>
      </c>
    </row>
    <row r="1081">
      <c r="A1081" s="359">
        <v>46142.00449914351</v>
      </c>
      <c r="B1081" s="193"/>
      <c r="C1081" s="193" t="s">
        <v>3119</v>
      </c>
      <c r="D1081" s="193" t="s">
        <v>4112</v>
      </c>
    </row>
    <row r="1082">
      <c r="A1082" s="359">
        <v>46142.00899524306</v>
      </c>
      <c r="B1082" s="193"/>
      <c r="C1082" s="193" t="s">
        <v>3119</v>
      </c>
      <c r="D1082" s="193" t="s">
        <v>4112</v>
      </c>
    </row>
    <row r="1083">
      <c r="A1083" s="359">
        <v>46142.665555810185</v>
      </c>
      <c r="B1083" s="193" t="s">
        <v>3097</v>
      </c>
      <c r="C1083" s="193" t="s">
        <v>3119</v>
      </c>
      <c r="D1083" s="193" t="s">
        <v>4505</v>
      </c>
    </row>
    <row r="1084">
      <c r="A1084" s="359">
        <v>46142.69740204861</v>
      </c>
      <c r="B1084" s="193" t="s">
        <v>3097</v>
      </c>
      <c r="C1084" s="193" t="s">
        <v>3091</v>
      </c>
      <c r="D1084" s="193" t="s">
        <v>5017</v>
      </c>
    </row>
    <row r="1085">
      <c r="A1085" s="359">
        <v>46142.69746974537</v>
      </c>
      <c r="B1085" s="193" t="s">
        <v>3097</v>
      </c>
      <c r="C1085" s="193" t="s">
        <v>3091</v>
      </c>
      <c r="D1085" s="193" t="s">
        <v>5018</v>
      </c>
    </row>
    <row r="1086">
      <c r="A1086" s="359">
        <v>46142.69753446759</v>
      </c>
      <c r="B1086" s="193" t="s">
        <v>3097</v>
      </c>
      <c r="C1086" s="193" t="s">
        <v>3091</v>
      </c>
      <c r="D1086" s="193" t="s">
        <v>5019</v>
      </c>
    </row>
    <row r="1087">
      <c r="A1087" s="359">
        <v>46142.69759054398</v>
      </c>
      <c r="B1087" s="193" t="s">
        <v>3097</v>
      </c>
      <c r="C1087" s="193" t="s">
        <v>3091</v>
      </c>
      <c r="D1087" s="193" t="s">
        <v>5021</v>
      </c>
    </row>
    <row r="1088">
      <c r="A1088" s="359">
        <v>46142.69869572917</v>
      </c>
      <c r="B1088" s="193" t="s">
        <v>3097</v>
      </c>
      <c r="C1088" s="193" t="s">
        <v>3418</v>
      </c>
      <c r="D1088" s="193" t="s">
        <v>5024</v>
      </c>
    </row>
    <row r="1089">
      <c r="A1089" s="359">
        <v>46142.69875804398</v>
      </c>
      <c r="B1089" s="193" t="s">
        <v>3097</v>
      </c>
      <c r="C1089" s="193" t="s">
        <v>3418</v>
      </c>
      <c r="D1089" s="193" t="s">
        <v>5025</v>
      </c>
    </row>
    <row r="1090">
      <c r="A1090" s="359">
        <v>46142.69881792824</v>
      </c>
      <c r="B1090" s="193" t="s">
        <v>3097</v>
      </c>
      <c r="C1090" s="193" t="s">
        <v>3418</v>
      </c>
      <c r="D1090" s="193" t="s">
        <v>5026</v>
      </c>
    </row>
    <row r="1091">
      <c r="A1091" s="359">
        <v>46142.790508969905</v>
      </c>
      <c r="B1091" s="193"/>
      <c r="C1091" s="193" t="s">
        <v>3119</v>
      </c>
      <c r="D1091" s="193" t="s">
        <v>4031</v>
      </c>
    </row>
    <row r="1092">
      <c r="A1092" s="359">
        <v>46142.79467769676</v>
      </c>
      <c r="B1092" s="193" t="s">
        <v>3097</v>
      </c>
      <c r="C1092" s="193" t="s">
        <v>3091</v>
      </c>
      <c r="D1092" s="193" t="s">
        <v>5027</v>
      </c>
    </row>
    <row r="1093">
      <c r="A1093" s="359">
        <v>46142.834987905095</v>
      </c>
      <c r="B1093" s="193"/>
      <c r="C1093" s="193" t="s">
        <v>3119</v>
      </c>
      <c r="D1093" s="193" t="s">
        <v>4505</v>
      </c>
    </row>
    <row r="1094">
      <c r="A1094" s="359">
        <v>46142.83898744213</v>
      </c>
      <c r="B1094" s="193"/>
      <c r="C1094" s="193" t="s">
        <v>3119</v>
      </c>
      <c r="D1094" s="193" t="s">
        <v>4505</v>
      </c>
    </row>
    <row r="1095">
      <c r="A1095" s="359">
        <v>46142.88725501158</v>
      </c>
      <c r="B1095" s="193"/>
      <c r="C1095" s="193" t="s">
        <v>3119</v>
      </c>
      <c r="D1095" s="193" t="s">
        <v>3979</v>
      </c>
    </row>
    <row r="1096">
      <c r="A1096" s="359">
        <v>46142.89130300926</v>
      </c>
      <c r="B1096" s="193" t="s">
        <v>3097</v>
      </c>
      <c r="C1096" s="193" t="s">
        <v>3119</v>
      </c>
      <c r="D1096" s="193" t="s">
        <v>4127</v>
      </c>
    </row>
    <row r="1097">
      <c r="A1097" s="359">
        <v>46142.891621828705</v>
      </c>
      <c r="B1097" s="193" t="s">
        <v>3097</v>
      </c>
      <c r="C1097" s="193" t="s">
        <v>3119</v>
      </c>
      <c r="D1097" s="193" t="s">
        <v>3963</v>
      </c>
    </row>
    <row r="1098">
      <c r="A1098" s="359">
        <v>46143.69739731481</v>
      </c>
      <c r="B1098" s="193" t="s">
        <v>3097</v>
      </c>
      <c r="C1098" s="193" t="s">
        <v>3091</v>
      </c>
      <c r="D1098" s="193" t="s">
        <v>5030</v>
      </c>
    </row>
    <row r="1099">
      <c r="A1099" s="359">
        <v>46143.70553799768</v>
      </c>
      <c r="B1099" s="193"/>
      <c r="C1099" s="193" t="s">
        <v>3119</v>
      </c>
      <c r="D1099" s="193" t="s">
        <v>5032</v>
      </c>
    </row>
    <row r="1100">
      <c r="A1100" s="359">
        <v>46143.70781476852</v>
      </c>
      <c r="B1100" s="193" t="s">
        <v>3097</v>
      </c>
      <c r="C1100" s="193" t="s">
        <v>3091</v>
      </c>
      <c r="D1100" s="193" t="s">
        <v>5033</v>
      </c>
    </row>
    <row r="1101">
      <c r="A1101" s="359">
        <v>46143.719510532406</v>
      </c>
      <c r="B1101" s="193" t="s">
        <v>3097</v>
      </c>
      <c r="C1101" s="193" t="s">
        <v>3418</v>
      </c>
      <c r="D1101" s="193" t="s">
        <v>5034</v>
      </c>
    </row>
    <row r="1102">
      <c r="A1102" s="359">
        <v>46146.74301297453</v>
      </c>
      <c r="B1102" s="193"/>
      <c r="C1102" s="193" t="s">
        <v>3119</v>
      </c>
      <c r="D1102" s="193" t="s">
        <v>4031</v>
      </c>
    </row>
    <row r="1103">
      <c r="A1103" s="359">
        <v>46146.76129195602</v>
      </c>
      <c r="B1103" s="193" t="s">
        <v>3097</v>
      </c>
      <c r="C1103" s="193" t="s">
        <v>3119</v>
      </c>
      <c r="D1103" s="193" t="s">
        <v>4063</v>
      </c>
    </row>
    <row r="1104">
      <c r="A1104" s="359">
        <v>46146.76514905093</v>
      </c>
      <c r="B1104" s="193" t="s">
        <v>3097</v>
      </c>
      <c r="C1104" s="193" t="s">
        <v>3119</v>
      </c>
      <c r="D1104" s="193" t="s">
        <v>4063</v>
      </c>
    </row>
    <row r="1105">
      <c r="A1105" s="359">
        <v>46146.81869771991</v>
      </c>
      <c r="B1105" s="193"/>
      <c r="C1105" s="193" t="s">
        <v>3119</v>
      </c>
      <c r="D1105" s="193" t="s">
        <v>4127</v>
      </c>
    </row>
    <row r="1106">
      <c r="A1106" s="359">
        <v>46146.819094652776</v>
      </c>
      <c r="B1106" s="193"/>
      <c r="C1106" s="193" t="s">
        <v>3119</v>
      </c>
      <c r="D1106" s="193" t="s">
        <v>4127</v>
      </c>
    </row>
    <row r="1107">
      <c r="A1107" s="359">
        <v>46146.82493497685</v>
      </c>
      <c r="B1107" s="193" t="s">
        <v>3097</v>
      </c>
      <c r="C1107" s="193" t="s">
        <v>3119</v>
      </c>
      <c r="D1107" s="193" t="s">
        <v>4127</v>
      </c>
    </row>
    <row r="1108">
      <c r="A1108" s="359">
        <v>46147.027831354164</v>
      </c>
      <c r="B1108" s="193"/>
      <c r="C1108" s="193" t="s">
        <v>3119</v>
      </c>
      <c r="D1108" s="193" t="s">
        <v>4699</v>
      </c>
    </row>
    <row r="1109">
      <c r="A1109" s="359">
        <v>46147.85694332176</v>
      </c>
      <c r="B1109" s="193"/>
      <c r="C1109" s="193" t="s">
        <v>3119</v>
      </c>
      <c r="D1109" s="193" t="s">
        <v>4061</v>
      </c>
    </row>
    <row r="1110">
      <c r="A1110" s="359">
        <v>46147.85781646991</v>
      </c>
      <c r="B1110" s="193"/>
      <c r="C1110" s="193" t="s">
        <v>3119</v>
      </c>
      <c r="D1110" s="193" t="s">
        <v>4112</v>
      </c>
    </row>
    <row r="1111">
      <c r="A1111" s="359">
        <v>46147.91923756944</v>
      </c>
      <c r="B1111" s="193"/>
      <c r="C1111" s="193" t="s">
        <v>3119</v>
      </c>
      <c r="D1111" s="193" t="s">
        <v>4061</v>
      </c>
    </row>
    <row r="1112">
      <c r="A1112" s="359">
        <v>46147.9201777662</v>
      </c>
      <c r="B1112" s="193"/>
      <c r="C1112" s="193" t="s">
        <v>3119</v>
      </c>
      <c r="D1112" s="193" t="s">
        <v>4112</v>
      </c>
    </row>
    <row r="1113">
      <c r="A1113" s="359">
        <v>46147.92192302083</v>
      </c>
      <c r="B1113" s="193"/>
      <c r="C1113" s="193" t="s">
        <v>3119</v>
      </c>
      <c r="D1113" s="193" t="s">
        <v>4125</v>
      </c>
    </row>
    <row r="1114">
      <c r="A1114" s="359">
        <v>46147.927257013886</v>
      </c>
      <c r="B1114" s="193"/>
      <c r="C1114" s="193" t="s">
        <v>3119</v>
      </c>
      <c r="D1114" s="193" t="s">
        <v>5041</v>
      </c>
    </row>
    <row r="1115">
      <c r="A1115" s="359">
        <v>46147.94415673611</v>
      </c>
      <c r="B1115" s="193"/>
      <c r="C1115" s="193" t="s">
        <v>3119</v>
      </c>
      <c r="D1115" s="193" t="s">
        <v>4069</v>
      </c>
    </row>
    <row r="1116">
      <c r="A1116" s="359">
        <v>46147.94599572917</v>
      </c>
      <c r="B1116" s="193"/>
      <c r="C1116" s="193" t="s">
        <v>3119</v>
      </c>
      <c r="D1116" s="193" t="s">
        <v>4069</v>
      </c>
    </row>
    <row r="1117">
      <c r="A1117" s="359">
        <v>46147.94600568287</v>
      </c>
      <c r="B1117" s="193"/>
      <c r="C1117" s="193" t="s">
        <v>3119</v>
      </c>
      <c r="D1117" s="193" t="s">
        <v>4069</v>
      </c>
    </row>
    <row r="1118">
      <c r="A1118" s="359">
        <v>46147.9744091551</v>
      </c>
      <c r="B1118" s="193"/>
      <c r="C1118" s="193" t="s">
        <v>3119</v>
      </c>
      <c r="D1118" s="193" t="s">
        <v>4069</v>
      </c>
    </row>
    <row r="1119">
      <c r="A1119" s="359">
        <v>46148.88965707176</v>
      </c>
      <c r="B1119" s="193" t="s">
        <v>3097</v>
      </c>
      <c r="C1119" s="193" t="s">
        <v>3119</v>
      </c>
      <c r="D1119" s="193" t="s">
        <v>4761</v>
      </c>
    </row>
    <row r="1120">
      <c r="A1120" s="359">
        <v>46149.69138270833</v>
      </c>
      <c r="B1120" s="193" t="s">
        <v>3097</v>
      </c>
      <c r="C1120" s="193" t="s">
        <v>3119</v>
      </c>
      <c r="D1120" s="193" t="s">
        <v>5043</v>
      </c>
    </row>
    <row r="1121">
      <c r="A1121" s="359">
        <v>46149.88144866898</v>
      </c>
      <c r="B1121" s="193" t="s">
        <v>3097</v>
      </c>
      <c r="C1121" s="193" t="s">
        <v>3091</v>
      </c>
      <c r="D1121" s="193" t="s">
        <v>5044</v>
      </c>
    </row>
    <row r="1122">
      <c r="A1122" s="359">
        <v>46149.909089039356</v>
      </c>
      <c r="B1122" s="193"/>
      <c r="C1122" s="193" t="s">
        <v>3119</v>
      </c>
      <c r="D1122" s="193" t="s">
        <v>4505</v>
      </c>
    </row>
    <row r="1123">
      <c r="A1123" s="359">
        <v>46149.94237787037</v>
      </c>
      <c r="B1123" s="193" t="s">
        <v>3097</v>
      </c>
      <c r="C1123" s="193" t="s">
        <v>3119</v>
      </c>
      <c r="D1123" s="193" t="s">
        <v>3968</v>
      </c>
    </row>
    <row r="1124">
      <c r="A1124" s="359">
        <v>46149.94250314815</v>
      </c>
      <c r="B1124" s="193" t="s">
        <v>3097</v>
      </c>
      <c r="C1124" s="193" t="s">
        <v>3119</v>
      </c>
      <c r="D1124" s="193" t="s">
        <v>3968</v>
      </c>
    </row>
    <row r="1125">
      <c r="A1125" s="359">
        <v>46150.721493495366</v>
      </c>
      <c r="B1125" s="193"/>
      <c r="C1125" s="193" t="s">
        <v>3119</v>
      </c>
      <c r="D1125" s="193" t="s">
        <v>4136</v>
      </c>
    </row>
    <row r="1126">
      <c r="A1126" s="359">
        <v>46150.74638822916</v>
      </c>
      <c r="B1126" s="193" t="s">
        <v>3097</v>
      </c>
      <c r="C1126" s="193" t="s">
        <v>3119</v>
      </c>
      <c r="D1126" s="193" t="s">
        <v>4149</v>
      </c>
    </row>
    <row r="1127">
      <c r="A1127" s="359">
        <v>46150.78448173611</v>
      </c>
      <c r="B1127" s="193"/>
      <c r="C1127" s="193" t="s">
        <v>3119</v>
      </c>
      <c r="D1127" s="193" t="s">
        <v>4137</v>
      </c>
    </row>
    <row r="1128">
      <c r="A1128" s="359">
        <v>46150.81072537037</v>
      </c>
      <c r="B1128" s="193"/>
      <c r="C1128" s="193" t="s">
        <v>3119</v>
      </c>
      <c r="D1128" s="193" t="s">
        <v>4158</v>
      </c>
    </row>
    <row r="1129">
      <c r="A1129" s="359">
        <v>46150.96136688658</v>
      </c>
      <c r="B1129" s="193"/>
      <c r="C1129" s="193" t="s">
        <v>3119</v>
      </c>
      <c r="D1129" s="193" t="s">
        <v>4069</v>
      </c>
    </row>
    <row r="1130">
      <c r="A1130" s="359">
        <v>46153.72525215278</v>
      </c>
      <c r="B1130" s="193" t="s">
        <v>3097</v>
      </c>
      <c r="C1130" s="193" t="s">
        <v>3091</v>
      </c>
      <c r="D1130" s="193" t="s">
        <v>5050</v>
      </c>
    </row>
    <row r="1131">
      <c r="A1131" s="359">
        <v>46153.72998509259</v>
      </c>
      <c r="B1131" s="193" t="s">
        <v>3097</v>
      </c>
      <c r="C1131" s="193" t="s">
        <v>3418</v>
      </c>
      <c r="D1131" s="193" t="s">
        <v>5051</v>
      </c>
    </row>
    <row r="1132">
      <c r="A1132" s="359">
        <v>46153.73007262731</v>
      </c>
      <c r="B1132" s="193" t="s">
        <v>3097</v>
      </c>
      <c r="C1132" s="193" t="s">
        <v>3418</v>
      </c>
      <c r="D1132" s="193" t="s">
        <v>5052</v>
      </c>
    </row>
    <row r="1133">
      <c r="A1133" s="359">
        <v>46153.73015638889</v>
      </c>
      <c r="B1133" s="193" t="s">
        <v>3097</v>
      </c>
      <c r="C1133" s="193" t="s">
        <v>3418</v>
      </c>
      <c r="D1133" s="193" t="s">
        <v>5053</v>
      </c>
    </row>
    <row r="1134">
      <c r="A1134" s="359">
        <v>46153.77728141204</v>
      </c>
      <c r="B1134" s="193" t="s">
        <v>3097</v>
      </c>
      <c r="C1134" s="193" t="s">
        <v>3091</v>
      </c>
      <c r="D1134" s="193" t="s">
        <v>5056</v>
      </c>
    </row>
    <row r="1135">
      <c r="A1135" s="359">
        <v>46153.83877436342</v>
      </c>
      <c r="B1135" s="193"/>
      <c r="C1135" s="193" t="s">
        <v>3119</v>
      </c>
      <c r="D1135" s="193" t="s">
        <v>4137</v>
      </c>
    </row>
    <row r="1136">
      <c r="A1136" s="359">
        <v>46153.95673672453</v>
      </c>
      <c r="B1136" s="193"/>
      <c r="C1136" s="193" t="s">
        <v>3119</v>
      </c>
      <c r="D1136" s="193" t="s">
        <v>4365</v>
      </c>
    </row>
    <row r="1137">
      <c r="A1137" s="359">
        <v>46153.957826666665</v>
      </c>
      <c r="B1137" s="193" t="s">
        <v>3097</v>
      </c>
      <c r="C1137" s="193" t="s">
        <v>3091</v>
      </c>
      <c r="D1137" s="193" t="s">
        <v>5058</v>
      </c>
    </row>
    <row r="1138">
      <c r="A1138" s="359">
        <v>46154.66616732639</v>
      </c>
      <c r="B1138" s="193" t="s">
        <v>3097</v>
      </c>
      <c r="C1138" s="193" t="s">
        <v>3091</v>
      </c>
      <c r="D1138" s="193" t="s">
        <v>5061</v>
      </c>
    </row>
    <row r="1139">
      <c r="A1139" s="359">
        <v>46154.66622385416</v>
      </c>
      <c r="B1139" s="193" t="s">
        <v>3097</v>
      </c>
      <c r="C1139" s="193" t="s">
        <v>3091</v>
      </c>
      <c r="D1139" s="193" t="s">
        <v>5062</v>
      </c>
    </row>
    <row r="1140">
      <c r="A1140" s="359">
        <v>46154.66628805555</v>
      </c>
      <c r="B1140" s="193" t="s">
        <v>3097</v>
      </c>
      <c r="C1140" s="193" t="s">
        <v>3091</v>
      </c>
      <c r="D1140" s="193" t="s">
        <v>5063</v>
      </c>
    </row>
    <row r="1141">
      <c r="A1141" s="359">
        <v>46154.667977997684</v>
      </c>
      <c r="B1141" s="193" t="s">
        <v>3097</v>
      </c>
      <c r="C1141" s="193" t="s">
        <v>3418</v>
      </c>
      <c r="D1141" s="193" t="s">
        <v>5065</v>
      </c>
    </row>
    <row r="1142">
      <c r="A1142" s="359">
        <v>46154.66802217593</v>
      </c>
      <c r="B1142" s="193" t="s">
        <v>3097</v>
      </c>
      <c r="C1142" s="193" t="s">
        <v>3418</v>
      </c>
      <c r="D1142" s="193" t="s">
        <v>5068</v>
      </c>
    </row>
    <row r="1143">
      <c r="A1143" s="359">
        <v>46154.66808506944</v>
      </c>
      <c r="B1143" s="193" t="s">
        <v>3097</v>
      </c>
      <c r="C1143" s="193" t="s">
        <v>3418</v>
      </c>
      <c r="D1143" s="193" t="s">
        <v>5069</v>
      </c>
    </row>
    <row r="1144">
      <c r="A1144" s="359">
        <v>46154.77227385416</v>
      </c>
      <c r="B1144" s="193"/>
      <c r="C1144" s="193" t="s">
        <v>3119</v>
      </c>
      <c r="D1144" s="193" t="s">
        <v>4112</v>
      </c>
    </row>
    <row r="1145">
      <c r="A1145" s="359">
        <v>46154.78474942129</v>
      </c>
      <c r="B1145" s="193"/>
      <c r="C1145" s="193" t="s">
        <v>3119</v>
      </c>
      <c r="D1145" s="193" t="s">
        <v>4112</v>
      </c>
    </row>
    <row r="1146">
      <c r="A1146" s="359">
        <v>46154.857586875005</v>
      </c>
      <c r="B1146" s="193"/>
      <c r="C1146" s="193" t="s">
        <v>3119</v>
      </c>
      <c r="D1146" s="193" t="s">
        <v>4129</v>
      </c>
    </row>
    <row r="1147">
      <c r="A1147" s="359">
        <v>46154.86332613426</v>
      </c>
      <c r="B1147" s="193"/>
      <c r="C1147" s="193" t="s">
        <v>3119</v>
      </c>
      <c r="D1147" s="193" t="s">
        <v>4136</v>
      </c>
    </row>
    <row r="1148">
      <c r="A1148" s="359">
        <v>46154.86557583333</v>
      </c>
      <c r="B1148" s="193"/>
      <c r="C1148" s="193" t="s">
        <v>3119</v>
      </c>
      <c r="D1148" s="193" t="s">
        <v>4038</v>
      </c>
    </row>
    <row r="1149">
      <c r="A1149" s="359">
        <v>46154.86654560185</v>
      </c>
      <c r="B1149" s="193"/>
      <c r="C1149" s="193" t="s">
        <v>3119</v>
      </c>
      <c r="D1149" s="193" t="s">
        <v>4136</v>
      </c>
    </row>
    <row r="1150">
      <c r="A1150" s="359">
        <v>46154.87113959491</v>
      </c>
      <c r="B1150" s="193"/>
      <c r="C1150" s="193" t="s">
        <v>3119</v>
      </c>
      <c r="D1150" s="193" t="s">
        <v>4136</v>
      </c>
    </row>
    <row r="1151">
      <c r="A1151" s="359">
        <v>46154.87563715278</v>
      </c>
      <c r="B1151" s="193"/>
      <c r="C1151" s="193" t="s">
        <v>3119</v>
      </c>
      <c r="D1151" s="193" t="s">
        <v>4129</v>
      </c>
    </row>
    <row r="1152">
      <c r="A1152" s="359">
        <v>46154.96238828704</v>
      </c>
      <c r="B1152" s="193"/>
      <c r="C1152" s="193" t="s">
        <v>3119</v>
      </c>
      <c r="D1152" s="193" t="s">
        <v>4038</v>
      </c>
    </row>
    <row r="1153">
      <c r="A1153" s="359">
        <v>46155.754450243054</v>
      </c>
      <c r="B1153" s="193"/>
      <c r="C1153" s="193" t="s">
        <v>3119</v>
      </c>
      <c r="D1153" s="193" t="s">
        <v>4158</v>
      </c>
    </row>
    <row r="1154">
      <c r="A1154" s="359">
        <v>46155.84667349537</v>
      </c>
      <c r="B1154" s="193"/>
      <c r="C1154" s="193" t="s">
        <v>3119</v>
      </c>
      <c r="D1154" s="193" t="s">
        <v>4156</v>
      </c>
    </row>
    <row r="1155">
      <c r="A1155" s="359">
        <v>46155.85017194445</v>
      </c>
      <c r="B1155" s="193" t="s">
        <v>3097</v>
      </c>
      <c r="C1155" s="193" t="s">
        <v>3091</v>
      </c>
      <c r="D1155" s="193" t="s">
        <v>5073</v>
      </c>
    </row>
    <row r="1156">
      <c r="A1156" s="359">
        <v>46155.876940358794</v>
      </c>
      <c r="B1156" s="193"/>
      <c r="C1156" s="193" t="s">
        <v>3119</v>
      </c>
      <c r="D1156" s="193" t="s">
        <v>4031</v>
      </c>
    </row>
    <row r="1157">
      <c r="A1157" s="359">
        <v>46155.87820202546</v>
      </c>
      <c r="B1157" s="193"/>
      <c r="C1157" s="193" t="s">
        <v>3119</v>
      </c>
      <c r="D1157" s="193" t="s">
        <v>4031</v>
      </c>
    </row>
    <row r="1158">
      <c r="A1158" s="359">
        <v>46155.90701268519</v>
      </c>
      <c r="B1158" s="193" t="s">
        <v>3097</v>
      </c>
      <c r="C1158" s="193" t="s">
        <v>3418</v>
      </c>
      <c r="D1158" s="193" t="s">
        <v>5076</v>
      </c>
    </row>
    <row r="1159">
      <c r="A1159" s="359">
        <v>46155.95675824074</v>
      </c>
      <c r="B1159" s="193"/>
      <c r="C1159" s="193" t="s">
        <v>3119</v>
      </c>
      <c r="D1159" s="193" t="s">
        <v>4933</v>
      </c>
    </row>
    <row r="1160">
      <c r="A1160" s="359">
        <v>46155.95891341435</v>
      </c>
      <c r="B1160" s="193"/>
      <c r="C1160" s="193" t="s">
        <v>3119</v>
      </c>
      <c r="D1160" s="193" t="s">
        <v>4331</v>
      </c>
    </row>
    <row r="1161">
      <c r="A1161" s="359">
        <v>46155.95913408565</v>
      </c>
      <c r="B1161" s="193"/>
      <c r="C1161" s="193" t="s">
        <v>3119</v>
      </c>
      <c r="D1161" s="193" t="s">
        <v>4331</v>
      </c>
    </row>
    <row r="1162">
      <c r="A1162" s="359">
        <v>46155.961041608796</v>
      </c>
      <c r="B1162" s="193"/>
      <c r="C1162" s="193" t="s">
        <v>3119</v>
      </c>
      <c r="D1162" s="193" t="s">
        <v>5078</v>
      </c>
    </row>
    <row r="1163">
      <c r="A1163" s="359">
        <v>46155.9636128125</v>
      </c>
      <c r="B1163" s="193"/>
      <c r="C1163" s="193" t="s">
        <v>3119</v>
      </c>
      <c r="D1163" s="193" t="s">
        <v>5078</v>
      </c>
    </row>
    <row r="1164">
      <c r="A1164" s="359">
        <v>46155.971864652776</v>
      </c>
      <c r="B1164" s="193"/>
      <c r="C1164" s="193" t="s">
        <v>3119</v>
      </c>
      <c r="D1164" s="193" t="s">
        <v>4505</v>
      </c>
    </row>
    <row r="1165">
      <c r="A1165" s="359">
        <v>46155.97873631945</v>
      </c>
      <c r="B1165" s="193" t="s">
        <v>3097</v>
      </c>
      <c r="C1165" s="193" t="s">
        <v>3119</v>
      </c>
      <c r="D1165" s="193" t="s">
        <v>5080</v>
      </c>
    </row>
    <row r="1166">
      <c r="A1166" s="359">
        <v>46156.70382613426</v>
      </c>
      <c r="B1166" s="193"/>
      <c r="C1166" s="193" t="s">
        <v>3119</v>
      </c>
      <c r="D1166" s="193" t="s">
        <v>5081</v>
      </c>
    </row>
    <row r="1167">
      <c r="A1167" s="359">
        <v>46156.75644761574</v>
      </c>
      <c r="B1167" s="193" t="s">
        <v>3097</v>
      </c>
      <c r="C1167" s="193" t="s">
        <v>3091</v>
      </c>
      <c r="D1167" s="193" t="s">
        <v>5082</v>
      </c>
    </row>
    <row r="1168">
      <c r="A1168" s="359">
        <v>46156.75650611111</v>
      </c>
      <c r="B1168" s="193" t="s">
        <v>3097</v>
      </c>
      <c r="C1168" s="193" t="s">
        <v>3091</v>
      </c>
      <c r="D1168" s="193" t="s">
        <v>5083</v>
      </c>
    </row>
    <row r="1169">
      <c r="A1169" s="359">
        <v>46156.75657175926</v>
      </c>
      <c r="B1169" s="193" t="s">
        <v>3097</v>
      </c>
      <c r="C1169" s="193" t="s">
        <v>3091</v>
      </c>
      <c r="D1169" s="193" t="s">
        <v>5084</v>
      </c>
    </row>
    <row r="1170">
      <c r="A1170" s="359">
        <v>46156.78211078704</v>
      </c>
      <c r="B1170" s="193" t="s">
        <v>3097</v>
      </c>
      <c r="C1170" s="193" t="s">
        <v>3418</v>
      </c>
      <c r="D1170" s="193" t="s">
        <v>5085</v>
      </c>
    </row>
    <row r="1171">
      <c r="A1171" s="359">
        <v>46156.8025030787</v>
      </c>
      <c r="B1171" s="193"/>
      <c r="C1171" s="193" t="s">
        <v>3119</v>
      </c>
      <c r="D1171" s="193" t="s">
        <v>4365</v>
      </c>
    </row>
    <row r="1172">
      <c r="A1172" s="359">
        <v>46156.83282791667</v>
      </c>
      <c r="B1172" s="193"/>
      <c r="C1172" s="193" t="s">
        <v>3119</v>
      </c>
      <c r="D1172" s="193" t="s">
        <v>4064</v>
      </c>
    </row>
    <row r="1173">
      <c r="A1173" s="359">
        <v>46156.931017442126</v>
      </c>
      <c r="B1173" s="193"/>
      <c r="C1173" s="193" t="s">
        <v>3119</v>
      </c>
      <c r="D1173" s="193" t="s">
        <v>3968</v>
      </c>
    </row>
    <row r="1174">
      <c r="A1174" s="359">
        <v>46156.93354429398</v>
      </c>
      <c r="B1174" s="193" t="s">
        <v>3097</v>
      </c>
      <c r="C1174" s="193" t="s">
        <v>3091</v>
      </c>
      <c r="D1174" s="193" t="s">
        <v>5086</v>
      </c>
    </row>
    <row r="1175">
      <c r="A1175" s="359">
        <v>46156.95882114583</v>
      </c>
      <c r="B1175" s="193"/>
      <c r="C1175" s="193" t="s">
        <v>3119</v>
      </c>
      <c r="D1175" s="193" t="s">
        <v>4536</v>
      </c>
    </row>
    <row r="1176">
      <c r="A1176" s="359">
        <v>46156.959153738426</v>
      </c>
      <c r="B1176" s="193" t="s">
        <v>3097</v>
      </c>
      <c r="C1176" s="193" t="s">
        <v>3418</v>
      </c>
      <c r="D1176" s="193" t="s">
        <v>5087</v>
      </c>
    </row>
    <row r="1177">
      <c r="A1177" s="359">
        <v>46157.7504334838</v>
      </c>
      <c r="B1177" s="193"/>
      <c r="C1177" s="193" t="s">
        <v>3119</v>
      </c>
      <c r="D1177" s="193" t="s">
        <v>4063</v>
      </c>
    </row>
    <row r="1178">
      <c r="A1178" s="359">
        <v>46157.83485201389</v>
      </c>
      <c r="B1178" s="193"/>
      <c r="C1178" s="193" t="s">
        <v>3119</v>
      </c>
      <c r="D1178" s="193" t="s">
        <v>4063</v>
      </c>
    </row>
    <row r="1179">
      <c r="A1179" s="359">
        <v>46157.83509383102</v>
      </c>
      <c r="B1179" s="193"/>
      <c r="C1179" s="193" t="s">
        <v>3119</v>
      </c>
      <c r="D1179" s="193" t="s">
        <v>4063</v>
      </c>
    </row>
    <row r="1180">
      <c r="A1180" s="359">
        <v>46157.84472548611</v>
      </c>
      <c r="B1180" s="193"/>
      <c r="C1180" s="193" t="s">
        <v>3119</v>
      </c>
      <c r="D1180" s="193" t="s">
        <v>4761</v>
      </c>
    </row>
    <row r="1181">
      <c r="A1181" s="359">
        <v>46157.84680532408</v>
      </c>
      <c r="B1181" s="193"/>
      <c r="C1181" s="193" t="s">
        <v>3119</v>
      </c>
      <c r="D1181" s="193" t="s">
        <v>4761</v>
      </c>
    </row>
    <row r="1182">
      <c r="A1182" s="359">
        <v>46157.847041863424</v>
      </c>
      <c r="B1182" s="193"/>
      <c r="C1182" s="193" t="s">
        <v>3119</v>
      </c>
      <c r="D1182" s="193" t="s">
        <v>4761</v>
      </c>
    </row>
    <row r="1183">
      <c r="A1183" s="359">
        <v>46157.8966509375</v>
      </c>
      <c r="B1183" s="193" t="s">
        <v>3097</v>
      </c>
      <c r="C1183" s="193" t="s">
        <v>3418</v>
      </c>
      <c r="D1183" s="193" t="s">
        <v>5089</v>
      </c>
    </row>
    <row r="1184">
      <c r="A1184" s="359">
        <v>46160.757228483795</v>
      </c>
      <c r="B1184" s="193"/>
      <c r="C1184" s="193" t="s">
        <v>3119</v>
      </c>
      <c r="D1184" s="193" t="s">
        <v>4536</v>
      </c>
    </row>
    <row r="1185">
      <c r="A1185" s="359">
        <v>46160.75730146991</v>
      </c>
      <c r="B1185" s="193"/>
      <c r="C1185" s="193" t="s">
        <v>3119</v>
      </c>
      <c r="D1185" s="193" t="s">
        <v>4536</v>
      </c>
    </row>
    <row r="1186">
      <c r="A1186" s="359">
        <v>46160.758003055555</v>
      </c>
      <c r="B1186" s="193"/>
      <c r="C1186" s="193" t="s">
        <v>3119</v>
      </c>
      <c r="D1186" s="193" t="s">
        <v>4536</v>
      </c>
    </row>
    <row r="1187">
      <c r="A1187" s="359">
        <v>46160.77168453704</v>
      </c>
      <c r="B1187" s="193" t="s">
        <v>3097</v>
      </c>
      <c r="C1187" s="193" t="s">
        <v>3418</v>
      </c>
      <c r="D1187" s="193" t="s">
        <v>5090</v>
      </c>
    </row>
    <row r="1188">
      <c r="A1188" s="359">
        <v>46160.79764413195</v>
      </c>
      <c r="B1188" s="193"/>
      <c r="C1188" s="193" t="s">
        <v>3119</v>
      </c>
      <c r="D1188" s="193" t="s">
        <v>4063</v>
      </c>
    </row>
    <row r="1189">
      <c r="A1189" s="359">
        <v>46160.9092003125</v>
      </c>
      <c r="B1189" s="193" t="s">
        <v>3097</v>
      </c>
      <c r="C1189" s="193" t="s">
        <v>3091</v>
      </c>
      <c r="D1189" s="193" t="s">
        <v>5091</v>
      </c>
    </row>
    <row r="1190">
      <c r="A1190" s="359">
        <v>46160.921169016205</v>
      </c>
      <c r="B1190" s="193"/>
      <c r="C1190" s="193" t="s">
        <v>3119</v>
      </c>
      <c r="D1190" s="193" t="s">
        <v>4007</v>
      </c>
    </row>
    <row r="1191">
      <c r="A1191" s="359">
        <v>46160.93162487268</v>
      </c>
      <c r="B1191" s="193"/>
      <c r="C1191" s="193" t="s">
        <v>3119</v>
      </c>
      <c r="D1191" s="193" t="s">
        <v>4927</v>
      </c>
    </row>
    <row r="1192">
      <c r="A1192" s="359">
        <v>46160.932191493055</v>
      </c>
      <c r="B1192" s="193"/>
      <c r="C1192" s="193" t="s">
        <v>3119</v>
      </c>
      <c r="D1192" s="193" t="s">
        <v>4676</v>
      </c>
    </row>
    <row r="1193">
      <c r="A1193" s="359">
        <v>46160.933911099535</v>
      </c>
      <c r="B1193" s="193"/>
      <c r="C1193" s="193" t="s">
        <v>3119</v>
      </c>
      <c r="D1193" s="193" t="s">
        <v>4109</v>
      </c>
    </row>
    <row r="1194">
      <c r="A1194" s="359">
        <v>46161.7880074537</v>
      </c>
      <c r="B1194" s="193"/>
      <c r="C1194" s="193" t="s">
        <v>3119</v>
      </c>
      <c r="D1194" s="193" t="s">
        <v>4112</v>
      </c>
    </row>
    <row r="1195">
      <c r="A1195" s="359">
        <v>46161.81547969907</v>
      </c>
      <c r="B1195" s="193"/>
      <c r="C1195" s="193" t="s">
        <v>3119</v>
      </c>
      <c r="D1195" s="193" t="s">
        <v>4125</v>
      </c>
    </row>
    <row r="1196">
      <c r="A1196" s="359">
        <v>46161.858770520834</v>
      </c>
      <c r="B1196" s="193"/>
      <c r="C1196" s="193" t="s">
        <v>3119</v>
      </c>
      <c r="D1196" s="193" t="s">
        <v>3979</v>
      </c>
    </row>
    <row r="1197">
      <c r="A1197" s="359">
        <v>46161.862108981484</v>
      </c>
      <c r="B1197" s="193"/>
      <c r="C1197" s="193" t="s">
        <v>3119</v>
      </c>
      <c r="D1197" s="193" t="s">
        <v>3979</v>
      </c>
    </row>
    <row r="1198">
      <c r="A1198" s="359">
        <v>46161.94063003472</v>
      </c>
      <c r="B1198" s="193"/>
      <c r="C1198" s="193" t="s">
        <v>3119</v>
      </c>
      <c r="D1198" s="193" t="s">
        <v>4156</v>
      </c>
    </row>
    <row r="1199">
      <c r="A1199" s="359">
        <v>46162.918316875</v>
      </c>
      <c r="B1199" s="193"/>
      <c r="C1199" s="193" t="s">
        <v>3119</v>
      </c>
      <c r="D1199" s="193" t="s">
        <v>4136</v>
      </c>
    </row>
    <row r="1200">
      <c r="A1200" s="359">
        <v>46162.918821851854</v>
      </c>
      <c r="B1200" s="193"/>
      <c r="C1200" s="193" t="s">
        <v>3119</v>
      </c>
      <c r="D1200" s="193" t="s">
        <v>4129</v>
      </c>
    </row>
    <row r="1201">
      <c r="A1201" s="359">
        <v>46162.92031081019</v>
      </c>
      <c r="B1201" s="193"/>
      <c r="C1201" s="193" t="s">
        <v>3119</v>
      </c>
      <c r="D1201" s="193" t="s">
        <v>4136</v>
      </c>
    </row>
    <row r="1202">
      <c r="A1202" s="359">
        <v>46162.9249865625</v>
      </c>
      <c r="B1202" s="193"/>
      <c r="C1202" s="193" t="s">
        <v>3119</v>
      </c>
      <c r="D1202" s="193" t="s">
        <v>4112</v>
      </c>
    </row>
    <row r="1203">
      <c r="A1203" s="359">
        <v>46162.926161724536</v>
      </c>
      <c r="B1203" s="193"/>
      <c r="C1203" s="193" t="s">
        <v>3119</v>
      </c>
      <c r="D1203" s="193" t="s">
        <v>4125</v>
      </c>
    </row>
    <row r="1204">
      <c r="A1204" s="359">
        <v>46162.96610896991</v>
      </c>
      <c r="B1204" s="193"/>
      <c r="C1204" s="193" t="s">
        <v>3119</v>
      </c>
      <c r="D1204" s="193" t="s">
        <v>4156</v>
      </c>
    </row>
    <row r="1205">
      <c r="A1205" s="359">
        <v>46162.96965342593</v>
      </c>
      <c r="B1205" s="193"/>
      <c r="C1205" s="193" t="s">
        <v>3119</v>
      </c>
      <c r="D1205" s="193" t="s">
        <v>4129</v>
      </c>
    </row>
    <row r="1206">
      <c r="A1206" s="359">
        <v>46162.96970018519</v>
      </c>
      <c r="B1206" s="193"/>
      <c r="C1206" s="193" t="s">
        <v>3119</v>
      </c>
      <c r="D1206" s="193" t="s">
        <v>4129</v>
      </c>
    </row>
    <row r="1207">
      <c r="A1207" s="359">
        <v>46162.969791192125</v>
      </c>
      <c r="B1207" s="193"/>
      <c r="C1207" s="193" t="s">
        <v>3119</v>
      </c>
      <c r="D1207" s="193" t="s">
        <v>4129</v>
      </c>
    </row>
    <row r="1208">
      <c r="A1208" s="359">
        <v>46163.80855887731</v>
      </c>
      <c r="B1208" s="193" t="s">
        <v>3097</v>
      </c>
      <c r="C1208" s="193" t="s">
        <v>3091</v>
      </c>
      <c r="D1208" s="193" t="s">
        <v>5095</v>
      </c>
    </row>
    <row r="1209">
      <c r="A1209" s="359">
        <v>46163.80865368056</v>
      </c>
      <c r="B1209" s="193" t="s">
        <v>3097</v>
      </c>
      <c r="C1209" s="193" t="s">
        <v>3091</v>
      </c>
      <c r="D1209" s="193" t="s">
        <v>5096</v>
      </c>
    </row>
    <row r="1210">
      <c r="A1210" s="359">
        <v>46163.81334460648</v>
      </c>
      <c r="B1210" s="193" t="s">
        <v>3097</v>
      </c>
      <c r="C1210" s="193" t="s">
        <v>3418</v>
      </c>
      <c r="D1210" s="193" t="s">
        <v>5098</v>
      </c>
    </row>
    <row r="1211">
      <c r="A1211" s="359">
        <v>46163.81344355324</v>
      </c>
      <c r="B1211" s="193" t="s">
        <v>3097</v>
      </c>
      <c r="C1211" s="193" t="s">
        <v>3418</v>
      </c>
      <c r="D1211" s="193" t="s">
        <v>5099</v>
      </c>
    </row>
    <row r="1212">
      <c r="A1212" s="359">
        <v>46163.89938931713</v>
      </c>
      <c r="B1212" s="193"/>
      <c r="C1212" s="193" t="s">
        <v>3119</v>
      </c>
      <c r="D1212" s="193" t="s">
        <v>4069</v>
      </c>
    </row>
    <row r="1213">
      <c r="A1213" s="359">
        <v>46163.90015244213</v>
      </c>
      <c r="B1213" s="193"/>
      <c r="C1213" s="193" t="s">
        <v>3119</v>
      </c>
      <c r="D1213" s="193" t="s">
        <v>4069</v>
      </c>
    </row>
    <row r="1214">
      <c r="A1214" s="359">
        <v>46163.90228422453</v>
      </c>
      <c r="B1214" s="193" t="s">
        <v>3097</v>
      </c>
      <c r="C1214" s="193" t="s">
        <v>3091</v>
      </c>
      <c r="D1214" s="193" t="s">
        <v>5101</v>
      </c>
    </row>
    <row r="1215">
      <c r="A1215" s="359">
        <v>46163.92586487268</v>
      </c>
      <c r="B1215" s="193"/>
      <c r="C1215" s="193" t="s">
        <v>3119</v>
      </c>
      <c r="D1215" s="193" t="s">
        <v>4061</v>
      </c>
    </row>
    <row r="1216">
      <c r="A1216" s="359">
        <v>46163.96837381944</v>
      </c>
      <c r="B1216" s="193"/>
      <c r="C1216" s="193" t="s">
        <v>3119</v>
      </c>
      <c r="D1216" s="193" t="s">
        <v>4061</v>
      </c>
    </row>
    <row r="1217">
      <c r="A1217" s="359">
        <v>46163.96868136574</v>
      </c>
      <c r="B1217" s="193"/>
      <c r="C1217" s="193" t="s">
        <v>3119</v>
      </c>
      <c r="D1217" s="193" t="s">
        <v>4061</v>
      </c>
    </row>
    <row r="1218">
      <c r="A1218" s="359">
        <v>46163.96904229167</v>
      </c>
      <c r="B1218" s="193"/>
      <c r="C1218" s="193" t="s">
        <v>3119</v>
      </c>
      <c r="D1218" s="193" t="s">
        <v>4061</v>
      </c>
    </row>
    <row r="1219">
      <c r="A1219" s="359">
        <v>46164.83352783565</v>
      </c>
      <c r="B1219" s="193"/>
      <c r="C1219" s="193" t="s">
        <v>3119</v>
      </c>
      <c r="D1219" s="193" t="s">
        <v>4158</v>
      </c>
    </row>
    <row r="1220">
      <c r="A1220" s="359">
        <v>46164.883644918984</v>
      </c>
      <c r="B1220" s="193"/>
      <c r="C1220" s="193" t="s">
        <v>3119</v>
      </c>
      <c r="D1220" s="193" t="s">
        <v>4129</v>
      </c>
    </row>
    <row r="1221">
      <c r="A1221" s="359">
        <v>46164.88377939815</v>
      </c>
      <c r="B1221" s="193"/>
      <c r="C1221" s="193" t="s">
        <v>3119</v>
      </c>
      <c r="D1221" s="193" t="s">
        <v>4129</v>
      </c>
    </row>
    <row r="1222">
      <c r="A1222" s="359">
        <v>46164.89295277778</v>
      </c>
      <c r="B1222" s="193"/>
      <c r="C1222" s="193" t="s">
        <v>3119</v>
      </c>
      <c r="D1222" s="193" t="s">
        <v>4129</v>
      </c>
    </row>
    <row r="1223">
      <c r="A1223" s="359">
        <v>46164.97337075231</v>
      </c>
      <c r="B1223" s="193"/>
      <c r="C1223" s="193" t="s">
        <v>3119</v>
      </c>
      <c r="D1223" s="193" t="s">
        <v>4137</v>
      </c>
    </row>
    <row r="1224">
      <c r="A1224" s="359">
        <v>46168.88412112268</v>
      </c>
      <c r="B1224" s="193"/>
      <c r="C1224" s="193" t="s">
        <v>3119</v>
      </c>
      <c r="D1224" s="193" t="s">
        <v>5104</v>
      </c>
    </row>
    <row r="1225">
      <c r="A1225" s="359">
        <v>46168.88541636574</v>
      </c>
      <c r="B1225" s="193"/>
      <c r="C1225" s="193" t="s">
        <v>3119</v>
      </c>
      <c r="D1225" s="193" t="s">
        <v>4136</v>
      </c>
    </row>
    <row r="1226">
      <c r="A1226" s="359">
        <v>46168.88771069444</v>
      </c>
      <c r="B1226" s="193"/>
      <c r="C1226" s="193" t="s">
        <v>3119</v>
      </c>
      <c r="D1226" s="193" t="s">
        <v>4136</v>
      </c>
    </row>
    <row r="1227">
      <c r="A1227" s="359">
        <v>46168.940993553246</v>
      </c>
      <c r="B1227" s="193"/>
      <c r="C1227" s="193" t="s">
        <v>3119</v>
      </c>
      <c r="D1227" s="193" t="s">
        <v>4156</v>
      </c>
    </row>
    <row r="1228">
      <c r="A1228" s="359">
        <v>46171.78006042824</v>
      </c>
      <c r="B1228" s="193" t="s">
        <v>3097</v>
      </c>
      <c r="C1228" s="193" t="s">
        <v>3119</v>
      </c>
      <c r="D1228" s="193" t="s">
        <v>3940</v>
      </c>
    </row>
    <row r="1229">
      <c r="A1229" s="359">
        <v>46171.78504689815</v>
      </c>
      <c r="B1229" s="193" t="s">
        <v>3097</v>
      </c>
      <c r="C1229" s="193" t="s">
        <v>3119</v>
      </c>
      <c r="D1229" s="193" t="s">
        <v>3940</v>
      </c>
    </row>
    <row r="1230">
      <c r="A1230" s="359">
        <v>46171.78852590278</v>
      </c>
      <c r="B1230" s="193" t="s">
        <v>3097</v>
      </c>
      <c r="C1230" s="193" t="s">
        <v>3119</v>
      </c>
      <c r="D1230" s="193" t="s">
        <v>3940</v>
      </c>
    </row>
    <row r="1231">
      <c r="A1231" s="359">
        <v>46171.7900769213</v>
      </c>
      <c r="B1231" s="193" t="s">
        <v>3097</v>
      </c>
      <c r="C1231" s="193" t="s">
        <v>3119</v>
      </c>
      <c r="D1231" s="193" t="s">
        <v>3940</v>
      </c>
    </row>
    <row r="1232">
      <c r="A1232" s="359">
        <v>46171.81052111111</v>
      </c>
      <c r="B1232" s="193" t="s">
        <v>3097</v>
      </c>
      <c r="C1232" s="193" t="s">
        <v>3119</v>
      </c>
      <c r="D1232" s="193" t="s">
        <v>5106</v>
      </c>
    </row>
    <row r="1233">
      <c r="A1233" s="359">
        <v>46171.81198320602</v>
      </c>
      <c r="B1233" s="193" t="s">
        <v>3097</v>
      </c>
      <c r="C1233" s="193" t="s">
        <v>3091</v>
      </c>
      <c r="D1233" s="193" t="s">
        <v>5108</v>
      </c>
    </row>
    <row r="1234">
      <c r="A1234" s="359">
        <v>46171.88328546296</v>
      </c>
      <c r="B1234" s="193" t="s">
        <v>3097</v>
      </c>
      <c r="C1234" s="193" t="s">
        <v>3119</v>
      </c>
      <c r="D1234" s="193" t="s">
        <v>4833</v>
      </c>
    </row>
    <row r="1235">
      <c r="A1235" s="359">
        <v>46174.88475574074</v>
      </c>
      <c r="B1235" s="193"/>
      <c r="C1235" s="193" t="s">
        <v>3119</v>
      </c>
      <c r="D1235" s="193" t="s">
        <v>4140</v>
      </c>
    </row>
    <row r="1236">
      <c r="A1236" s="359">
        <v>46174.89097140046</v>
      </c>
      <c r="B1236" s="193"/>
      <c r="C1236" s="193" t="s">
        <v>3119</v>
      </c>
      <c r="D1236" s="193" t="s">
        <v>4140</v>
      </c>
    </row>
    <row r="1237">
      <c r="A1237" s="359">
        <v>46175.73484275463</v>
      </c>
      <c r="B1237" s="193"/>
      <c r="C1237" s="193" t="s">
        <v>3119</v>
      </c>
      <c r="D1237" s="193" t="s">
        <v>5109</v>
      </c>
    </row>
    <row r="1238">
      <c r="A1238" s="359">
        <v>46175.73564236111</v>
      </c>
      <c r="B1238" s="193" t="s">
        <v>3097</v>
      </c>
      <c r="C1238" s="193" t="s">
        <v>3091</v>
      </c>
      <c r="D1238" s="193" t="s">
        <v>5110</v>
      </c>
    </row>
    <row r="1239">
      <c r="A1239" s="359">
        <v>46175.735736145834</v>
      </c>
      <c r="B1239" s="193" t="s">
        <v>3097</v>
      </c>
      <c r="C1239" s="193" t="s">
        <v>3091</v>
      </c>
      <c r="D1239" s="193" t="s">
        <v>5111</v>
      </c>
    </row>
    <row r="1240">
      <c r="A1240" s="359">
        <v>46175.79489925926</v>
      </c>
      <c r="B1240" s="193"/>
      <c r="C1240" s="193" t="s">
        <v>3119</v>
      </c>
      <c r="D1240" s="193" t="s">
        <v>4140</v>
      </c>
    </row>
    <row r="1241">
      <c r="A1241" s="359">
        <v>46175.81948839121</v>
      </c>
      <c r="B1241" s="193"/>
      <c r="C1241" s="193" t="s">
        <v>3119</v>
      </c>
      <c r="D1241" s="193" t="s">
        <v>4677</v>
      </c>
    </row>
    <row r="1242">
      <c r="A1242" s="359">
        <v>46175.82265959491</v>
      </c>
      <c r="B1242" s="193"/>
      <c r="C1242" s="193" t="s">
        <v>3119</v>
      </c>
      <c r="D1242" s="193" t="s">
        <v>4263</v>
      </c>
    </row>
    <row r="1243">
      <c r="A1243" s="359">
        <v>46175.823668020836</v>
      </c>
      <c r="B1243" s="193"/>
      <c r="C1243" s="193" t="s">
        <v>3119</v>
      </c>
      <c r="D1243" s="193" t="s">
        <v>4533</v>
      </c>
    </row>
    <row r="1244">
      <c r="A1244" s="359">
        <v>46175.824644884255</v>
      </c>
      <c r="B1244" s="193"/>
      <c r="C1244" s="193" t="s">
        <v>3119</v>
      </c>
      <c r="D1244" s="193" t="s">
        <v>4114</v>
      </c>
    </row>
    <row r="1245">
      <c r="A1245" s="359">
        <v>46175.82588002315</v>
      </c>
      <c r="B1245" s="193" t="s">
        <v>3097</v>
      </c>
      <c r="C1245" s="193" t="s">
        <v>3091</v>
      </c>
      <c r="D1245" s="193" t="s">
        <v>5112</v>
      </c>
    </row>
    <row r="1246">
      <c r="A1246" s="359">
        <v>46175.83555578704</v>
      </c>
      <c r="B1246" s="193"/>
      <c r="C1246" s="193" t="s">
        <v>3119</v>
      </c>
      <c r="D1246" s="193" t="s">
        <v>4138</v>
      </c>
    </row>
    <row r="1247">
      <c r="A1247" s="359">
        <v>46175.85287008102</v>
      </c>
      <c r="B1247" s="193"/>
      <c r="C1247" s="193" t="s">
        <v>3119</v>
      </c>
      <c r="D1247" s="193" t="s">
        <v>4138</v>
      </c>
    </row>
    <row r="1248">
      <c r="A1248" s="359">
        <v>46175.88378452546</v>
      </c>
      <c r="B1248" s="193"/>
      <c r="C1248" s="193" t="s">
        <v>3119</v>
      </c>
      <c r="D1248" s="193" t="s">
        <v>4125</v>
      </c>
    </row>
    <row r="1249">
      <c r="A1249" s="359">
        <v>46175.884005405096</v>
      </c>
      <c r="B1249" s="193"/>
      <c r="C1249" s="193" t="s">
        <v>3119</v>
      </c>
      <c r="D1249" s="193" t="s">
        <v>4125</v>
      </c>
    </row>
    <row r="1250">
      <c r="A1250" s="359">
        <v>46175.88409295139</v>
      </c>
      <c r="B1250" s="193"/>
      <c r="C1250" s="193" t="s">
        <v>3119</v>
      </c>
      <c r="D1250" s="193" t="s">
        <v>4125</v>
      </c>
    </row>
    <row r="1251">
      <c r="A1251" s="359">
        <v>46175.8983089699</v>
      </c>
      <c r="B1251" s="193"/>
      <c r="C1251" s="193" t="s">
        <v>3119</v>
      </c>
      <c r="D1251" s="193" t="s">
        <v>4536</v>
      </c>
    </row>
    <row r="1252">
      <c r="A1252" s="359">
        <v>46176.70460640047</v>
      </c>
      <c r="B1252" s="193"/>
      <c r="C1252" s="193" t="s">
        <v>3119</v>
      </c>
      <c r="D1252" s="193" t="s">
        <v>4711</v>
      </c>
    </row>
    <row r="1253">
      <c r="A1253" s="359">
        <v>46176.78772447917</v>
      </c>
      <c r="B1253" s="193"/>
      <c r="C1253" s="193" t="s">
        <v>3119</v>
      </c>
      <c r="D1253" s="193" t="s">
        <v>4149</v>
      </c>
    </row>
    <row r="1254">
      <c r="A1254" s="359">
        <v>46176.884843692125</v>
      </c>
      <c r="B1254" s="193"/>
      <c r="C1254" s="193" t="s">
        <v>3119</v>
      </c>
      <c r="D1254" s="193" t="s">
        <v>5104</v>
      </c>
    </row>
    <row r="1255">
      <c r="A1255" s="359">
        <v>46176.9302034375</v>
      </c>
      <c r="B1255" s="193"/>
      <c r="C1255" s="193" t="s">
        <v>3119</v>
      </c>
      <c r="D1255" s="193" t="s">
        <v>4140</v>
      </c>
    </row>
    <row r="1256">
      <c r="A1256" s="359">
        <v>46176.93358732639</v>
      </c>
      <c r="B1256" s="193" t="s">
        <v>3097</v>
      </c>
      <c r="C1256" s="193" t="s">
        <v>3091</v>
      </c>
      <c r="D1256" s="193" t="s">
        <v>5115</v>
      </c>
    </row>
    <row r="1257">
      <c r="A1257" s="359">
        <v>46177.77937721065</v>
      </c>
      <c r="B1257" s="193"/>
      <c r="C1257" s="193" t="s">
        <v>3119</v>
      </c>
      <c r="D1257" s="193" t="s">
        <v>4828</v>
      </c>
    </row>
    <row r="1258">
      <c r="A1258" s="359">
        <v>46177.81869837963</v>
      </c>
      <c r="B1258" s="193"/>
      <c r="C1258" s="193" t="s">
        <v>3119</v>
      </c>
      <c r="D1258" s="193" t="s">
        <v>4113</v>
      </c>
    </row>
    <row r="1259">
      <c r="A1259" s="359">
        <v>46177.82240877315</v>
      </c>
      <c r="B1259" s="193" t="s">
        <v>3097</v>
      </c>
      <c r="C1259" s="193" t="s">
        <v>3091</v>
      </c>
      <c r="D1259" s="193" t="s">
        <v>5119</v>
      </c>
    </row>
    <row r="1260">
      <c r="A1260" s="359">
        <v>46177.82246804398</v>
      </c>
      <c r="B1260" s="193" t="s">
        <v>3097</v>
      </c>
      <c r="C1260" s="193" t="s">
        <v>3091</v>
      </c>
      <c r="D1260" s="193" t="s">
        <v>5120</v>
      </c>
    </row>
    <row r="1261">
      <c r="A1261" s="359">
        <v>46177.8351134838</v>
      </c>
      <c r="B1261" s="193"/>
      <c r="C1261" s="193" t="s">
        <v>3119</v>
      </c>
      <c r="D1261" s="193" t="s">
        <v>4449</v>
      </c>
    </row>
    <row r="1262">
      <c r="A1262" s="359">
        <v>46177.83927149305</v>
      </c>
      <c r="B1262" s="193"/>
      <c r="C1262" s="193" t="s">
        <v>3119</v>
      </c>
      <c r="D1262" s="193" t="s">
        <v>4138</v>
      </c>
    </row>
    <row r="1263">
      <c r="A1263" s="359">
        <v>46181.8672289699</v>
      </c>
      <c r="B1263" s="193"/>
      <c r="C1263" s="193" t="s">
        <v>3119</v>
      </c>
      <c r="D1263" s="193" t="s">
        <v>4818</v>
      </c>
    </row>
    <row r="1264">
      <c r="A1264" s="359">
        <v>46182.770724166665</v>
      </c>
      <c r="B1264" s="193" t="s">
        <v>3097</v>
      </c>
      <c r="C1264" s="193" t="s">
        <v>3091</v>
      </c>
      <c r="D1264" s="193" t="s">
        <v>5124</v>
      </c>
    </row>
    <row r="1265">
      <c r="A1265" s="359">
        <v>46182.80160769676</v>
      </c>
      <c r="B1265" s="193" t="s">
        <v>3097</v>
      </c>
      <c r="C1265" s="193" t="s">
        <v>3091</v>
      </c>
      <c r="D1265" s="193" t="s">
        <v>5125</v>
      </c>
    </row>
    <row r="1266">
      <c r="A1266" s="359">
        <v>46182.88143412037</v>
      </c>
      <c r="B1266" s="193" t="s">
        <v>3097</v>
      </c>
      <c r="C1266" s="193" t="s">
        <v>3091</v>
      </c>
      <c r="D1266" s="193" t="s">
        <v>5126</v>
      </c>
    </row>
    <row r="1267">
      <c r="A1267" s="359">
        <v>46182.89533954861</v>
      </c>
      <c r="B1267" s="193" t="s">
        <v>3097</v>
      </c>
      <c r="C1267" s="193" t="s">
        <v>3091</v>
      </c>
      <c r="D1267" s="193" t="s">
        <v>5127</v>
      </c>
    </row>
    <row r="1268">
      <c r="A1268" s="359">
        <v>46182.90155386574</v>
      </c>
      <c r="B1268" s="193"/>
      <c r="C1268" s="193" t="s">
        <v>3119</v>
      </c>
      <c r="D1268" s="193" t="s">
        <v>4458</v>
      </c>
    </row>
    <row r="1269">
      <c r="A1269" s="359">
        <v>46182.94667641204</v>
      </c>
      <c r="B1269" s="193"/>
      <c r="C1269" s="193" t="s">
        <v>3119</v>
      </c>
      <c r="D1269" s="193" t="s">
        <v>4158</v>
      </c>
    </row>
    <row r="1270">
      <c r="A1270" s="359">
        <v>46182.94785858796</v>
      </c>
      <c r="B1270" s="193"/>
      <c r="C1270" s="193" t="s">
        <v>3119</v>
      </c>
      <c r="D1270" s="193" t="s">
        <v>4158</v>
      </c>
    </row>
    <row r="1271">
      <c r="A1271" s="359">
        <v>46183.841816932865</v>
      </c>
      <c r="B1271" s="193" t="s">
        <v>3097</v>
      </c>
      <c r="C1271" s="193" t="s">
        <v>3119</v>
      </c>
      <c r="D1271" s="193" t="s">
        <v>4306</v>
      </c>
    </row>
    <row r="1272">
      <c r="A1272" s="359">
        <v>46183.84229556713</v>
      </c>
      <c r="B1272" s="193"/>
      <c r="C1272" s="193" t="s">
        <v>3119</v>
      </c>
      <c r="D1272" s="193" t="s">
        <v>4004</v>
      </c>
    </row>
    <row r="1273">
      <c r="A1273" s="359">
        <v>46183.84239627315</v>
      </c>
      <c r="B1273" s="193" t="s">
        <v>3097</v>
      </c>
      <c r="C1273" s="193" t="s">
        <v>3119</v>
      </c>
      <c r="D1273" s="193" t="s">
        <v>3951</v>
      </c>
    </row>
    <row r="1274">
      <c r="A1274" s="359">
        <v>46183.84381259259</v>
      </c>
      <c r="B1274" s="193"/>
      <c r="C1274" s="193" t="s">
        <v>3119</v>
      </c>
      <c r="D1274" s="193" t="s">
        <v>3995</v>
      </c>
    </row>
    <row r="1275">
      <c r="A1275" s="359">
        <v>46183.847539282404</v>
      </c>
      <c r="B1275" s="193"/>
      <c r="C1275" s="193" t="s">
        <v>3119</v>
      </c>
      <c r="D1275" s="193" t="s">
        <v>4003</v>
      </c>
    </row>
    <row r="1276">
      <c r="A1276" s="359">
        <v>46183.8478162963</v>
      </c>
      <c r="B1276" s="193" t="s">
        <v>3097</v>
      </c>
      <c r="C1276" s="193" t="s">
        <v>3119</v>
      </c>
      <c r="D1276" s="193" t="s">
        <v>4597</v>
      </c>
    </row>
    <row r="1277">
      <c r="A1277" s="359">
        <v>46183.84783978009</v>
      </c>
      <c r="B1277" s="193" t="s">
        <v>3097</v>
      </c>
      <c r="C1277" s="193" t="s">
        <v>3119</v>
      </c>
      <c r="D1277" s="193" t="s">
        <v>4597</v>
      </c>
    </row>
    <row r="1278">
      <c r="A1278" s="359">
        <v>46183.847957199076</v>
      </c>
      <c r="B1278" s="193" t="s">
        <v>3097</v>
      </c>
      <c r="C1278" s="193" t="s">
        <v>3119</v>
      </c>
      <c r="D1278" s="193" t="s">
        <v>5133</v>
      </c>
    </row>
    <row r="1279">
      <c r="A1279" s="359">
        <v>46183.85003011574</v>
      </c>
      <c r="B1279" s="193"/>
      <c r="C1279" s="193" t="s">
        <v>3119</v>
      </c>
      <c r="D1279" s="193" t="s">
        <v>4003</v>
      </c>
    </row>
    <row r="1280">
      <c r="A1280" s="359">
        <v>46183.8516671875</v>
      </c>
      <c r="B1280" s="193" t="s">
        <v>3097</v>
      </c>
      <c r="C1280" s="193" t="s">
        <v>3119</v>
      </c>
      <c r="D1280" s="193" t="s">
        <v>4487</v>
      </c>
    </row>
    <row r="1281">
      <c r="A1281" s="359">
        <v>46183.852520925924</v>
      </c>
      <c r="B1281" s="193"/>
      <c r="C1281" s="193" t="s">
        <v>3119</v>
      </c>
      <c r="D1281" s="193" t="s">
        <v>3999</v>
      </c>
    </row>
    <row r="1282">
      <c r="A1282" s="359">
        <v>46183.852705868056</v>
      </c>
      <c r="B1282" s="193" t="s">
        <v>3097</v>
      </c>
      <c r="C1282" s="193" t="s">
        <v>3119</v>
      </c>
      <c r="D1282" s="193" t="s">
        <v>4826</v>
      </c>
    </row>
    <row r="1283">
      <c r="A1283" s="359">
        <v>46183.85545282408</v>
      </c>
      <c r="B1283" s="193" t="s">
        <v>3097</v>
      </c>
      <c r="C1283" s="193" t="s">
        <v>3119</v>
      </c>
      <c r="D1283" s="193" t="s">
        <v>4775</v>
      </c>
    </row>
    <row r="1284">
      <c r="A1284" s="359">
        <v>46183.856454988425</v>
      </c>
      <c r="B1284" s="193" t="s">
        <v>3097</v>
      </c>
      <c r="C1284" s="193" t="s">
        <v>3119</v>
      </c>
      <c r="D1284" s="193" t="s">
        <v>4775</v>
      </c>
    </row>
    <row r="1285">
      <c r="A1285" s="359">
        <v>46183.85648563657</v>
      </c>
      <c r="B1285" s="193"/>
      <c r="C1285" s="193" t="s">
        <v>3119</v>
      </c>
      <c r="D1285" s="193" t="s">
        <v>4002</v>
      </c>
    </row>
    <row r="1286">
      <c r="A1286" s="359">
        <v>46183.85709981481</v>
      </c>
      <c r="B1286" s="193"/>
      <c r="C1286" s="193" t="s">
        <v>3119</v>
      </c>
      <c r="D1286" s="193" t="s">
        <v>4002</v>
      </c>
    </row>
    <row r="1287">
      <c r="A1287" s="359">
        <v>46183.85712885417</v>
      </c>
      <c r="B1287" s="193" t="s">
        <v>3097</v>
      </c>
      <c r="C1287" s="193" t="s">
        <v>3119</v>
      </c>
      <c r="D1287" s="193" t="s">
        <v>4525</v>
      </c>
    </row>
    <row r="1288">
      <c r="A1288" s="359">
        <v>46183.85714579861</v>
      </c>
      <c r="B1288" s="193" t="s">
        <v>3097</v>
      </c>
      <c r="C1288" s="193" t="s">
        <v>3119</v>
      </c>
      <c r="D1288" s="193" t="s">
        <v>5139</v>
      </c>
    </row>
    <row r="1289">
      <c r="A1289" s="359">
        <v>46183.85754297454</v>
      </c>
      <c r="B1289" s="193" t="s">
        <v>3097</v>
      </c>
      <c r="C1289" s="193" t="s">
        <v>3119</v>
      </c>
      <c r="D1289" s="193" t="s">
        <v>5139</v>
      </c>
    </row>
    <row r="1290">
      <c r="A1290" s="359">
        <v>46183.85873516204</v>
      </c>
      <c r="B1290" s="193" t="s">
        <v>3097</v>
      </c>
      <c r="C1290" s="193" t="s">
        <v>3119</v>
      </c>
      <c r="D1290" s="193" t="s">
        <v>4114</v>
      </c>
    </row>
    <row r="1291">
      <c r="A1291" s="359">
        <v>46183.861571064816</v>
      </c>
      <c r="B1291" s="193" t="s">
        <v>3097</v>
      </c>
      <c r="C1291" s="193" t="s">
        <v>3119</v>
      </c>
      <c r="D1291" s="193" t="s">
        <v>4505</v>
      </c>
    </row>
    <row r="1292">
      <c r="A1292" s="359">
        <v>46183.86345659722</v>
      </c>
      <c r="B1292" s="193" t="s">
        <v>3097</v>
      </c>
      <c r="C1292" s="193" t="s">
        <v>3119</v>
      </c>
      <c r="D1292" s="193" t="s">
        <v>4064</v>
      </c>
    </row>
    <row r="1293">
      <c r="A1293" s="359">
        <v>46183.86469391204</v>
      </c>
      <c r="B1293" s="193" t="s">
        <v>3097</v>
      </c>
      <c r="C1293" s="193" t="s">
        <v>3119</v>
      </c>
      <c r="D1293" s="193" t="s">
        <v>4514</v>
      </c>
    </row>
    <row r="1294">
      <c r="A1294" s="359">
        <v>46183.8647596875</v>
      </c>
      <c r="B1294" s="193" t="s">
        <v>3097</v>
      </c>
      <c r="C1294" s="193" t="s">
        <v>3119</v>
      </c>
      <c r="D1294" s="193" t="s">
        <v>4514</v>
      </c>
    </row>
    <row r="1295">
      <c r="A1295" s="359">
        <v>46183.86528576389</v>
      </c>
      <c r="B1295" s="193"/>
      <c r="C1295" s="193" t="s">
        <v>3119</v>
      </c>
      <c r="D1295" s="193" t="s">
        <v>4007</v>
      </c>
    </row>
    <row r="1296">
      <c r="A1296" s="359">
        <v>46183.866389375005</v>
      </c>
      <c r="B1296" s="193" t="s">
        <v>3097</v>
      </c>
      <c r="C1296" s="193" t="s">
        <v>3119</v>
      </c>
      <c r="D1296" s="193" t="s">
        <v>4332</v>
      </c>
    </row>
    <row r="1297">
      <c r="A1297" s="359">
        <v>46183.86662722222</v>
      </c>
      <c r="B1297" s="193"/>
      <c r="C1297" s="193" t="s">
        <v>3119</v>
      </c>
      <c r="D1297" s="193" t="s">
        <v>4009</v>
      </c>
    </row>
    <row r="1298">
      <c r="A1298" s="359">
        <v>46183.8670565162</v>
      </c>
      <c r="B1298" s="193" t="s">
        <v>3097</v>
      </c>
      <c r="C1298" s="193" t="s">
        <v>3119</v>
      </c>
      <c r="D1298" s="193" t="s">
        <v>4332</v>
      </c>
    </row>
    <row r="1299">
      <c r="A1299" s="359">
        <v>46183.86755643519</v>
      </c>
      <c r="B1299" s="193" t="s">
        <v>3097</v>
      </c>
      <c r="C1299" s="193" t="s">
        <v>3091</v>
      </c>
      <c r="D1299" s="193" t="s">
        <v>5145</v>
      </c>
    </row>
    <row r="1300">
      <c r="A1300" s="359">
        <v>46183.86926309028</v>
      </c>
      <c r="B1300" s="193"/>
      <c r="C1300" s="193" t="s">
        <v>3119</v>
      </c>
      <c r="D1300" s="193" t="s">
        <v>4290</v>
      </c>
    </row>
    <row r="1301">
      <c r="A1301" s="359">
        <v>46183.86937436342</v>
      </c>
      <c r="B1301" s="193"/>
      <c r="C1301" s="193" t="s">
        <v>3119</v>
      </c>
      <c r="D1301" s="193" t="s">
        <v>4018</v>
      </c>
    </row>
    <row r="1302">
      <c r="A1302" s="359">
        <v>46183.87043363426</v>
      </c>
      <c r="B1302" s="193" t="s">
        <v>3097</v>
      </c>
      <c r="C1302" s="193" t="s">
        <v>3119</v>
      </c>
      <c r="D1302" s="193" t="s">
        <v>4449</v>
      </c>
    </row>
    <row r="1303">
      <c r="A1303" s="359">
        <v>46183.87214328704</v>
      </c>
      <c r="B1303" s="193"/>
      <c r="C1303" s="193" t="s">
        <v>3119</v>
      </c>
      <c r="D1303" s="193" t="s">
        <v>4020</v>
      </c>
    </row>
    <row r="1304">
      <c r="A1304" s="359">
        <v>46183.879439282406</v>
      </c>
      <c r="B1304" s="193"/>
      <c r="C1304" s="193" t="s">
        <v>3119</v>
      </c>
      <c r="D1304" s="193" t="s">
        <v>4026</v>
      </c>
    </row>
    <row r="1305">
      <c r="A1305" s="359">
        <v>46183.88952872685</v>
      </c>
      <c r="B1305" s="193"/>
      <c r="C1305" s="193" t="s">
        <v>3119</v>
      </c>
      <c r="D1305" s="193" t="s">
        <v>4026</v>
      </c>
    </row>
    <row r="1306">
      <c r="A1306" s="359">
        <v>46183.892283333334</v>
      </c>
      <c r="B1306" s="193" t="s">
        <v>3097</v>
      </c>
      <c r="C1306" s="193" t="s">
        <v>3119</v>
      </c>
      <c r="D1306" s="193" t="s">
        <v>5078</v>
      </c>
    </row>
    <row r="1307">
      <c r="A1307" s="359">
        <v>46183.89270321759</v>
      </c>
      <c r="B1307" s="193" t="s">
        <v>3097</v>
      </c>
      <c r="C1307" s="193" t="s">
        <v>3119</v>
      </c>
      <c r="D1307" s="193" t="s">
        <v>5151</v>
      </c>
    </row>
    <row r="1308">
      <c r="A1308" s="359">
        <v>46183.89279614583</v>
      </c>
      <c r="B1308" s="193"/>
      <c r="C1308" s="193" t="s">
        <v>3119</v>
      </c>
      <c r="D1308" s="193" t="s">
        <v>4019</v>
      </c>
    </row>
    <row r="1309">
      <c r="A1309" s="359">
        <v>46183.89470855324</v>
      </c>
      <c r="B1309" s="193"/>
      <c r="C1309" s="193" t="s">
        <v>3119</v>
      </c>
      <c r="D1309" s="193" t="s">
        <v>4057</v>
      </c>
    </row>
    <row r="1310">
      <c r="A1310" s="359">
        <v>46183.89534707176</v>
      </c>
      <c r="B1310" s="193" t="s">
        <v>3097</v>
      </c>
      <c r="C1310" s="193" t="s">
        <v>3091</v>
      </c>
      <c r="D1310" s="193" t="s">
        <v>5154</v>
      </c>
    </row>
    <row r="1311">
      <c r="A1311" s="359">
        <v>46183.89555893518</v>
      </c>
      <c r="B1311" s="193"/>
      <c r="C1311" s="193" t="s">
        <v>3119</v>
      </c>
      <c r="D1311" s="193" t="s">
        <v>4026</v>
      </c>
    </row>
    <row r="1312">
      <c r="A1312" s="359">
        <v>46183.8956792824</v>
      </c>
      <c r="B1312" s="193"/>
      <c r="C1312" s="193" t="s">
        <v>3119</v>
      </c>
      <c r="D1312" s="193" t="s">
        <v>4026</v>
      </c>
    </row>
    <row r="1313">
      <c r="A1313" s="359">
        <v>46183.89573350694</v>
      </c>
      <c r="B1313" s="193"/>
      <c r="C1313" s="193" t="s">
        <v>3119</v>
      </c>
      <c r="D1313" s="193" t="s">
        <v>3968</v>
      </c>
    </row>
    <row r="1314">
      <c r="A1314" s="359">
        <v>46183.913381192135</v>
      </c>
      <c r="B1314" s="193" t="s">
        <v>3097</v>
      </c>
      <c r="C1314" s="193" t="s">
        <v>3119</v>
      </c>
      <c r="D1314" s="193" t="s">
        <v>5157</v>
      </c>
    </row>
    <row r="1315">
      <c r="A1315" s="359">
        <v>46183.916335</v>
      </c>
      <c r="B1315" s="193"/>
      <c r="C1315" s="193" t="s">
        <v>3119</v>
      </c>
      <c r="D1315" s="193" t="s">
        <v>4057</v>
      </c>
    </row>
    <row r="1316">
      <c r="A1316" s="359">
        <v>46183.91654827546</v>
      </c>
      <c r="B1316" s="193"/>
      <c r="C1316" s="193" t="s">
        <v>3119</v>
      </c>
      <c r="D1316" s="193" t="s">
        <v>4057</v>
      </c>
    </row>
    <row r="1317">
      <c r="A1317" s="359">
        <v>46183.917642858796</v>
      </c>
      <c r="B1317" s="193"/>
      <c r="C1317" s="193" t="s">
        <v>3119</v>
      </c>
      <c r="D1317" s="193" t="s">
        <v>4057</v>
      </c>
    </row>
    <row r="1318">
      <c r="A1318" s="359">
        <v>46183.91806607639</v>
      </c>
      <c r="B1318" s="193"/>
      <c r="C1318" s="193" t="s">
        <v>3119</v>
      </c>
      <c r="D1318" s="193" t="s">
        <v>4057</v>
      </c>
    </row>
    <row r="1319">
      <c r="A1319" s="359">
        <v>46183.92735021991</v>
      </c>
      <c r="B1319" s="193"/>
      <c r="C1319" s="193" t="s">
        <v>3119</v>
      </c>
      <c r="D1319" s="193" t="s">
        <v>4106</v>
      </c>
    </row>
    <row r="1320">
      <c r="A1320" s="359">
        <v>46183.94622803241</v>
      </c>
      <c r="B1320" s="193"/>
      <c r="C1320" s="193" t="s">
        <v>3119</v>
      </c>
      <c r="D1320" s="193" t="s">
        <v>4177</v>
      </c>
    </row>
    <row r="1321">
      <c r="A1321" s="359">
        <v>46183.94813171296</v>
      </c>
      <c r="B1321" s="193"/>
      <c r="C1321" s="193" t="s">
        <v>3119</v>
      </c>
      <c r="D1321" s="193" t="s">
        <v>4219</v>
      </c>
    </row>
    <row r="1322">
      <c r="A1322" s="359">
        <v>46183.94872890046</v>
      </c>
      <c r="B1322" s="193"/>
      <c r="C1322" s="193" t="s">
        <v>3119</v>
      </c>
      <c r="D1322" s="193" t="s">
        <v>4696</v>
      </c>
    </row>
    <row r="1323">
      <c r="A1323" s="359">
        <v>46183.95086293982</v>
      </c>
      <c r="B1323" s="193" t="s">
        <v>3097</v>
      </c>
      <c r="C1323" s="193" t="s">
        <v>3091</v>
      </c>
      <c r="D1323" s="193" t="s">
        <v>5162</v>
      </c>
    </row>
    <row r="1324">
      <c r="A1324" s="359">
        <v>46183.95244652778</v>
      </c>
      <c r="B1324" s="193"/>
      <c r="C1324" s="193" t="s">
        <v>3119</v>
      </c>
      <c r="D1324" s="193" t="s">
        <v>4161</v>
      </c>
    </row>
    <row r="1325">
      <c r="A1325" s="359">
        <v>46183.954323750004</v>
      </c>
      <c r="B1325" s="193"/>
      <c r="C1325" s="193" t="s">
        <v>3119</v>
      </c>
      <c r="D1325" s="193" t="s">
        <v>4161</v>
      </c>
    </row>
    <row r="1326">
      <c r="A1326" s="359">
        <v>46184.86347236111</v>
      </c>
      <c r="B1326" s="193"/>
      <c r="C1326" s="193" t="s">
        <v>3119</v>
      </c>
      <c r="D1326" s="193" t="s">
        <v>4775</v>
      </c>
    </row>
    <row r="1327">
      <c r="A1327" s="359">
        <v>46184.86394225694</v>
      </c>
      <c r="B1327" s="193"/>
      <c r="C1327" s="193" t="s">
        <v>3119</v>
      </c>
      <c r="D1327" s="193" t="s">
        <v>4069</v>
      </c>
    </row>
    <row r="1328">
      <c r="A1328" s="359">
        <v>46184.93105648148</v>
      </c>
      <c r="B1328" s="193"/>
      <c r="C1328" s="193" t="s">
        <v>3119</v>
      </c>
      <c r="D1328" s="193" t="s">
        <v>4069</v>
      </c>
    </row>
    <row r="1329">
      <c r="A1329" s="359">
        <v>46184.93125273148</v>
      </c>
      <c r="B1329" s="193"/>
      <c r="C1329" s="193" t="s">
        <v>3119</v>
      </c>
      <c r="D1329" s="193" t="s">
        <v>4069</v>
      </c>
    </row>
    <row r="1330">
      <c r="A1330" s="359">
        <v>46185.770276828705</v>
      </c>
      <c r="B1330" s="193"/>
      <c r="C1330" s="193" t="s">
        <v>3119</v>
      </c>
      <c r="D1330" s="193" t="s">
        <v>4248</v>
      </c>
    </row>
    <row r="1331">
      <c r="A1331" s="359">
        <v>46185.77326450231</v>
      </c>
      <c r="B1331" s="193"/>
      <c r="C1331" s="193" t="s">
        <v>3119</v>
      </c>
      <c r="D1331" s="193" t="s">
        <v>4248</v>
      </c>
    </row>
    <row r="1332">
      <c r="A1332" s="359">
        <v>46185.87689170139</v>
      </c>
      <c r="B1332" s="193"/>
      <c r="C1332" s="193" t="s">
        <v>3119</v>
      </c>
      <c r="D1332" s="193" t="s">
        <v>5170</v>
      </c>
    </row>
    <row r="1333">
      <c r="A1333" s="359">
        <v>46188.72519814815</v>
      </c>
      <c r="B1333" s="193" t="s">
        <v>3097</v>
      </c>
      <c r="C1333" s="193" t="s">
        <v>3091</v>
      </c>
      <c r="D1333" s="193" t="s">
        <v>5171</v>
      </c>
    </row>
    <row r="1334">
      <c r="A1334" s="359">
        <v>46188.80049584491</v>
      </c>
      <c r="B1334" s="193"/>
      <c r="C1334" s="193" t="s">
        <v>3119</v>
      </c>
      <c r="D1334" s="193" t="s">
        <v>4035</v>
      </c>
    </row>
    <row r="1335">
      <c r="A1335" s="359">
        <v>46188.867734513886</v>
      </c>
      <c r="B1335" s="193"/>
      <c r="C1335" s="193" t="s">
        <v>3119</v>
      </c>
      <c r="D1335" s="193" t="s">
        <v>5173</v>
      </c>
    </row>
    <row r="1336">
      <c r="A1336" s="359">
        <v>46188.96695960648</v>
      </c>
      <c r="B1336" s="193"/>
      <c r="C1336" s="193" t="s">
        <v>3119</v>
      </c>
      <c r="D1336" s="193" t="s">
        <v>4349</v>
      </c>
    </row>
    <row r="1337">
      <c r="A1337" s="359">
        <v>46188.96744414352</v>
      </c>
      <c r="B1337" s="193"/>
      <c r="C1337" s="193" t="s">
        <v>3119</v>
      </c>
      <c r="D1337" s="193" t="s">
        <v>5174</v>
      </c>
    </row>
    <row r="1338">
      <c r="A1338" s="359">
        <v>46188.98475684028</v>
      </c>
      <c r="B1338" s="193"/>
      <c r="C1338" s="193" t="s">
        <v>3119</v>
      </c>
      <c r="D1338" s="193" t="s">
        <v>5157</v>
      </c>
    </row>
    <row r="1339">
      <c r="A1339" s="359">
        <v>46189.7495221412</v>
      </c>
      <c r="B1339" s="193" t="s">
        <v>3097</v>
      </c>
      <c r="C1339" s="193" t="s">
        <v>3091</v>
      </c>
      <c r="D1339" s="193" t="s">
        <v>5177</v>
      </c>
    </row>
    <row r="1340">
      <c r="A1340" s="359">
        <v>46189.74963810186</v>
      </c>
      <c r="B1340" s="193" t="s">
        <v>3097</v>
      </c>
      <c r="C1340" s="193" t="s">
        <v>3091</v>
      </c>
      <c r="D1340" s="193" t="s">
        <v>5178</v>
      </c>
    </row>
    <row r="1341">
      <c r="A1341" s="359">
        <v>46189.74972792824</v>
      </c>
      <c r="B1341" s="193" t="s">
        <v>3097</v>
      </c>
      <c r="C1341" s="193" t="s">
        <v>3091</v>
      </c>
      <c r="D1341" s="193" t="s">
        <v>5179</v>
      </c>
    </row>
    <row r="1342">
      <c r="A1342" s="359">
        <v>46189.749834664355</v>
      </c>
      <c r="B1342" s="193" t="s">
        <v>3097</v>
      </c>
      <c r="C1342" s="193" t="s">
        <v>3091</v>
      </c>
      <c r="D1342" s="193" t="s">
        <v>5180</v>
      </c>
    </row>
    <row r="1343">
      <c r="A1343" s="359">
        <v>46189.75079651621</v>
      </c>
      <c r="B1343" s="193" t="s">
        <v>3097</v>
      </c>
      <c r="C1343" s="193" t="s">
        <v>3418</v>
      </c>
      <c r="D1343" s="193" t="s">
        <v>5181</v>
      </c>
    </row>
    <row r="1344">
      <c r="A1344" s="359">
        <v>46189.75086501158</v>
      </c>
      <c r="B1344" s="193" t="s">
        <v>3097</v>
      </c>
      <c r="C1344" s="193" t="s">
        <v>3418</v>
      </c>
      <c r="D1344" s="193" t="s">
        <v>5182</v>
      </c>
    </row>
    <row r="1345">
      <c r="A1345" s="359">
        <v>46189.75093081019</v>
      </c>
      <c r="B1345" s="193" t="s">
        <v>3097</v>
      </c>
      <c r="C1345" s="193" t="s">
        <v>3418</v>
      </c>
      <c r="D1345" s="193" t="s">
        <v>5183</v>
      </c>
    </row>
    <row r="1346">
      <c r="A1346" s="359">
        <v>46189.75100770833</v>
      </c>
      <c r="B1346" s="193" t="s">
        <v>3097</v>
      </c>
      <c r="C1346" s="193" t="s">
        <v>3418</v>
      </c>
      <c r="D1346" s="193" t="s">
        <v>5184</v>
      </c>
    </row>
    <row r="1347">
      <c r="A1347" s="359">
        <v>46189.772990729165</v>
      </c>
      <c r="B1347" s="193"/>
      <c r="C1347" s="193" t="s">
        <v>3119</v>
      </c>
      <c r="D1347" s="193" t="s">
        <v>5186</v>
      </c>
    </row>
    <row r="1348">
      <c r="A1348" s="359">
        <v>46189.781573761575</v>
      </c>
      <c r="B1348" s="193"/>
      <c r="C1348" s="193" t="s">
        <v>3119</v>
      </c>
      <c r="D1348" s="193" t="s">
        <v>4241</v>
      </c>
    </row>
    <row r="1349">
      <c r="A1349" s="359">
        <v>46189.81250552084</v>
      </c>
      <c r="B1349" s="193"/>
      <c r="C1349" s="193" t="s">
        <v>3119</v>
      </c>
      <c r="D1349" s="193" t="s">
        <v>4149</v>
      </c>
    </row>
    <row r="1350">
      <c r="A1350" s="359">
        <v>46189.81890591435</v>
      </c>
      <c r="B1350" s="193" t="s">
        <v>3097</v>
      </c>
      <c r="C1350" s="193" t="s">
        <v>3091</v>
      </c>
      <c r="D1350" s="193" t="s">
        <v>5188</v>
      </c>
    </row>
    <row r="1351">
      <c r="A1351" s="359">
        <v>46189.86703212963</v>
      </c>
      <c r="B1351" s="193"/>
      <c r="C1351" s="193" t="s">
        <v>3119</v>
      </c>
      <c r="D1351" s="193" t="s">
        <v>4035</v>
      </c>
    </row>
    <row r="1352">
      <c r="A1352" s="359">
        <v>46190.87958606481</v>
      </c>
      <c r="B1352" s="193"/>
      <c r="C1352" s="193" t="s">
        <v>3119</v>
      </c>
      <c r="D1352" s="193" t="s">
        <v>4251</v>
      </c>
    </row>
    <row r="1353">
      <c r="A1353" s="359">
        <v>46190.879811597224</v>
      </c>
      <c r="B1353" s="193"/>
      <c r="C1353" s="193" t="s">
        <v>3119</v>
      </c>
      <c r="D1353" s="193" t="s">
        <v>4251</v>
      </c>
    </row>
    <row r="1354">
      <c r="A1354" s="359">
        <v>46190.91408630787</v>
      </c>
      <c r="B1354" s="193"/>
      <c r="C1354" s="193" t="s">
        <v>3119</v>
      </c>
      <c r="D1354" s="193" t="s">
        <v>4251</v>
      </c>
    </row>
    <row r="1355">
      <c r="A1355" s="359">
        <v>46190.914109907404</v>
      </c>
      <c r="B1355" s="193"/>
      <c r="C1355" s="193" t="s">
        <v>3119</v>
      </c>
      <c r="D1355" s="193" t="s">
        <v>4251</v>
      </c>
    </row>
    <row r="1356">
      <c r="A1356" s="359">
        <v>46190.9149875463</v>
      </c>
      <c r="B1356" s="193"/>
      <c r="C1356" s="193" t="s">
        <v>3119</v>
      </c>
      <c r="D1356" s="193" t="s">
        <v>4251</v>
      </c>
    </row>
    <row r="1357">
      <c r="A1357" s="359">
        <v>46190.91736152778</v>
      </c>
      <c r="B1357" s="193"/>
      <c r="C1357" s="193" t="s">
        <v>3119</v>
      </c>
      <c r="D1357" s="193" t="s">
        <v>4251</v>
      </c>
    </row>
    <row r="1358">
      <c r="A1358" s="359">
        <v>46191.930364872685</v>
      </c>
      <c r="B1358" s="193"/>
      <c r="C1358" s="193" t="s">
        <v>3119</v>
      </c>
      <c r="D1358" s="193" t="s">
        <v>4349</v>
      </c>
    </row>
    <row r="1359">
      <c r="A1359" s="359">
        <v>46191.93085047454</v>
      </c>
      <c r="B1359" s="193"/>
      <c r="C1359" s="193" t="s">
        <v>3119</v>
      </c>
      <c r="D1359" s="193" t="s">
        <v>5191</v>
      </c>
    </row>
    <row r="1360">
      <c r="A1360" s="359">
        <v>46191.936983252315</v>
      </c>
      <c r="B1360" s="193" t="s">
        <v>3097</v>
      </c>
      <c r="C1360" s="193" t="s">
        <v>3091</v>
      </c>
      <c r="D1360" s="193" t="s">
        <v>5193</v>
      </c>
    </row>
    <row r="1361">
      <c r="A1361" s="359">
        <v>46191.938264490745</v>
      </c>
      <c r="B1361" s="193" t="s">
        <v>3097</v>
      </c>
      <c r="C1361" s="193" t="s">
        <v>3418</v>
      </c>
      <c r="D1361" s="193" t="s">
        <v>5194</v>
      </c>
    </row>
    <row r="1362">
      <c r="A1362" s="359">
        <v>46192.668151562495</v>
      </c>
      <c r="B1362" s="193"/>
      <c r="C1362" s="193" t="s">
        <v>3119</v>
      </c>
      <c r="D1362" s="193" t="s">
        <v>4677</v>
      </c>
    </row>
    <row r="1363">
      <c r="A1363" s="359">
        <v>46192.70438577546</v>
      </c>
      <c r="B1363" s="193" t="s">
        <v>3097</v>
      </c>
      <c r="C1363" s="193" t="s">
        <v>3091</v>
      </c>
      <c r="D1363" s="193" t="s">
        <v>5195</v>
      </c>
    </row>
    <row r="1364">
      <c r="A1364" s="359">
        <v>46192.70450685185</v>
      </c>
      <c r="B1364" s="193" t="s">
        <v>3097</v>
      </c>
      <c r="C1364" s="193" t="s">
        <v>3091</v>
      </c>
      <c r="D1364" s="193" t="s">
        <v>5196</v>
      </c>
    </row>
    <row r="1365">
      <c r="A1365" s="359">
        <v>46192.70665255787</v>
      </c>
      <c r="B1365" s="193"/>
      <c r="C1365" s="193" t="s">
        <v>3119</v>
      </c>
      <c r="D1365" s="193" t="s">
        <v>5170</v>
      </c>
    </row>
    <row r="1366">
      <c r="A1366" s="359">
        <v>46192.70781717593</v>
      </c>
      <c r="B1366" s="193" t="s">
        <v>3097</v>
      </c>
      <c r="C1366" s="193" t="s">
        <v>3091</v>
      </c>
      <c r="D1366" s="193" t="s">
        <v>5197</v>
      </c>
    </row>
    <row r="1367">
      <c r="A1367" s="359">
        <v>46192.709157997684</v>
      </c>
      <c r="B1367" s="193" t="s">
        <v>3097</v>
      </c>
      <c r="C1367" s="193" t="s">
        <v>3418</v>
      </c>
      <c r="D1367" s="193" t="s">
        <v>5198</v>
      </c>
    </row>
    <row r="1368">
      <c r="A1368" s="359">
        <v>46192.70923291666</v>
      </c>
      <c r="B1368" s="193" t="s">
        <v>3097</v>
      </c>
      <c r="C1368" s="193" t="s">
        <v>3418</v>
      </c>
      <c r="D1368" s="193" t="s">
        <v>5200</v>
      </c>
    </row>
    <row r="1369">
      <c r="A1369" s="359">
        <v>46192.745315023145</v>
      </c>
      <c r="B1369" s="193"/>
      <c r="C1369" s="193" t="s">
        <v>3119</v>
      </c>
      <c r="D1369" s="193" t="s">
        <v>4939</v>
      </c>
    </row>
    <row r="1370">
      <c r="A1370" s="359">
        <v>46192.86449412037</v>
      </c>
      <c r="B1370" s="193"/>
      <c r="C1370" s="193" t="s">
        <v>3119</v>
      </c>
      <c r="D1370" s="193" t="s">
        <v>4248</v>
      </c>
    </row>
    <row r="1371">
      <c r="A1371" s="359">
        <v>46195.680082708335</v>
      </c>
      <c r="B1371" s="193" t="s">
        <v>3097</v>
      </c>
      <c r="C1371" s="193" t="s">
        <v>3091</v>
      </c>
      <c r="D1371" s="193" t="s">
        <v>5201</v>
      </c>
    </row>
    <row r="1372">
      <c r="A1372" s="359">
        <v>46195.757449826386</v>
      </c>
      <c r="B1372" s="193"/>
      <c r="C1372" s="193" t="s">
        <v>3119</v>
      </c>
      <c r="D1372" s="193" t="s">
        <v>4057</v>
      </c>
    </row>
    <row r="1373">
      <c r="A1373" s="359">
        <v>46195.916178796295</v>
      </c>
      <c r="B1373" s="193" t="s">
        <v>3097</v>
      </c>
      <c r="C1373" s="193" t="s">
        <v>3091</v>
      </c>
      <c r="D1373" s="193" t="s">
        <v>5202</v>
      </c>
    </row>
    <row r="1374">
      <c r="A1374" s="359">
        <v>46195.95782964121</v>
      </c>
      <c r="B1374" s="193" t="s">
        <v>3097</v>
      </c>
      <c r="C1374" s="193" t="s">
        <v>3091</v>
      </c>
      <c r="D1374" s="193" t="s">
        <v>5203</v>
      </c>
    </row>
    <row r="1375">
      <c r="A1375" s="359">
        <v>46196.71214876157</v>
      </c>
      <c r="B1375" s="193"/>
      <c r="C1375" s="193" t="s">
        <v>3119</v>
      </c>
      <c r="D1375" s="193" t="s">
        <v>4248</v>
      </c>
    </row>
    <row r="1376">
      <c r="A1376" s="359">
        <v>46196.714788391204</v>
      </c>
      <c r="B1376" s="193" t="s">
        <v>3097</v>
      </c>
      <c r="C1376" s="193" t="s">
        <v>3091</v>
      </c>
      <c r="D1376" s="193" t="s">
        <v>5204</v>
      </c>
    </row>
    <row r="1377">
      <c r="A1377" s="359">
        <v>46196.73024134259</v>
      </c>
      <c r="B1377" s="193"/>
      <c r="C1377" s="193" t="s">
        <v>3119</v>
      </c>
      <c r="D1377" s="193" t="s">
        <v>4241</v>
      </c>
    </row>
    <row r="1378">
      <c r="A1378" s="359">
        <v>46196.74699704861</v>
      </c>
      <c r="B1378" s="193"/>
      <c r="C1378" s="193" t="s">
        <v>3119</v>
      </c>
      <c r="D1378" s="193" t="s">
        <v>4140</v>
      </c>
    </row>
    <row r="1379">
      <c r="A1379" s="359">
        <v>46196.74952748843</v>
      </c>
      <c r="B1379" s="193" t="s">
        <v>3097</v>
      </c>
      <c r="C1379" s="193" t="s">
        <v>3091</v>
      </c>
      <c r="D1379" s="193" t="s">
        <v>5205</v>
      </c>
    </row>
    <row r="1380">
      <c r="A1380" s="359">
        <v>46196.816902719904</v>
      </c>
      <c r="B1380" s="193"/>
      <c r="C1380" s="193" t="s">
        <v>3119</v>
      </c>
      <c r="D1380" s="193" t="s">
        <v>4828</v>
      </c>
    </row>
    <row r="1381">
      <c r="A1381" s="359">
        <v>46196.82463300926</v>
      </c>
      <c r="B1381" s="193"/>
      <c r="C1381" s="193" t="s">
        <v>3119</v>
      </c>
      <c r="D1381" s="193" t="s">
        <v>5186</v>
      </c>
    </row>
    <row r="1382">
      <c r="A1382" s="359">
        <v>46196.825009305554</v>
      </c>
      <c r="B1382" s="193"/>
      <c r="C1382" s="193" t="s">
        <v>3119</v>
      </c>
      <c r="D1382" s="193" t="s">
        <v>5186</v>
      </c>
    </row>
    <row r="1383">
      <c r="A1383" s="359">
        <v>46196.83134895834</v>
      </c>
      <c r="B1383" s="193"/>
      <c r="C1383" s="193" t="s">
        <v>3119</v>
      </c>
      <c r="D1383" s="193" t="s">
        <v>4845</v>
      </c>
    </row>
    <row r="1384">
      <c r="A1384" s="359">
        <v>46196.84543035879</v>
      </c>
      <c r="B1384" s="193" t="s">
        <v>3097</v>
      </c>
      <c r="C1384" s="193" t="s">
        <v>3119</v>
      </c>
      <c r="D1384" s="193" t="s">
        <v>4241</v>
      </c>
    </row>
    <row r="1385">
      <c r="A1385" s="359">
        <v>46196.84549568287</v>
      </c>
      <c r="B1385" s="193" t="s">
        <v>3097</v>
      </c>
      <c r="C1385" s="193" t="s">
        <v>3119</v>
      </c>
      <c r="D1385" s="193" t="s">
        <v>4241</v>
      </c>
    </row>
    <row r="1386">
      <c r="A1386" s="359">
        <v>46196.84556274305</v>
      </c>
      <c r="B1386" s="193" t="s">
        <v>3097</v>
      </c>
      <c r="C1386" s="193" t="s">
        <v>3119</v>
      </c>
      <c r="D1386" s="193" t="s">
        <v>4845</v>
      </c>
    </row>
    <row r="1387">
      <c r="A1387" s="359">
        <v>46196.84995674768</v>
      </c>
      <c r="B1387" s="193"/>
      <c r="C1387" s="193" t="s">
        <v>3119</v>
      </c>
      <c r="D1387" s="193" t="s">
        <v>4845</v>
      </c>
    </row>
    <row r="1388">
      <c r="A1388" s="359">
        <v>46196.850975775465</v>
      </c>
      <c r="B1388" s="193"/>
      <c r="C1388" s="193" t="s">
        <v>3119</v>
      </c>
      <c r="D1388" s="193" t="s">
        <v>4845</v>
      </c>
    </row>
    <row r="1389">
      <c r="A1389" s="359">
        <v>46196.852658159725</v>
      </c>
      <c r="B1389" s="193" t="s">
        <v>3097</v>
      </c>
      <c r="C1389" s="193" t="s">
        <v>3119</v>
      </c>
      <c r="D1389" s="193" t="s">
        <v>5173</v>
      </c>
    </row>
    <row r="1390">
      <c r="A1390" s="359">
        <v>46196.852745428245</v>
      </c>
      <c r="B1390" s="193" t="s">
        <v>3097</v>
      </c>
      <c r="C1390" s="193" t="s">
        <v>3119</v>
      </c>
      <c r="D1390" s="193" t="s">
        <v>4349</v>
      </c>
    </row>
    <row r="1391">
      <c r="A1391" s="359">
        <v>46196.865370810185</v>
      </c>
      <c r="B1391" s="193" t="s">
        <v>3097</v>
      </c>
      <c r="C1391" s="193" t="s">
        <v>3418</v>
      </c>
      <c r="D1391" s="193" t="s">
        <v>5209</v>
      </c>
    </row>
    <row r="1392">
      <c r="A1392" s="359">
        <v>46196.86546112268</v>
      </c>
      <c r="B1392" s="193" t="s">
        <v>3097</v>
      </c>
      <c r="C1392" s="193" t="s">
        <v>3418</v>
      </c>
      <c r="D1392" s="193" t="s">
        <v>5211</v>
      </c>
    </row>
    <row r="1393">
      <c r="A1393" s="359">
        <v>46196.86552611111</v>
      </c>
      <c r="B1393" s="193" t="s">
        <v>3097</v>
      </c>
      <c r="C1393" s="193" t="s">
        <v>3418</v>
      </c>
      <c r="D1393" s="193" t="s">
        <v>5213</v>
      </c>
    </row>
    <row r="1394">
      <c r="A1394" s="359">
        <v>46196.86559608796</v>
      </c>
      <c r="B1394" s="193" t="s">
        <v>3097</v>
      </c>
      <c r="C1394" s="193" t="s">
        <v>3418</v>
      </c>
      <c r="D1394" s="193" t="s">
        <v>5214</v>
      </c>
    </row>
    <row r="1395">
      <c r="A1395" s="359">
        <v>46196.86564675926</v>
      </c>
      <c r="B1395" s="193" t="s">
        <v>3097</v>
      </c>
      <c r="C1395" s="193" t="s">
        <v>3418</v>
      </c>
      <c r="D1395" s="193" t="s">
        <v>5215</v>
      </c>
    </row>
    <row r="1396">
      <c r="A1396" s="359">
        <v>46196.86570618056</v>
      </c>
      <c r="B1396" s="193" t="s">
        <v>3097</v>
      </c>
      <c r="C1396" s="193" t="s">
        <v>3418</v>
      </c>
      <c r="D1396" s="193" t="s">
        <v>5218</v>
      </c>
    </row>
    <row r="1397">
      <c r="A1397" s="359">
        <v>46196.867532187505</v>
      </c>
      <c r="B1397" s="193" t="s">
        <v>3097</v>
      </c>
      <c r="C1397" s="193" t="s">
        <v>3091</v>
      </c>
      <c r="D1397" s="193" t="s">
        <v>5219</v>
      </c>
    </row>
    <row r="1398">
      <c r="A1398" s="359">
        <v>46196.86759554398</v>
      </c>
      <c r="B1398" s="193" t="s">
        <v>3097</v>
      </c>
      <c r="C1398" s="193" t="s">
        <v>3091</v>
      </c>
      <c r="D1398" s="193" t="s">
        <v>5220</v>
      </c>
    </row>
    <row r="1399">
      <c r="A1399" s="359">
        <v>46196.86764467593</v>
      </c>
      <c r="B1399" s="193" t="s">
        <v>3097</v>
      </c>
      <c r="C1399" s="193" t="s">
        <v>3091</v>
      </c>
      <c r="D1399" s="193" t="s">
        <v>5221</v>
      </c>
    </row>
    <row r="1400">
      <c r="A1400" s="359">
        <v>46196.86768983796</v>
      </c>
      <c r="B1400" s="193" t="s">
        <v>3097</v>
      </c>
      <c r="C1400" s="193" t="s">
        <v>3091</v>
      </c>
      <c r="D1400" s="193" t="s">
        <v>5222</v>
      </c>
    </row>
    <row r="1401">
      <c r="A1401" s="359">
        <v>46196.867733969906</v>
      </c>
      <c r="B1401" s="193" t="s">
        <v>3097</v>
      </c>
      <c r="C1401" s="193" t="s">
        <v>3091</v>
      </c>
      <c r="D1401" s="193" t="s">
        <v>5224</v>
      </c>
    </row>
    <row r="1402">
      <c r="A1402" s="359">
        <v>46196.86777224537</v>
      </c>
      <c r="B1402" s="193" t="s">
        <v>3097</v>
      </c>
      <c r="C1402" s="193" t="s">
        <v>3091</v>
      </c>
      <c r="D1402" s="193" t="s">
        <v>5225</v>
      </c>
    </row>
    <row r="1403">
      <c r="A1403" s="359">
        <v>46196.867811585646</v>
      </c>
      <c r="B1403" s="193" t="s">
        <v>3097</v>
      </c>
      <c r="C1403" s="193" t="s">
        <v>3091</v>
      </c>
      <c r="D1403" s="193" t="s">
        <v>5226</v>
      </c>
    </row>
    <row r="1404">
      <c r="A1404" s="359">
        <v>46196.867852118055</v>
      </c>
      <c r="B1404" s="193" t="s">
        <v>3097</v>
      </c>
      <c r="C1404" s="193" t="s">
        <v>3091</v>
      </c>
      <c r="D1404" s="193" t="s">
        <v>5227</v>
      </c>
    </row>
    <row r="1405">
      <c r="A1405" s="359">
        <v>46196.867913344904</v>
      </c>
      <c r="B1405" s="193" t="s">
        <v>3097</v>
      </c>
      <c r="C1405" s="193" t="s">
        <v>3091</v>
      </c>
      <c r="D1405" s="193" t="s">
        <v>5230</v>
      </c>
    </row>
    <row r="1406">
      <c r="A1406" s="359">
        <v>46196.8679709375</v>
      </c>
      <c r="B1406" s="193" t="s">
        <v>3097</v>
      </c>
      <c r="C1406" s="193" t="s">
        <v>3091</v>
      </c>
      <c r="D1406" s="193" t="s">
        <v>5231</v>
      </c>
    </row>
    <row r="1407">
      <c r="A1407" s="359">
        <v>46196.86917336806</v>
      </c>
      <c r="B1407" s="193" t="s">
        <v>3097</v>
      </c>
      <c r="C1407" s="193" t="s">
        <v>5232</v>
      </c>
      <c r="D1407" s="193" t="s">
        <v>5233</v>
      </c>
    </row>
    <row r="1408">
      <c r="A1408" s="359">
        <v>46196.86923270833</v>
      </c>
      <c r="B1408" s="193" t="s">
        <v>3097</v>
      </c>
      <c r="C1408" s="193" t="s">
        <v>5232</v>
      </c>
      <c r="D1408" s="193" t="s">
        <v>3329</v>
      </c>
    </row>
    <row r="1409">
      <c r="A1409" s="359">
        <v>46196.86926878472</v>
      </c>
      <c r="B1409" s="193" t="s">
        <v>3097</v>
      </c>
      <c r="C1409" s="193" t="s">
        <v>5232</v>
      </c>
      <c r="D1409" s="193" t="s">
        <v>5234</v>
      </c>
    </row>
    <row r="1410">
      <c r="A1410" s="359">
        <v>46196.86932277778</v>
      </c>
      <c r="B1410" s="193" t="s">
        <v>3097</v>
      </c>
      <c r="C1410" s="193" t="s">
        <v>5232</v>
      </c>
      <c r="D1410" s="193" t="s">
        <v>5235</v>
      </c>
    </row>
    <row r="1411">
      <c r="A1411" s="359">
        <v>46196.869359282406</v>
      </c>
      <c r="B1411" s="193" t="s">
        <v>3097</v>
      </c>
      <c r="C1411" s="193" t="s">
        <v>5232</v>
      </c>
      <c r="D1411" s="193" t="s">
        <v>5236</v>
      </c>
    </row>
    <row r="1412">
      <c r="A1412" s="359">
        <v>46196.86940324074</v>
      </c>
      <c r="B1412" s="193" t="s">
        <v>3097</v>
      </c>
      <c r="C1412" s="193" t="s">
        <v>5232</v>
      </c>
      <c r="D1412" s="193" t="s">
        <v>5237</v>
      </c>
    </row>
    <row r="1413">
      <c r="A1413" s="359">
        <v>46196.88443489584</v>
      </c>
      <c r="B1413" s="193" t="s">
        <v>3097</v>
      </c>
      <c r="C1413" s="193" t="s">
        <v>5232</v>
      </c>
      <c r="D1413" s="193" t="s">
        <v>5194</v>
      </c>
    </row>
    <row r="1414">
      <c r="A1414" s="359">
        <v>46196.88509952546</v>
      </c>
      <c r="B1414" s="193" t="s">
        <v>3097</v>
      </c>
      <c r="C1414" s="193" t="s">
        <v>5232</v>
      </c>
      <c r="D1414" s="193" t="s">
        <v>5240</v>
      </c>
    </row>
    <row r="1415">
      <c r="A1415" s="359">
        <v>46196.89105457176</v>
      </c>
      <c r="B1415" s="193" t="s">
        <v>3097</v>
      </c>
      <c r="C1415" s="193" t="s">
        <v>5232</v>
      </c>
      <c r="D1415" s="193" t="s">
        <v>5241</v>
      </c>
    </row>
    <row r="1416">
      <c r="A1416" s="359">
        <v>46196.89112122685</v>
      </c>
      <c r="B1416" s="193" t="s">
        <v>3097</v>
      </c>
      <c r="C1416" s="193" t="s">
        <v>5232</v>
      </c>
      <c r="D1416" s="193" t="s">
        <v>5242</v>
      </c>
    </row>
    <row r="1417">
      <c r="A1417" s="359">
        <v>46196.891173310185</v>
      </c>
      <c r="B1417" s="193" t="s">
        <v>3097</v>
      </c>
      <c r="C1417" s="193" t="s">
        <v>5232</v>
      </c>
      <c r="D1417" s="193" t="s">
        <v>5244</v>
      </c>
    </row>
    <row r="1418">
      <c r="A1418" s="359">
        <v>46196.90574523148</v>
      </c>
      <c r="B1418" s="193"/>
      <c r="C1418" s="193" t="s">
        <v>3119</v>
      </c>
      <c r="D1418" s="193" t="s">
        <v>4059</v>
      </c>
    </row>
    <row r="1419">
      <c r="A1419" s="359">
        <v>46196.907580983796</v>
      </c>
      <c r="B1419" s="193"/>
      <c r="C1419" s="193" t="s">
        <v>3119</v>
      </c>
      <c r="D1419" s="193" t="s">
        <v>4059</v>
      </c>
    </row>
    <row r="1420">
      <c r="A1420" s="359">
        <v>46196.909218437504</v>
      </c>
      <c r="B1420" s="193" t="s">
        <v>3097</v>
      </c>
      <c r="C1420" s="193" t="s">
        <v>3091</v>
      </c>
      <c r="D1420" s="193" t="s">
        <v>5245</v>
      </c>
    </row>
    <row r="1421">
      <c r="A1421" s="359">
        <v>46196.97994076389</v>
      </c>
      <c r="B1421" s="193" t="s">
        <v>3097</v>
      </c>
      <c r="C1421" s="193" t="s">
        <v>3418</v>
      </c>
      <c r="D1421" s="193" t="s">
        <v>5246</v>
      </c>
    </row>
    <row r="1422">
      <c r="A1422" s="359">
        <v>46197.662674629624</v>
      </c>
      <c r="B1422" s="193" t="s">
        <v>3097</v>
      </c>
      <c r="C1422" s="193" t="s">
        <v>3091</v>
      </c>
      <c r="D1422" s="193" t="s">
        <v>4389</v>
      </c>
    </row>
    <row r="1423">
      <c r="A1423" s="359">
        <v>46197.67146457176</v>
      </c>
      <c r="B1423" s="193"/>
      <c r="C1423" s="193" t="s">
        <v>3119</v>
      </c>
      <c r="D1423" s="193" t="s">
        <v>4113</v>
      </c>
    </row>
    <row r="1424">
      <c r="A1424" s="359">
        <v>46197.67366965278</v>
      </c>
      <c r="B1424" s="193" t="s">
        <v>3097</v>
      </c>
      <c r="C1424" s="193" t="s">
        <v>3119</v>
      </c>
      <c r="D1424" s="193" t="s">
        <v>4113</v>
      </c>
    </row>
    <row r="1425">
      <c r="A1425" s="359">
        <v>46197.77770539351</v>
      </c>
      <c r="B1425" s="193"/>
      <c r="C1425" s="193" t="s">
        <v>3119</v>
      </c>
      <c r="D1425" s="193" t="s">
        <v>3980</v>
      </c>
    </row>
    <row r="1426">
      <c r="A1426" s="359">
        <v>46197.84642828704</v>
      </c>
      <c r="B1426" s="193"/>
      <c r="C1426" s="193" t="s">
        <v>3119</v>
      </c>
      <c r="D1426" s="193" t="s">
        <v>4827</v>
      </c>
    </row>
    <row r="1427">
      <c r="A1427" s="359">
        <v>46197.87796564815</v>
      </c>
      <c r="B1427" s="193" t="s">
        <v>3097</v>
      </c>
      <c r="C1427" s="193" t="s">
        <v>3091</v>
      </c>
      <c r="D1427" s="193" t="s">
        <v>5249</v>
      </c>
    </row>
    <row r="1428">
      <c r="A1428" s="359">
        <v>46197.975213541664</v>
      </c>
      <c r="B1428" s="193" t="s">
        <v>3097</v>
      </c>
      <c r="C1428" s="193" t="s">
        <v>3091</v>
      </c>
      <c r="D1428" s="193" t="s">
        <v>5250</v>
      </c>
    </row>
    <row r="1429">
      <c r="A1429" s="359">
        <v>46197.97993765047</v>
      </c>
      <c r="B1429" s="193" t="s">
        <v>3097</v>
      </c>
      <c r="C1429" s="193" t="s">
        <v>3418</v>
      </c>
      <c r="D1429" s="193" t="s">
        <v>5251</v>
      </c>
    </row>
    <row r="1430">
      <c r="A1430" s="359">
        <v>46198.68827665509</v>
      </c>
      <c r="B1430" s="193" t="s">
        <v>3097</v>
      </c>
      <c r="C1430" s="193" t="s">
        <v>3418</v>
      </c>
      <c r="D1430" s="193" t="s">
        <v>5254</v>
      </c>
    </row>
    <row r="1431">
      <c r="A1431" s="359">
        <v>46198.718651076386</v>
      </c>
      <c r="B1431" s="193"/>
      <c r="C1431" s="193" t="s">
        <v>3119</v>
      </c>
      <c r="D1431" s="193" t="s">
        <v>5255</v>
      </c>
    </row>
    <row r="1432">
      <c r="A1432" s="359">
        <v>46198.75648686342</v>
      </c>
      <c r="B1432" s="193"/>
      <c r="C1432" s="193" t="s">
        <v>3119</v>
      </c>
      <c r="D1432" s="193" t="s">
        <v>4057</v>
      </c>
    </row>
    <row r="1433">
      <c r="A1433" s="359">
        <v>46198.78315</v>
      </c>
      <c r="B1433" s="193"/>
      <c r="C1433" s="193" t="s">
        <v>3119</v>
      </c>
      <c r="D1433" s="193" t="s">
        <v>3940</v>
      </c>
    </row>
    <row r="1434">
      <c r="A1434" s="359">
        <v>46198.78400721065</v>
      </c>
      <c r="B1434" s="193"/>
      <c r="C1434" s="193" t="s">
        <v>3119</v>
      </c>
      <c r="D1434" s="193" t="s">
        <v>3940</v>
      </c>
    </row>
    <row r="1435">
      <c r="A1435" s="359">
        <v>46198.81543769676</v>
      </c>
      <c r="B1435" s="193" t="s">
        <v>3097</v>
      </c>
      <c r="C1435" s="193" t="s">
        <v>3091</v>
      </c>
      <c r="D1435" s="193" t="s">
        <v>5257</v>
      </c>
    </row>
    <row r="1436">
      <c r="A1436" s="359">
        <v>46198.85017686343</v>
      </c>
      <c r="B1436" s="193" t="s">
        <v>3097</v>
      </c>
      <c r="C1436" s="193" t="s">
        <v>3091</v>
      </c>
      <c r="D1436" s="193" t="s">
        <v>5258</v>
      </c>
    </row>
    <row r="1437">
      <c r="A1437" s="359">
        <v>46198.87605663194</v>
      </c>
      <c r="B1437" s="193"/>
      <c r="C1437" s="193" t="s">
        <v>3119</v>
      </c>
      <c r="D1437" s="193" t="s">
        <v>4102</v>
      </c>
    </row>
    <row r="1438">
      <c r="A1438" s="359">
        <v>46198.94841483796</v>
      </c>
      <c r="B1438" s="193"/>
      <c r="C1438" s="193" t="s">
        <v>3119</v>
      </c>
      <c r="D1438" s="193" t="s">
        <v>5255</v>
      </c>
    </row>
    <row r="1439">
      <c r="A1439" s="359">
        <v>46198.949292199075</v>
      </c>
      <c r="B1439" s="193"/>
      <c r="C1439" s="193" t="s">
        <v>3119</v>
      </c>
      <c r="D1439" s="193" t="s">
        <v>3980</v>
      </c>
    </row>
    <row r="1440">
      <c r="A1440" s="359">
        <v>46198.94943652778</v>
      </c>
      <c r="B1440" s="193"/>
      <c r="C1440" s="193" t="s">
        <v>3119</v>
      </c>
      <c r="D1440" s="193" t="s">
        <v>3980</v>
      </c>
    </row>
    <row r="1441">
      <c r="A1441" s="359">
        <v>46198.95094848379</v>
      </c>
      <c r="B1441" s="193"/>
      <c r="C1441" s="193" t="s">
        <v>3119</v>
      </c>
      <c r="D1441" s="193" t="s">
        <v>3980</v>
      </c>
    </row>
    <row r="1442">
      <c r="A1442" s="359">
        <v>46198.951594502316</v>
      </c>
      <c r="B1442" s="193"/>
      <c r="C1442" s="193" t="s">
        <v>3119</v>
      </c>
      <c r="D1442" s="193" t="s">
        <v>3979</v>
      </c>
    </row>
    <row r="1443">
      <c r="A1443" s="359">
        <v>46198.95285188657</v>
      </c>
      <c r="B1443" s="193"/>
      <c r="C1443" s="193" t="s">
        <v>3119</v>
      </c>
      <c r="D1443" s="193" t="s">
        <v>3979</v>
      </c>
    </row>
    <row r="1444">
      <c r="A1444" s="359">
        <v>46198.953230439816</v>
      </c>
      <c r="B1444" s="193"/>
      <c r="C1444" s="193" t="s">
        <v>3119</v>
      </c>
      <c r="D1444" s="193" t="s">
        <v>3979</v>
      </c>
    </row>
    <row r="1445">
      <c r="A1445" s="359">
        <v>46198.95477391203</v>
      </c>
      <c r="B1445" s="193"/>
      <c r="C1445" s="193" t="s">
        <v>3119</v>
      </c>
      <c r="D1445" s="193" t="s">
        <v>4102</v>
      </c>
    </row>
    <row r="1446">
      <c r="A1446" s="359">
        <v>46198.985617858794</v>
      </c>
      <c r="B1446" s="193" t="s">
        <v>3097</v>
      </c>
      <c r="C1446" s="193" t="s">
        <v>3091</v>
      </c>
      <c r="D1446" s="193" t="s">
        <v>5262</v>
      </c>
    </row>
    <row r="1447">
      <c r="A1447" s="359">
        <v>46199.826832962965</v>
      </c>
      <c r="B1447" s="193"/>
      <c r="C1447" s="193" t="s">
        <v>3119</v>
      </c>
      <c r="D1447" s="193" t="s">
        <v>3979</v>
      </c>
    </row>
    <row r="1448">
      <c r="A1448" s="359">
        <v>46199.82793483796</v>
      </c>
      <c r="B1448" s="193"/>
      <c r="C1448" s="193" t="s">
        <v>3119</v>
      </c>
      <c r="D1448" s="193" t="s">
        <v>3979</v>
      </c>
    </row>
    <row r="1449">
      <c r="A1449" s="359">
        <v>46199.82796094907</v>
      </c>
      <c r="B1449" s="193"/>
      <c r="C1449" s="193" t="s">
        <v>3119</v>
      </c>
      <c r="D1449" s="193" t="s">
        <v>3979</v>
      </c>
    </row>
    <row r="1450">
      <c r="A1450" s="359">
        <v>46199.85847111111</v>
      </c>
      <c r="B1450" s="193"/>
      <c r="C1450" s="193" t="s">
        <v>3119</v>
      </c>
      <c r="D1450" s="193" t="s">
        <v>4536</v>
      </c>
    </row>
    <row r="1451">
      <c r="A1451" s="359">
        <v>46202.7939053588</v>
      </c>
      <c r="B1451" s="193"/>
      <c r="C1451" s="193" t="s">
        <v>3119</v>
      </c>
      <c r="D1451" s="193" t="s">
        <v>4031</v>
      </c>
    </row>
    <row r="1452">
      <c r="A1452" s="359">
        <v>46202.84850445602</v>
      </c>
      <c r="B1452" s="193"/>
      <c r="C1452" s="193" t="s">
        <v>3119</v>
      </c>
      <c r="D1452" s="193" t="s">
        <v>3980</v>
      </c>
    </row>
    <row r="1453">
      <c r="A1453" s="359">
        <v>46202.86415043981</v>
      </c>
      <c r="B1453" s="193" t="s">
        <v>3097</v>
      </c>
      <c r="C1453" s="193" t="s">
        <v>3091</v>
      </c>
      <c r="D1453" s="193" t="s">
        <v>5263</v>
      </c>
    </row>
    <row r="1454">
      <c r="A1454" s="359">
        <v>46203.79053564815</v>
      </c>
      <c r="B1454" s="193"/>
      <c r="C1454" s="193" t="s">
        <v>3119</v>
      </c>
      <c r="D1454" s="193" t="s">
        <v>4057</v>
      </c>
    </row>
    <row r="1455">
      <c r="A1455" s="359">
        <v>46203.792446747684</v>
      </c>
      <c r="B1455" s="193"/>
      <c r="C1455" s="193" t="s">
        <v>3119</v>
      </c>
      <c r="D1455" s="193" t="s">
        <v>4057</v>
      </c>
    </row>
    <row r="1456">
      <c r="A1456" s="359">
        <v>46203.793513854165</v>
      </c>
      <c r="B1456" s="193"/>
      <c r="C1456" s="193" t="s">
        <v>3119</v>
      </c>
      <c r="D1456" s="193" t="s">
        <v>4696</v>
      </c>
    </row>
    <row r="1457">
      <c r="A1457" s="359">
        <v>46203.79810950231</v>
      </c>
      <c r="B1457" s="193" t="s">
        <v>3097</v>
      </c>
      <c r="C1457" s="193" t="s">
        <v>3091</v>
      </c>
      <c r="D1457" s="193" t="s">
        <v>5264</v>
      </c>
    </row>
    <row r="1458">
      <c r="A1458" s="359">
        <v>46203.79819803241</v>
      </c>
      <c r="B1458" s="193"/>
      <c r="C1458" s="193" t="s">
        <v>3119</v>
      </c>
      <c r="D1458" s="193" t="s">
        <v>4026</v>
      </c>
    </row>
    <row r="1459">
      <c r="A1459" s="359">
        <v>46203.813880104164</v>
      </c>
      <c r="B1459" s="193"/>
      <c r="C1459" s="193" t="s">
        <v>3119</v>
      </c>
      <c r="D1459" s="193" t="s">
        <v>4458</v>
      </c>
    </row>
    <row r="1460">
      <c r="A1460" s="359">
        <v>46203.91846311343</v>
      </c>
      <c r="B1460" s="193"/>
      <c r="C1460" s="193" t="s">
        <v>3119</v>
      </c>
      <c r="D1460" s="193" t="s">
        <v>4139</v>
      </c>
    </row>
    <row r="1461">
      <c r="A1461" s="359">
        <v>46203.95977274305</v>
      </c>
      <c r="B1461" s="193" t="s">
        <v>3097</v>
      </c>
      <c r="C1461" s="193" t="s">
        <v>3119</v>
      </c>
      <c r="D1461" s="193" t="s">
        <v>4487</v>
      </c>
    </row>
    <row r="1462">
      <c r="A1462" s="359">
        <v>46204.67184646991</v>
      </c>
      <c r="B1462" s="193" t="s">
        <v>3097</v>
      </c>
      <c r="C1462" s="193" t="s">
        <v>3119</v>
      </c>
      <c r="D1462" s="193" t="s">
        <v>4061</v>
      </c>
    </row>
    <row r="1463">
      <c r="A1463" s="359">
        <v>46204.680022685185</v>
      </c>
      <c r="B1463" s="193" t="s">
        <v>3097</v>
      </c>
      <c r="C1463" s="193" t="s">
        <v>3091</v>
      </c>
      <c r="D1463" s="193" t="s">
        <v>5266</v>
      </c>
    </row>
    <row r="1464">
      <c r="A1464" s="359">
        <v>46204.68008081018</v>
      </c>
      <c r="B1464" s="193" t="s">
        <v>3097</v>
      </c>
      <c r="C1464" s="193" t="s">
        <v>3091</v>
      </c>
      <c r="D1464" s="193" t="s">
        <v>5268</v>
      </c>
    </row>
    <row r="1465">
      <c r="A1465" s="359">
        <v>46204.68107820602</v>
      </c>
      <c r="B1465" s="193" t="s">
        <v>3097</v>
      </c>
      <c r="C1465" s="193" t="s">
        <v>3119</v>
      </c>
      <c r="D1465" s="193" t="s">
        <v>4061</v>
      </c>
    </row>
    <row r="1466">
      <c r="A1466" s="359">
        <v>46204.68355325231</v>
      </c>
      <c r="B1466" s="193" t="s">
        <v>3097</v>
      </c>
      <c r="C1466" s="193" t="s">
        <v>3091</v>
      </c>
      <c r="D1466" s="193" t="s">
        <v>5269</v>
      </c>
    </row>
    <row r="1467">
      <c r="A1467" s="359">
        <v>46204.683643136574</v>
      </c>
      <c r="B1467" s="193" t="s">
        <v>3097</v>
      </c>
      <c r="C1467" s="193" t="s">
        <v>3091</v>
      </c>
      <c r="D1467" s="193" t="s">
        <v>5270</v>
      </c>
    </row>
    <row r="1468">
      <c r="A1468" s="359">
        <v>46204.68701401621</v>
      </c>
      <c r="B1468" s="193" t="s">
        <v>3097</v>
      </c>
      <c r="C1468" s="193" t="s">
        <v>3091</v>
      </c>
      <c r="D1468" s="193" t="s">
        <v>5271</v>
      </c>
    </row>
    <row r="1469">
      <c r="A1469" s="359">
        <v>46204.68707642361</v>
      </c>
      <c r="B1469" s="193" t="s">
        <v>3097</v>
      </c>
      <c r="C1469" s="193" t="s">
        <v>3091</v>
      </c>
      <c r="D1469" s="193" t="s">
        <v>5272</v>
      </c>
    </row>
    <row r="1470">
      <c r="A1470" s="359">
        <v>46204.68715881945</v>
      </c>
      <c r="B1470" s="193" t="s">
        <v>3097</v>
      </c>
      <c r="C1470" s="193" t="s">
        <v>3091</v>
      </c>
      <c r="D1470" s="193" t="s">
        <v>5273</v>
      </c>
    </row>
    <row r="1471">
      <c r="A1471" s="359">
        <v>46204.687247939815</v>
      </c>
      <c r="B1471" s="193" t="s">
        <v>3097</v>
      </c>
      <c r="C1471" s="193" t="s">
        <v>3091</v>
      </c>
      <c r="D1471" s="193" t="s">
        <v>5275</v>
      </c>
    </row>
    <row r="1472">
      <c r="A1472" s="359">
        <v>46204.68735148148</v>
      </c>
      <c r="B1472" s="193" t="s">
        <v>3097</v>
      </c>
      <c r="C1472" s="193" t="s">
        <v>3091</v>
      </c>
      <c r="D1472" s="193" t="s">
        <v>5276</v>
      </c>
    </row>
    <row r="1473">
      <c r="A1473" s="359">
        <v>46204.68830631944</v>
      </c>
      <c r="B1473" s="193" t="s">
        <v>3097</v>
      </c>
      <c r="C1473" s="193" t="s">
        <v>3418</v>
      </c>
      <c r="D1473" s="193" t="s">
        <v>5277</v>
      </c>
    </row>
    <row r="1474">
      <c r="A1474" s="359">
        <v>46204.68836752315</v>
      </c>
      <c r="B1474" s="193" t="s">
        <v>3097</v>
      </c>
      <c r="C1474" s="193" t="s">
        <v>3418</v>
      </c>
      <c r="D1474" s="193" t="s">
        <v>5281</v>
      </c>
    </row>
    <row r="1475">
      <c r="A1475" s="359">
        <v>46204.688420543986</v>
      </c>
      <c r="B1475" s="193" t="s">
        <v>3097</v>
      </c>
      <c r="C1475" s="193" t="s">
        <v>3418</v>
      </c>
      <c r="D1475" s="193" t="s">
        <v>5282</v>
      </c>
    </row>
    <row r="1476">
      <c r="A1476" s="359">
        <v>46204.688469120374</v>
      </c>
      <c r="B1476" s="193" t="s">
        <v>3097</v>
      </c>
      <c r="C1476" s="193" t="s">
        <v>3418</v>
      </c>
      <c r="D1476" s="193" t="s">
        <v>5283</v>
      </c>
    </row>
    <row r="1477">
      <c r="A1477" s="359">
        <v>46204.68850881944</v>
      </c>
      <c r="B1477" s="193" t="s">
        <v>3097</v>
      </c>
      <c r="C1477" s="193" t="s">
        <v>3418</v>
      </c>
      <c r="D1477" s="193" t="s">
        <v>5284</v>
      </c>
    </row>
    <row r="1478">
      <c r="A1478" s="359">
        <v>46204.68860461806</v>
      </c>
      <c r="B1478" s="193" t="s">
        <v>3097</v>
      </c>
      <c r="C1478" s="193" t="s">
        <v>3418</v>
      </c>
      <c r="D1478" s="193" t="s">
        <v>5286</v>
      </c>
    </row>
    <row r="1479">
      <c r="A1479" s="359">
        <v>46204.688664733796</v>
      </c>
      <c r="B1479" s="193" t="s">
        <v>3097</v>
      </c>
      <c r="C1479" s="193" t="s">
        <v>3418</v>
      </c>
      <c r="D1479" s="193" t="s">
        <v>5287</v>
      </c>
    </row>
    <row r="1480">
      <c r="A1480" s="359">
        <v>46204.69047637732</v>
      </c>
      <c r="B1480" s="193" t="s">
        <v>3097</v>
      </c>
      <c r="C1480" s="193" t="s">
        <v>3091</v>
      </c>
      <c r="D1480" s="193" t="s">
        <v>5288</v>
      </c>
    </row>
    <row r="1481">
      <c r="A1481" s="359">
        <v>46204.69396174769</v>
      </c>
      <c r="B1481" s="193" t="s">
        <v>3097</v>
      </c>
      <c r="C1481" s="193" t="s">
        <v>3091</v>
      </c>
      <c r="D1481" s="193" t="s">
        <v>5289</v>
      </c>
    </row>
    <row r="1482">
      <c r="A1482" s="359">
        <v>46204.694038472226</v>
      </c>
      <c r="B1482" s="193" t="s">
        <v>3097</v>
      </c>
      <c r="C1482" s="193" t="s">
        <v>3091</v>
      </c>
      <c r="D1482" s="193" t="s">
        <v>5290</v>
      </c>
    </row>
    <row r="1483">
      <c r="A1483" s="359">
        <v>46204.694187800924</v>
      </c>
      <c r="B1483" s="193" t="s">
        <v>3097</v>
      </c>
      <c r="C1483" s="193" t="s">
        <v>3091</v>
      </c>
      <c r="D1483" s="193" t="s">
        <v>5194</v>
      </c>
    </row>
    <row r="1484">
      <c r="A1484" s="359">
        <v>46204.69429414352</v>
      </c>
      <c r="B1484" s="193" t="s">
        <v>3097</v>
      </c>
      <c r="C1484" s="193" t="s">
        <v>3091</v>
      </c>
      <c r="D1484" s="193" t="s">
        <v>5293</v>
      </c>
    </row>
    <row r="1485">
      <c r="A1485" s="359">
        <v>46204.69437197917</v>
      </c>
      <c r="B1485" s="193" t="s">
        <v>3097</v>
      </c>
      <c r="C1485" s="193" t="s">
        <v>3091</v>
      </c>
      <c r="D1485" s="193" t="s">
        <v>5294</v>
      </c>
    </row>
    <row r="1486">
      <c r="A1486" s="359">
        <v>46204.69872244213</v>
      </c>
      <c r="B1486" s="193" t="s">
        <v>3097</v>
      </c>
      <c r="C1486" s="193" t="s">
        <v>3418</v>
      </c>
      <c r="D1486" s="193" t="s">
        <v>5295</v>
      </c>
    </row>
    <row r="1487">
      <c r="A1487" s="359">
        <v>46204.69878564814</v>
      </c>
      <c r="B1487" s="193" t="s">
        <v>3097</v>
      </c>
      <c r="C1487" s="193" t="s">
        <v>3418</v>
      </c>
      <c r="D1487" s="193" t="s">
        <v>5296</v>
      </c>
    </row>
    <row r="1488">
      <c r="A1488" s="359">
        <v>46204.698823796294</v>
      </c>
      <c r="B1488" s="193" t="s">
        <v>3097</v>
      </c>
      <c r="C1488" s="193" t="s">
        <v>3418</v>
      </c>
      <c r="D1488" s="193" t="s">
        <v>5297</v>
      </c>
    </row>
    <row r="1489">
      <c r="A1489" s="359">
        <v>46204.70090144676</v>
      </c>
      <c r="B1489" s="193" t="s">
        <v>3097</v>
      </c>
      <c r="C1489" s="193" t="s">
        <v>3091</v>
      </c>
      <c r="D1489" s="193" t="s">
        <v>5298</v>
      </c>
    </row>
    <row r="1490">
      <c r="A1490" s="359">
        <v>46204.709918368055</v>
      </c>
      <c r="B1490" s="193" t="s">
        <v>3097</v>
      </c>
      <c r="C1490" s="193" t="s">
        <v>3418</v>
      </c>
      <c r="D1490" s="193" t="s">
        <v>5299</v>
      </c>
    </row>
    <row r="1491">
      <c r="A1491" s="359">
        <v>46204.710103206016</v>
      </c>
      <c r="B1491" s="193" t="s">
        <v>3097</v>
      </c>
      <c r="C1491" s="193" t="s">
        <v>3418</v>
      </c>
      <c r="D1491" s="193" t="s">
        <v>5300</v>
      </c>
    </row>
    <row r="1492">
      <c r="A1492" s="359">
        <v>46204.71134040509</v>
      </c>
      <c r="B1492" s="193" t="s">
        <v>3097</v>
      </c>
      <c r="C1492" s="193" t="s">
        <v>3091</v>
      </c>
      <c r="D1492" s="193" t="s">
        <v>5301</v>
      </c>
    </row>
    <row r="1493">
      <c r="A1493" s="359">
        <v>46204.79988648148</v>
      </c>
      <c r="B1493" s="193"/>
      <c r="C1493" s="193" t="s">
        <v>3119</v>
      </c>
      <c r="D1493" s="193" t="s">
        <v>4698</v>
      </c>
    </row>
    <row r="1494">
      <c r="A1494" s="359">
        <v>46204.9490780787</v>
      </c>
      <c r="B1494" s="193"/>
      <c r="C1494" s="193" t="s">
        <v>3119</v>
      </c>
      <c r="D1494" s="193" t="s">
        <v>3999</v>
      </c>
    </row>
    <row r="1495">
      <c r="A1495" s="359">
        <v>46205.75240681713</v>
      </c>
      <c r="B1495" s="193"/>
      <c r="C1495" s="193" t="s">
        <v>3119</v>
      </c>
      <c r="D1495" s="193" t="s">
        <v>4698</v>
      </c>
    </row>
    <row r="1496">
      <c r="A1496" s="359">
        <v>46205.7864112963</v>
      </c>
      <c r="B1496" s="193"/>
      <c r="C1496" s="193" t="s">
        <v>3119</v>
      </c>
      <c r="D1496" s="193" t="s">
        <v>4061</v>
      </c>
    </row>
    <row r="1497">
      <c r="A1497" s="359">
        <v>46205.78768945602</v>
      </c>
      <c r="B1497" s="193" t="s">
        <v>3097</v>
      </c>
      <c r="C1497" s="193" t="s">
        <v>3091</v>
      </c>
      <c r="D1497" s="193" t="s">
        <v>5304</v>
      </c>
    </row>
    <row r="1498">
      <c r="A1498" s="359">
        <v>46205.850519687505</v>
      </c>
      <c r="B1498" s="193"/>
      <c r="C1498" s="193" t="s">
        <v>3119</v>
      </c>
      <c r="D1498" s="193" t="s">
        <v>4945</v>
      </c>
    </row>
    <row r="1499">
      <c r="A1499" s="359">
        <v>46205.853649282406</v>
      </c>
      <c r="B1499" s="193" t="s">
        <v>3097</v>
      </c>
      <c r="C1499" s="193" t="s">
        <v>3091</v>
      </c>
      <c r="D1499" s="193" t="s">
        <v>5306</v>
      </c>
    </row>
    <row r="1500">
      <c r="A1500" s="359">
        <v>46209.699750810185</v>
      </c>
      <c r="B1500" s="193"/>
      <c r="C1500" s="193" t="s">
        <v>3119</v>
      </c>
      <c r="D1500" s="193" t="s">
        <v>4063</v>
      </c>
    </row>
    <row r="1501">
      <c r="A1501" s="359">
        <v>46209.76489626158</v>
      </c>
      <c r="B1501" s="193"/>
      <c r="C1501" s="193" t="s">
        <v>3119</v>
      </c>
      <c r="D1501" s="193" t="s">
        <v>4127</v>
      </c>
    </row>
    <row r="1502">
      <c r="A1502" s="359">
        <v>46209.854739120376</v>
      </c>
      <c r="B1502" s="193"/>
      <c r="C1502" s="193" t="s">
        <v>3119</v>
      </c>
      <c r="D1502" s="193" t="s">
        <v>5307</v>
      </c>
    </row>
    <row r="1503">
      <c r="A1503" s="359">
        <v>46209.85483277778</v>
      </c>
      <c r="B1503" s="193"/>
      <c r="C1503" s="193" t="s">
        <v>3119</v>
      </c>
      <c r="D1503" s="193" t="s">
        <v>5307</v>
      </c>
    </row>
    <row r="1504">
      <c r="A1504" s="359">
        <v>46209.85483846065</v>
      </c>
      <c r="B1504" s="193"/>
      <c r="C1504" s="193" t="s">
        <v>3119</v>
      </c>
      <c r="D1504" s="193" t="s">
        <v>5307</v>
      </c>
    </row>
    <row r="1505">
      <c r="A1505" s="359">
        <v>46209.859364710646</v>
      </c>
      <c r="B1505" s="193"/>
      <c r="C1505" s="193" t="s">
        <v>3119</v>
      </c>
      <c r="D1505" s="193" t="s">
        <v>5307</v>
      </c>
    </row>
    <row r="1506">
      <c r="A1506" s="359">
        <v>46209.9717878125</v>
      </c>
      <c r="B1506" s="193" t="s">
        <v>3097</v>
      </c>
      <c r="C1506" s="193" t="s">
        <v>3091</v>
      </c>
      <c r="D1506" s="193" t="s">
        <v>5308</v>
      </c>
    </row>
    <row r="1507">
      <c r="A1507" s="359">
        <v>46210.73767292824</v>
      </c>
      <c r="B1507" s="193"/>
      <c r="C1507" s="193" t="s">
        <v>3119</v>
      </c>
      <c r="D1507" s="193" t="s">
        <v>4063</v>
      </c>
    </row>
    <row r="1508">
      <c r="A1508" s="359">
        <v>46210.88608855324</v>
      </c>
      <c r="B1508" s="193"/>
      <c r="C1508" s="193" t="s">
        <v>3119</v>
      </c>
      <c r="D1508" s="193" t="s">
        <v>4061</v>
      </c>
    </row>
    <row r="1509">
      <c r="A1509" s="359">
        <v>46210.896671435185</v>
      </c>
      <c r="B1509" s="193" t="s">
        <v>3097</v>
      </c>
      <c r="C1509" s="193" t="s">
        <v>3418</v>
      </c>
      <c r="D1509" s="193" t="s">
        <v>5311</v>
      </c>
    </row>
    <row r="1510">
      <c r="A1510" s="359">
        <v>46210.89676270833</v>
      </c>
      <c r="B1510" s="193" t="s">
        <v>3097</v>
      </c>
      <c r="C1510" s="193" t="s">
        <v>3418</v>
      </c>
      <c r="D1510" s="193" t="s">
        <v>5312</v>
      </c>
    </row>
    <row r="1511">
      <c r="A1511" s="359">
        <v>46210.91873880787</v>
      </c>
      <c r="B1511" s="193"/>
      <c r="C1511" s="193" t="s">
        <v>3119</v>
      </c>
      <c r="D1511" s="193" t="s">
        <v>4158</v>
      </c>
    </row>
    <row r="1512">
      <c r="A1512" s="359">
        <v>46210.95578259259</v>
      </c>
      <c r="B1512" s="193"/>
      <c r="C1512" s="193" t="s">
        <v>3119</v>
      </c>
      <c r="D1512" s="193" t="s">
        <v>4698</v>
      </c>
    </row>
    <row r="1513">
      <c r="A1513" s="359">
        <v>46211.70390746528</v>
      </c>
      <c r="B1513" s="193" t="s">
        <v>3097</v>
      </c>
      <c r="C1513" s="193" t="s">
        <v>3119</v>
      </c>
      <c r="D1513" s="193" t="s">
        <v>4536</v>
      </c>
    </row>
    <row r="1514">
      <c r="A1514" s="359">
        <v>46211.7992928125</v>
      </c>
      <c r="B1514" s="193"/>
      <c r="C1514" s="193" t="s">
        <v>3119</v>
      </c>
      <c r="D1514" s="193" t="s">
        <v>4458</v>
      </c>
    </row>
    <row r="1515">
      <c r="A1515" s="359">
        <v>46211.82585015046</v>
      </c>
      <c r="B1515" s="193" t="s">
        <v>3097</v>
      </c>
      <c r="C1515" s="193" t="s">
        <v>3091</v>
      </c>
      <c r="D1515" s="193" t="s">
        <v>5315</v>
      </c>
    </row>
    <row r="1516">
      <c r="A1516" s="359">
        <v>46211.87009552083</v>
      </c>
      <c r="B1516" s="193"/>
      <c r="C1516" s="193" t="s">
        <v>3119</v>
      </c>
      <c r="D1516" s="193" t="s">
        <v>4063</v>
      </c>
    </row>
    <row r="1517">
      <c r="A1517" s="359">
        <v>46211.9296409838</v>
      </c>
      <c r="B1517" s="193" t="s">
        <v>3097</v>
      </c>
      <c r="C1517" s="193" t="s">
        <v>3119</v>
      </c>
      <c r="D1517" s="193" t="s">
        <v>4487</v>
      </c>
    </row>
    <row r="1518">
      <c r="A1518" s="359">
        <v>46211.93003505787</v>
      </c>
      <c r="B1518" s="193" t="s">
        <v>3097</v>
      </c>
      <c r="C1518" s="193" t="s">
        <v>3091</v>
      </c>
      <c r="D1518" s="193" t="s">
        <v>5317</v>
      </c>
    </row>
    <row r="1519">
      <c r="A1519" s="359">
        <v>46213.78871583333</v>
      </c>
      <c r="B1519" s="193"/>
      <c r="C1519" s="193" t="s">
        <v>3119</v>
      </c>
      <c r="D1519" s="193" t="s">
        <v>4156</v>
      </c>
    </row>
    <row r="1520">
      <c r="A1520" s="359">
        <v>46213.79536603009</v>
      </c>
      <c r="B1520" s="193"/>
      <c r="C1520" s="193" t="s">
        <v>3119</v>
      </c>
      <c r="D1520" s="193" t="s">
        <v>4156</v>
      </c>
    </row>
    <row r="1521">
      <c r="A1521" s="359">
        <v>46213.80664953704</v>
      </c>
      <c r="B1521" s="193"/>
      <c r="C1521" s="193" t="s">
        <v>3119</v>
      </c>
      <c r="D1521" s="193" t="s">
        <v>4156</v>
      </c>
    </row>
    <row r="1522">
      <c r="A1522" s="359">
        <v>46213.80889136574</v>
      </c>
      <c r="B1522" s="193"/>
      <c r="C1522" s="193" t="s">
        <v>3119</v>
      </c>
      <c r="D1522" s="193" t="s">
        <v>4156</v>
      </c>
    </row>
    <row r="1523">
      <c r="A1523" s="359">
        <v>46213.82373256944</v>
      </c>
      <c r="B1523" s="193" t="s">
        <v>3097</v>
      </c>
      <c r="C1523" s="193" t="s">
        <v>3418</v>
      </c>
      <c r="D1523" s="193" t="s">
        <v>5321</v>
      </c>
    </row>
    <row r="1524">
      <c r="A1524" s="359">
        <v>46213.84315023148</v>
      </c>
      <c r="B1524" s="193"/>
      <c r="C1524" s="193" t="s">
        <v>3119</v>
      </c>
      <c r="D1524" s="193" t="s">
        <v>4158</v>
      </c>
    </row>
    <row r="1525">
      <c r="A1525" s="359">
        <v>46213.92147302083</v>
      </c>
      <c r="B1525" s="193" t="s">
        <v>3097</v>
      </c>
      <c r="C1525" s="193" t="s">
        <v>3119</v>
      </c>
      <c r="D1525" s="193" t="s">
        <v>4046</v>
      </c>
    </row>
    <row r="1526">
      <c r="A1526" s="359">
        <v>46213.921597002314</v>
      </c>
      <c r="B1526" s="193" t="s">
        <v>3097</v>
      </c>
      <c r="C1526" s="193" t="s">
        <v>3119</v>
      </c>
      <c r="D1526" s="193" t="s">
        <v>4046</v>
      </c>
    </row>
    <row r="1527">
      <c r="A1527" s="359">
        <v>46216.728383912035</v>
      </c>
      <c r="B1527" s="193"/>
      <c r="C1527" s="193" t="s">
        <v>3119</v>
      </c>
      <c r="D1527" s="193" t="s">
        <v>4149</v>
      </c>
    </row>
    <row r="1528">
      <c r="A1528" s="359">
        <v>46216.72864943287</v>
      </c>
      <c r="B1528" s="193" t="s">
        <v>3097</v>
      </c>
      <c r="C1528" s="193" t="s">
        <v>3091</v>
      </c>
      <c r="D1528" s="193" t="s">
        <v>5325</v>
      </c>
    </row>
    <row r="1529">
      <c r="A1529" s="359">
        <v>46216.746004456014</v>
      </c>
      <c r="B1529" s="193" t="s">
        <v>3097</v>
      </c>
      <c r="C1529" s="193" t="s">
        <v>3091</v>
      </c>
      <c r="D1529" s="193" t="s">
        <v>5326</v>
      </c>
    </row>
    <row r="1530">
      <c r="A1530" s="359">
        <v>46216.93474508102</v>
      </c>
      <c r="B1530" s="193"/>
      <c r="C1530" s="193" t="s">
        <v>3119</v>
      </c>
      <c r="D1530" s="193" t="s">
        <v>5327</v>
      </c>
    </row>
    <row r="1531">
      <c r="A1531" s="359">
        <v>46217.78768460648</v>
      </c>
      <c r="B1531" s="193" t="s">
        <v>3097</v>
      </c>
      <c r="C1531" s="193" t="s">
        <v>3091</v>
      </c>
      <c r="D1531" s="193" t="s">
        <v>5328</v>
      </c>
    </row>
    <row r="1532">
      <c r="A1532" s="359">
        <v>46217.79487549768</v>
      </c>
      <c r="B1532" s="193"/>
      <c r="C1532" s="193" t="s">
        <v>3119</v>
      </c>
      <c r="D1532" s="193" t="s">
        <v>4129</v>
      </c>
    </row>
    <row r="1533">
      <c r="A1533" s="359">
        <v>46217.7981153588</v>
      </c>
      <c r="B1533" s="193" t="s">
        <v>3097</v>
      </c>
      <c r="C1533" s="193" t="s">
        <v>3091</v>
      </c>
      <c r="D1533" s="193" t="s">
        <v>5329</v>
      </c>
    </row>
    <row r="1534">
      <c r="A1534" s="359">
        <v>46217.79872377314</v>
      </c>
      <c r="B1534" s="193"/>
      <c r="C1534" s="193" t="s">
        <v>3119</v>
      </c>
      <c r="D1534" s="193" t="s">
        <v>4031</v>
      </c>
    </row>
    <row r="1535">
      <c r="A1535" s="359">
        <v>46217.798793483795</v>
      </c>
      <c r="B1535" s="193"/>
      <c r="C1535" s="193" t="s">
        <v>3119</v>
      </c>
      <c r="D1535" s="193" t="s">
        <v>4038</v>
      </c>
    </row>
    <row r="1536">
      <c r="A1536" s="359">
        <v>46217.81526539352</v>
      </c>
      <c r="B1536" s="193"/>
      <c r="C1536" s="193" t="s">
        <v>3119</v>
      </c>
      <c r="D1536" s="193" t="s">
        <v>4158</v>
      </c>
    </row>
    <row r="1537">
      <c r="A1537" s="359">
        <v>46217.85389946759</v>
      </c>
      <c r="B1537" s="193"/>
      <c r="C1537" s="193" t="s">
        <v>3119</v>
      </c>
      <c r="D1537" s="193" t="s">
        <v>4061</v>
      </c>
    </row>
    <row r="1538">
      <c r="A1538" s="359">
        <v>46217.85494489584</v>
      </c>
      <c r="B1538" s="193" t="s">
        <v>3097</v>
      </c>
      <c r="C1538" s="193" t="s">
        <v>3418</v>
      </c>
      <c r="D1538" s="193" t="s">
        <v>5331</v>
      </c>
    </row>
    <row r="1539">
      <c r="A1539" s="359">
        <v>46217.917786226855</v>
      </c>
      <c r="B1539" s="193"/>
      <c r="C1539" s="193" t="s">
        <v>3119</v>
      </c>
      <c r="D1539" s="193" t="s">
        <v>4129</v>
      </c>
    </row>
    <row r="1540">
      <c r="A1540" s="359">
        <v>46217.917962384265</v>
      </c>
      <c r="B1540" s="193"/>
      <c r="C1540" s="193" t="s">
        <v>3119</v>
      </c>
      <c r="D1540" s="193" t="s">
        <v>4129</v>
      </c>
    </row>
    <row r="1541">
      <c r="A1541" s="359">
        <v>46217.95456946759</v>
      </c>
      <c r="B1541" s="193"/>
      <c r="C1541" s="193" t="s">
        <v>3119</v>
      </c>
      <c r="D1541" s="193" t="s">
        <v>4061</v>
      </c>
    </row>
    <row r="1542">
      <c r="A1542" s="359">
        <v>46218.6857878588</v>
      </c>
      <c r="B1542" s="193"/>
      <c r="C1542" s="193" t="s">
        <v>3119</v>
      </c>
      <c r="D1542" s="193" t="s">
        <v>5332</v>
      </c>
    </row>
    <row r="1543">
      <c r="A1543" s="359">
        <v>46218.6869872338</v>
      </c>
      <c r="B1543" s="193" t="s">
        <v>3097</v>
      </c>
      <c r="C1543" s="193" t="s">
        <v>3091</v>
      </c>
      <c r="D1543" s="193" t="s">
        <v>5334</v>
      </c>
    </row>
    <row r="1544">
      <c r="A1544" s="359">
        <v>46218.79813517361</v>
      </c>
      <c r="B1544" s="193" t="s">
        <v>3097</v>
      </c>
      <c r="C1544" s="193" t="s">
        <v>3091</v>
      </c>
      <c r="D1544" s="193" t="s">
        <v>5335</v>
      </c>
    </row>
    <row r="1545">
      <c r="A1545" s="359">
        <v>46218.79824481481</v>
      </c>
      <c r="B1545" s="193" t="s">
        <v>3097</v>
      </c>
      <c r="C1545" s="193" t="s">
        <v>3091</v>
      </c>
      <c r="D1545" s="193" t="s">
        <v>5336</v>
      </c>
    </row>
    <row r="1546">
      <c r="A1546" s="359">
        <v>46218.79837444444</v>
      </c>
      <c r="B1546" s="193" t="s">
        <v>3097</v>
      </c>
      <c r="C1546" s="193" t="s">
        <v>3091</v>
      </c>
      <c r="D1546" s="193" t="s">
        <v>5338</v>
      </c>
    </row>
    <row r="1547">
      <c r="A1547" s="359">
        <v>46218.79858267361</v>
      </c>
      <c r="B1547" s="193" t="s">
        <v>3097</v>
      </c>
      <c r="C1547" s="193" t="s">
        <v>3091</v>
      </c>
      <c r="D1547" s="193" t="s">
        <v>5339</v>
      </c>
    </row>
    <row r="1548">
      <c r="A1548" s="359">
        <v>46218.80295732639</v>
      </c>
      <c r="B1548" s="193" t="s">
        <v>3097</v>
      </c>
      <c r="C1548" s="193" t="s">
        <v>3418</v>
      </c>
      <c r="D1548" s="193" t="s">
        <v>5340</v>
      </c>
    </row>
    <row r="1549">
      <c r="A1549" s="359">
        <v>46218.81115148148</v>
      </c>
      <c r="B1549" s="193"/>
      <c r="C1549" s="193" t="s">
        <v>3119</v>
      </c>
      <c r="D1549" s="193" t="s">
        <v>4458</v>
      </c>
    </row>
    <row r="1550">
      <c r="A1550" s="359">
        <v>46218.890228715274</v>
      </c>
      <c r="B1550" s="193"/>
      <c r="C1550" s="193" t="s">
        <v>3119</v>
      </c>
      <c r="D1550" s="193" t="s">
        <v>4038</v>
      </c>
    </row>
    <row r="1551">
      <c r="A1551" s="359">
        <v>46218.891541273144</v>
      </c>
      <c r="B1551" s="193"/>
      <c r="C1551" s="193" t="s">
        <v>3119</v>
      </c>
      <c r="D1551" s="193" t="s">
        <v>4038</v>
      </c>
    </row>
    <row r="1552">
      <c r="A1552" s="359">
        <v>46218.90136351852</v>
      </c>
      <c r="B1552" s="193"/>
      <c r="C1552" s="193" t="s">
        <v>3119</v>
      </c>
      <c r="D1552" s="193" t="s">
        <v>4458</v>
      </c>
    </row>
    <row r="1553">
      <c r="A1553" s="359">
        <v>46218.90657049768</v>
      </c>
      <c r="B1553" s="193"/>
      <c r="C1553" s="193" t="s">
        <v>3119</v>
      </c>
      <c r="D1553" s="193" t="s">
        <v>4020</v>
      </c>
    </row>
    <row r="1554">
      <c r="A1554" s="359">
        <v>46218.90676219907</v>
      </c>
      <c r="B1554" s="193"/>
      <c r="C1554" s="193" t="s">
        <v>3119</v>
      </c>
      <c r="D1554" s="193" t="s">
        <v>4458</v>
      </c>
    </row>
    <row r="1555">
      <c r="A1555" s="359">
        <v>46219.78663396991</v>
      </c>
      <c r="B1555" s="193"/>
      <c r="C1555" s="193" t="s">
        <v>3119</v>
      </c>
      <c r="D1555" s="193" t="s">
        <v>5341</v>
      </c>
    </row>
    <row r="1556">
      <c r="A1556" s="359">
        <v>46219.787453784724</v>
      </c>
      <c r="B1556" s="193"/>
      <c r="C1556" s="193" t="s">
        <v>3119</v>
      </c>
      <c r="D1556" s="193" t="s">
        <v>5342</v>
      </c>
    </row>
    <row r="1557">
      <c r="A1557" s="359">
        <v>46219.79393475695</v>
      </c>
      <c r="B1557" s="193"/>
      <c r="C1557" s="193" t="s">
        <v>3119</v>
      </c>
      <c r="D1557" s="193" t="s">
        <v>4063</v>
      </c>
    </row>
    <row r="1558">
      <c r="A1558" s="359">
        <v>46219.79481211805</v>
      </c>
      <c r="B1558" s="193"/>
      <c r="C1558" s="193" t="s">
        <v>3119</v>
      </c>
      <c r="D1558" s="193" t="s">
        <v>5342</v>
      </c>
    </row>
    <row r="1559">
      <c r="A1559" s="359">
        <v>46219.80051916667</v>
      </c>
      <c r="B1559" s="193"/>
      <c r="C1559" s="193" t="s">
        <v>3119</v>
      </c>
      <c r="D1559" s="193" t="s">
        <v>4063</v>
      </c>
    </row>
    <row r="1560">
      <c r="A1560" s="359">
        <v>46219.80154721065</v>
      </c>
      <c r="B1560" s="193" t="s">
        <v>3097</v>
      </c>
      <c r="C1560" s="193" t="s">
        <v>3091</v>
      </c>
      <c r="D1560" s="193" t="s">
        <v>5344</v>
      </c>
    </row>
    <row r="1561">
      <c r="A1561" s="359">
        <v>46219.80286365741</v>
      </c>
      <c r="B1561" s="193" t="s">
        <v>3097</v>
      </c>
      <c r="C1561" s="193" t="s">
        <v>3418</v>
      </c>
      <c r="D1561" s="193" t="s">
        <v>5346</v>
      </c>
    </row>
    <row r="1562">
      <c r="A1562" s="359">
        <v>46219.91150511574</v>
      </c>
      <c r="B1562" s="193"/>
      <c r="C1562" s="193" t="s">
        <v>3119</v>
      </c>
      <c r="D1562" s="193" t="s">
        <v>4069</v>
      </c>
    </row>
    <row r="1563">
      <c r="A1563" s="359">
        <v>46219.959147326386</v>
      </c>
      <c r="B1563" s="193" t="s">
        <v>3097</v>
      </c>
      <c r="C1563" s="193" t="s">
        <v>3418</v>
      </c>
      <c r="D1563" s="193" t="s">
        <v>5348</v>
      </c>
    </row>
    <row r="1564">
      <c r="A1564" s="359">
        <v>46223.72521809027</v>
      </c>
      <c r="B1564" s="193" t="s">
        <v>3097</v>
      </c>
      <c r="C1564" s="193" t="s">
        <v>3091</v>
      </c>
      <c r="D1564" s="193" t="s">
        <v>5349</v>
      </c>
    </row>
    <row r="1565">
      <c r="A1565" s="359">
        <v>46223.72863888889</v>
      </c>
      <c r="B1565" s="193" t="s">
        <v>3097</v>
      </c>
      <c r="C1565" s="193" t="s">
        <v>3091</v>
      </c>
      <c r="D1565" s="193" t="s">
        <v>5350</v>
      </c>
    </row>
    <row r="1566">
      <c r="A1566" s="359">
        <v>46223.73214024305</v>
      </c>
      <c r="B1566" s="193" t="s">
        <v>3097</v>
      </c>
      <c r="C1566" s="193" t="s">
        <v>3091</v>
      </c>
      <c r="D1566" s="193" t="s">
        <v>5352</v>
      </c>
    </row>
    <row r="1567">
      <c r="A1567" s="359">
        <v>46223.74603743055</v>
      </c>
      <c r="B1567" s="193" t="s">
        <v>3097</v>
      </c>
      <c r="C1567" s="193" t="s">
        <v>3091</v>
      </c>
      <c r="D1567" s="193" t="s">
        <v>5353</v>
      </c>
    </row>
    <row r="1568">
      <c r="A1568" s="359">
        <v>46223.746110023145</v>
      </c>
      <c r="B1568" s="193" t="s">
        <v>3097</v>
      </c>
      <c r="C1568" s="193" t="s">
        <v>3091</v>
      </c>
      <c r="D1568" s="193" t="s">
        <v>5354</v>
      </c>
    </row>
    <row r="1569">
      <c r="A1569" s="359">
        <v>46223.74965939815</v>
      </c>
      <c r="B1569" s="193" t="s">
        <v>3097</v>
      </c>
      <c r="C1569" s="193" t="s">
        <v>3091</v>
      </c>
      <c r="D1569" s="193" t="s">
        <v>5355</v>
      </c>
    </row>
    <row r="1570">
      <c r="A1570" s="359">
        <v>46223.74971670139</v>
      </c>
      <c r="B1570" s="193" t="s">
        <v>3097</v>
      </c>
      <c r="C1570" s="193" t="s">
        <v>3091</v>
      </c>
      <c r="D1570" s="193" t="s">
        <v>5357</v>
      </c>
    </row>
    <row r="1571">
      <c r="A1571" s="359">
        <v>46223.749860462965</v>
      </c>
      <c r="B1571" s="193"/>
      <c r="C1571" s="193" t="s">
        <v>3119</v>
      </c>
      <c r="D1571" s="193" t="s">
        <v>5358</v>
      </c>
    </row>
    <row r="1572">
      <c r="A1572" s="359">
        <v>46223.75082498843</v>
      </c>
      <c r="B1572" s="193" t="s">
        <v>3097</v>
      </c>
      <c r="C1572" s="193" t="s">
        <v>3418</v>
      </c>
      <c r="D1572" s="193" t="s">
        <v>5359</v>
      </c>
    </row>
    <row r="1573">
      <c r="A1573" s="359">
        <v>46223.75090788194</v>
      </c>
      <c r="B1573" s="193" t="s">
        <v>3097</v>
      </c>
      <c r="C1573" s="193" t="s">
        <v>3418</v>
      </c>
      <c r="D1573" s="193" t="s">
        <v>5360</v>
      </c>
    </row>
    <row r="1574">
      <c r="A1574" s="359">
        <v>46223.75098538194</v>
      </c>
      <c r="B1574" s="193" t="s">
        <v>3097</v>
      </c>
      <c r="C1574" s="193" t="s">
        <v>3418</v>
      </c>
      <c r="D1574" s="193" t="s">
        <v>5361</v>
      </c>
    </row>
    <row r="1575">
      <c r="A1575" s="359">
        <v>46223.75106627315</v>
      </c>
      <c r="B1575" s="193" t="s">
        <v>3097</v>
      </c>
      <c r="C1575" s="193" t="s">
        <v>3418</v>
      </c>
      <c r="D1575" s="193" t="s">
        <v>5362</v>
      </c>
    </row>
    <row r="1576">
      <c r="A1576" s="359">
        <v>46223.75113834491</v>
      </c>
      <c r="B1576" s="193" t="s">
        <v>3097</v>
      </c>
      <c r="C1576" s="193" t="s">
        <v>3418</v>
      </c>
      <c r="D1576" s="193" t="s">
        <v>5364</v>
      </c>
    </row>
    <row r="1577">
      <c r="A1577" s="359">
        <v>46223.75123689815</v>
      </c>
      <c r="B1577" s="193" t="s">
        <v>3097</v>
      </c>
      <c r="C1577" s="193" t="s">
        <v>3418</v>
      </c>
      <c r="D1577" s="193" t="s">
        <v>5366</v>
      </c>
    </row>
    <row r="1578">
      <c r="A1578" s="359">
        <v>46223.7529640162</v>
      </c>
      <c r="B1578" s="193" t="s">
        <v>3097</v>
      </c>
      <c r="C1578" s="193" t="s">
        <v>3091</v>
      </c>
      <c r="D1578" s="193" t="s">
        <v>5367</v>
      </c>
    </row>
    <row r="1579">
      <c r="A1579" s="359">
        <v>46223.76168045139</v>
      </c>
      <c r="B1579" s="193" t="s">
        <v>3097</v>
      </c>
      <c r="C1579" s="193" t="s">
        <v>3418</v>
      </c>
      <c r="D1579" s="193" t="s">
        <v>5369</v>
      </c>
    </row>
    <row r="1580">
      <c r="A1580" s="359">
        <v>46223.761860949075</v>
      </c>
      <c r="B1580" s="193" t="s">
        <v>3097</v>
      </c>
      <c r="C1580" s="193" t="s">
        <v>3418</v>
      </c>
      <c r="D1580" s="193" t="s">
        <v>5371</v>
      </c>
    </row>
    <row r="1581">
      <c r="A1581" s="359">
        <v>46223.762059305554</v>
      </c>
      <c r="B1581" s="193" t="s">
        <v>3097</v>
      </c>
      <c r="C1581" s="193" t="s">
        <v>3418</v>
      </c>
      <c r="D1581" s="193" t="s">
        <v>5372</v>
      </c>
    </row>
    <row r="1582">
      <c r="A1582" s="359">
        <v>46223.762414490746</v>
      </c>
      <c r="B1582" s="193" t="s">
        <v>3097</v>
      </c>
      <c r="C1582" s="193" t="s">
        <v>3418</v>
      </c>
      <c r="D1582" s="193" t="s">
        <v>5373</v>
      </c>
    </row>
    <row r="1583">
      <c r="A1583" s="359">
        <v>46223.76270928241</v>
      </c>
      <c r="B1583" s="193" t="s">
        <v>3097</v>
      </c>
      <c r="C1583" s="193" t="s">
        <v>3418</v>
      </c>
      <c r="D1583" s="193" t="s">
        <v>5374</v>
      </c>
    </row>
    <row r="1584">
      <c r="A1584" s="359">
        <v>46223.763036261575</v>
      </c>
      <c r="B1584" s="193"/>
      <c r="C1584" s="193" t="s">
        <v>3119</v>
      </c>
      <c r="D1584" s="193" t="s">
        <v>3955</v>
      </c>
    </row>
    <row r="1585">
      <c r="A1585" s="359">
        <v>46223.795294780095</v>
      </c>
      <c r="B1585" s="193"/>
      <c r="C1585" s="193" t="s">
        <v>3119</v>
      </c>
      <c r="D1585" s="193" t="s">
        <v>4536</v>
      </c>
    </row>
    <row r="1586">
      <c r="A1586" s="359">
        <v>46223.80156047454</v>
      </c>
      <c r="B1586" s="193"/>
      <c r="C1586" s="193" t="s">
        <v>3119</v>
      </c>
      <c r="D1586" s="193" t="s">
        <v>4707</v>
      </c>
    </row>
    <row r="1587">
      <c r="A1587" s="359">
        <v>46223.801704178244</v>
      </c>
      <c r="B1587" s="193"/>
      <c r="C1587" s="193" t="s">
        <v>3119</v>
      </c>
      <c r="D1587" s="193" t="s">
        <v>3944</v>
      </c>
    </row>
    <row r="1588">
      <c r="A1588" s="359">
        <v>46223.80227483796</v>
      </c>
      <c r="B1588" s="193"/>
      <c r="C1588" s="193" t="s">
        <v>3119</v>
      </c>
      <c r="D1588" s="193" t="s">
        <v>4492</v>
      </c>
    </row>
    <row r="1589">
      <c r="A1589" s="359">
        <v>46223.80316563658</v>
      </c>
      <c r="B1589" s="193"/>
      <c r="C1589" s="193" t="s">
        <v>3119</v>
      </c>
      <c r="D1589" s="193" t="s">
        <v>5378</v>
      </c>
    </row>
    <row r="1590">
      <c r="A1590" s="359">
        <v>46223.80353748843</v>
      </c>
      <c r="B1590" s="193"/>
      <c r="C1590" s="193" t="s">
        <v>3119</v>
      </c>
      <c r="D1590" s="193" t="s">
        <v>5379</v>
      </c>
    </row>
    <row r="1591">
      <c r="A1591" s="359">
        <v>46223.80626621528</v>
      </c>
      <c r="B1591" s="193"/>
      <c r="C1591" s="193" t="s">
        <v>3119</v>
      </c>
      <c r="D1591" s="193" t="s">
        <v>4826</v>
      </c>
    </row>
    <row r="1592">
      <c r="A1592" s="359">
        <v>46223.80770855324</v>
      </c>
      <c r="B1592" s="193"/>
      <c r="C1592" s="193" t="s">
        <v>3119</v>
      </c>
      <c r="D1592" s="193" t="s">
        <v>4069</v>
      </c>
    </row>
    <row r="1593">
      <c r="A1593" s="359">
        <v>46223.80886435186</v>
      </c>
      <c r="B1593" s="193" t="s">
        <v>3097</v>
      </c>
      <c r="C1593" s="193" t="s">
        <v>3091</v>
      </c>
      <c r="D1593" s="193" t="s">
        <v>5381</v>
      </c>
    </row>
    <row r="1594">
      <c r="A1594" s="359">
        <v>46223.81544925926</v>
      </c>
      <c r="B1594" s="193"/>
      <c r="C1594" s="193" t="s">
        <v>3119</v>
      </c>
      <c r="D1594" s="193" t="s">
        <v>4815</v>
      </c>
    </row>
    <row r="1595">
      <c r="A1595" s="359">
        <v>46223.82308119213</v>
      </c>
      <c r="B1595" s="193"/>
      <c r="C1595" s="193" t="s">
        <v>3119</v>
      </c>
      <c r="D1595" s="193" t="s">
        <v>5383</v>
      </c>
    </row>
    <row r="1596">
      <c r="A1596" s="359">
        <v>46223.830450127316</v>
      </c>
      <c r="B1596" s="193"/>
      <c r="C1596" s="193" t="s">
        <v>3119</v>
      </c>
      <c r="D1596" s="193" t="s">
        <v>4327</v>
      </c>
    </row>
    <row r="1597">
      <c r="A1597" s="359">
        <v>46223.872498275465</v>
      </c>
      <c r="B1597" s="193"/>
      <c r="C1597" s="193" t="s">
        <v>3119</v>
      </c>
      <c r="D1597" s="193" t="s">
        <v>4043</v>
      </c>
    </row>
    <row r="1598">
      <c r="A1598" s="359">
        <v>46223.87310858796</v>
      </c>
      <c r="B1598" s="193"/>
      <c r="C1598" s="193" t="s">
        <v>3119</v>
      </c>
      <c r="D1598" s="193" t="s">
        <v>4761</v>
      </c>
    </row>
    <row r="1599">
      <c r="A1599" s="359">
        <v>46223.87398094907</v>
      </c>
      <c r="B1599" s="193"/>
      <c r="C1599" s="193" t="s">
        <v>3119</v>
      </c>
      <c r="D1599" s="193" t="s">
        <v>4365</v>
      </c>
    </row>
    <row r="1600">
      <c r="A1600" s="359">
        <v>46223.87469459491</v>
      </c>
      <c r="B1600" s="193"/>
      <c r="C1600" s="193" t="s">
        <v>3119</v>
      </c>
      <c r="D1600" s="193" t="s">
        <v>5384</v>
      </c>
    </row>
    <row r="1601">
      <c r="A1601" s="359">
        <v>46223.87667627315</v>
      </c>
      <c r="B1601" s="193"/>
      <c r="C1601" s="193" t="s">
        <v>3119</v>
      </c>
      <c r="D1601" s="193" t="s">
        <v>4579</v>
      </c>
    </row>
    <row r="1602">
      <c r="A1602" s="359">
        <v>46223.912655844906</v>
      </c>
      <c r="B1602" s="193" t="s">
        <v>3097</v>
      </c>
      <c r="C1602" s="193" t="s">
        <v>3091</v>
      </c>
      <c r="D1602" s="193" t="s">
        <v>5386</v>
      </c>
    </row>
    <row r="1603">
      <c r="A1603" s="359">
        <v>46223.91748640046</v>
      </c>
      <c r="B1603" s="193" t="s">
        <v>3097</v>
      </c>
      <c r="C1603" s="193" t="s">
        <v>3418</v>
      </c>
      <c r="D1603" s="193" t="s">
        <v>5388</v>
      </c>
    </row>
    <row r="1604">
      <c r="A1604" s="359">
        <v>46223.91787604167</v>
      </c>
      <c r="B1604" s="193"/>
      <c r="C1604" s="193" t="s">
        <v>3119</v>
      </c>
      <c r="D1604" s="193" t="s">
        <v>4698</v>
      </c>
    </row>
    <row r="1605">
      <c r="A1605" s="359">
        <v>46223.918830740746</v>
      </c>
      <c r="B1605" s="193"/>
      <c r="C1605" s="193" t="s">
        <v>3119</v>
      </c>
      <c r="D1605" s="193" t="s">
        <v>4698</v>
      </c>
    </row>
    <row r="1606">
      <c r="A1606" s="359">
        <v>46223.919578182875</v>
      </c>
      <c r="B1606" s="193"/>
      <c r="C1606" s="193" t="s">
        <v>3119</v>
      </c>
      <c r="D1606" s="193" t="s">
        <v>4698</v>
      </c>
    </row>
    <row r="1607">
      <c r="A1607" s="359">
        <v>46223.93569890046</v>
      </c>
      <c r="B1607" s="193"/>
      <c r="C1607" s="193" t="s">
        <v>3119</v>
      </c>
      <c r="D1607" s="193" t="s">
        <v>4127</v>
      </c>
    </row>
    <row r="1608">
      <c r="A1608" s="359">
        <v>46223.946977071755</v>
      </c>
      <c r="B1608" s="193"/>
      <c r="C1608" s="193" t="s">
        <v>3119</v>
      </c>
      <c r="D1608" s="193" t="s">
        <v>4038</v>
      </c>
    </row>
    <row r="1609">
      <c r="A1609" s="359">
        <v>46223.947421805555</v>
      </c>
      <c r="B1609" s="193" t="s">
        <v>3097</v>
      </c>
      <c r="C1609" s="193" t="s">
        <v>3091</v>
      </c>
      <c r="D1609" s="193" t="s">
        <v>5389</v>
      </c>
    </row>
    <row r="1610">
      <c r="A1610" s="359">
        <v>46223.94846806713</v>
      </c>
      <c r="B1610" s="193" t="s">
        <v>3097</v>
      </c>
      <c r="C1610" s="193" t="s">
        <v>3119</v>
      </c>
      <c r="D1610" s="193" t="s">
        <v>3978</v>
      </c>
    </row>
    <row r="1611">
      <c r="A1611" s="359">
        <v>46223.94865704861</v>
      </c>
      <c r="B1611" s="193" t="s">
        <v>3097</v>
      </c>
      <c r="C1611" s="193" t="s">
        <v>3418</v>
      </c>
      <c r="D1611" s="193" t="s">
        <v>5392</v>
      </c>
    </row>
    <row r="1612">
      <c r="A1612" s="359">
        <v>46223.94870057871</v>
      </c>
      <c r="B1612" s="193" t="s">
        <v>3097</v>
      </c>
      <c r="C1612" s="193" t="s">
        <v>3418</v>
      </c>
      <c r="D1612" s="193" t="s">
        <v>5393</v>
      </c>
    </row>
    <row r="1613">
      <c r="A1613" s="359">
        <v>46223.95105445602</v>
      </c>
      <c r="B1613" s="193"/>
      <c r="C1613" s="193" t="s">
        <v>3119</v>
      </c>
      <c r="D1613" s="193" t="s">
        <v>5394</v>
      </c>
    </row>
    <row r="1614">
      <c r="A1614" s="359">
        <v>46223.95965640046</v>
      </c>
      <c r="B1614" s="193" t="s">
        <v>3097</v>
      </c>
      <c r="C1614" s="193" t="s">
        <v>3418</v>
      </c>
      <c r="D1614" s="193" t="s">
        <v>5395</v>
      </c>
    </row>
    <row r="1615">
      <c r="A1615" s="359">
        <v>46223.96074527778</v>
      </c>
      <c r="B1615" s="193"/>
      <c r="C1615" s="193" t="s">
        <v>3119</v>
      </c>
      <c r="D1615" s="193" t="s">
        <v>4536</v>
      </c>
    </row>
    <row r="1616">
      <c r="A1616" s="359">
        <v>46223.96407638889</v>
      </c>
      <c r="B1616" s="193"/>
      <c r="C1616" s="193" t="s">
        <v>3119</v>
      </c>
      <c r="D1616" s="193" t="s">
        <v>5396</v>
      </c>
    </row>
    <row r="1617">
      <c r="A1617" s="359">
        <v>46223.96622685185</v>
      </c>
      <c r="B1617" s="193" t="s">
        <v>3097</v>
      </c>
      <c r="C1617" s="193" t="s">
        <v>3119</v>
      </c>
      <c r="D1617" s="193" t="s">
        <v>5397</v>
      </c>
    </row>
    <row r="1618">
      <c r="A1618" s="359">
        <v>46224.79922119213</v>
      </c>
      <c r="B1618" s="193"/>
      <c r="C1618" s="193" t="s">
        <v>3119</v>
      </c>
      <c r="D1618" s="193" t="s">
        <v>4069</v>
      </c>
    </row>
    <row r="1619">
      <c r="A1619" s="359">
        <v>46224.82374637731</v>
      </c>
      <c r="B1619" s="193"/>
      <c r="C1619" s="193" t="s">
        <v>3119</v>
      </c>
      <c r="D1619" s="193" t="s">
        <v>4815</v>
      </c>
    </row>
    <row r="1620">
      <c r="A1620" s="359">
        <v>46224.88379740741</v>
      </c>
      <c r="B1620" s="193"/>
      <c r="C1620" s="193" t="s">
        <v>3119</v>
      </c>
      <c r="D1620" s="193" t="s">
        <v>5398</v>
      </c>
    </row>
    <row r="1621">
      <c r="A1621" s="359">
        <v>46225.6944812037</v>
      </c>
      <c r="B1621" s="193"/>
      <c r="C1621" s="193" t="s">
        <v>3119</v>
      </c>
      <c r="D1621" s="193" t="s">
        <v>4783</v>
      </c>
    </row>
    <row r="1622">
      <c r="A1622" s="359">
        <v>46225.76202729167</v>
      </c>
      <c r="B1622" s="193"/>
      <c r="C1622" s="193" t="s">
        <v>3119</v>
      </c>
      <c r="D1622" s="193" t="s">
        <v>5399</v>
      </c>
    </row>
    <row r="1623">
      <c r="A1623" s="359">
        <v>46227.822351944444</v>
      </c>
      <c r="B1623" s="193"/>
      <c r="C1623" s="193" t="s">
        <v>3119</v>
      </c>
      <c r="D1623" s="193" t="s">
        <v>5400</v>
      </c>
    </row>
    <row r="1624">
      <c r="A1624" s="359">
        <v>46227.83979820602</v>
      </c>
      <c r="B1624" s="193"/>
      <c r="C1624" s="193" t="s">
        <v>3119</v>
      </c>
      <c r="D1624" s="193" t="s">
        <v>4362</v>
      </c>
    </row>
    <row r="1625">
      <c r="A1625" s="359">
        <v>46227.8715136574</v>
      </c>
      <c r="B1625" s="193"/>
      <c r="C1625" s="193" t="s">
        <v>3119</v>
      </c>
      <c r="D1625" s="193" t="s">
        <v>4069</v>
      </c>
    </row>
    <row r="1626">
      <c r="A1626" s="359">
        <v>46227.89332898148</v>
      </c>
      <c r="B1626" s="193"/>
      <c r="C1626" s="193" t="s">
        <v>3119</v>
      </c>
      <c r="D1626" s="193" t="s">
        <v>4069</v>
      </c>
    </row>
    <row r="1627">
      <c r="A1627" s="359">
        <v>46227.893677789354</v>
      </c>
      <c r="B1627" s="193"/>
      <c r="C1627" s="193" t="s">
        <v>3119</v>
      </c>
      <c r="D1627" s="193" t="s">
        <v>4069</v>
      </c>
    </row>
    <row r="1628">
      <c r="A1628" s="359">
        <v>46227.89488854167</v>
      </c>
      <c r="B1628" s="193"/>
      <c r="C1628" s="193" t="s">
        <v>3119</v>
      </c>
      <c r="D1628" s="193" t="s">
        <v>4069</v>
      </c>
    </row>
    <row r="1629">
      <c r="A1629" s="359">
        <v>46227.92423380787</v>
      </c>
      <c r="B1629" s="193"/>
      <c r="C1629" s="193" t="s">
        <v>3119</v>
      </c>
      <c r="D1629" s="193" t="s">
        <v>3999</v>
      </c>
    </row>
    <row r="1630">
      <c r="A1630" s="359">
        <v>46227.92481140046</v>
      </c>
      <c r="B1630" s="193"/>
      <c r="C1630" s="193" t="s">
        <v>3119</v>
      </c>
      <c r="D1630" s="193" t="s">
        <v>4003</v>
      </c>
    </row>
    <row r="1631">
      <c r="A1631" s="359">
        <v>46227.926474155094</v>
      </c>
      <c r="B1631" s="193"/>
      <c r="C1631" s="193" t="s">
        <v>3119</v>
      </c>
      <c r="D1631" s="193" t="s">
        <v>4003</v>
      </c>
    </row>
    <row r="1632">
      <c r="A1632" s="359">
        <v>46227.92657130787</v>
      </c>
      <c r="B1632" s="193"/>
      <c r="C1632" s="193" t="s">
        <v>3119</v>
      </c>
      <c r="D1632" s="193" t="s">
        <v>3999</v>
      </c>
    </row>
    <row r="1633">
      <c r="A1633" s="359">
        <v>46230.71483505787</v>
      </c>
      <c r="B1633" s="193" t="s">
        <v>3097</v>
      </c>
      <c r="C1633" s="193" t="s">
        <v>3091</v>
      </c>
      <c r="D1633" s="193" t="s">
        <v>4910</v>
      </c>
    </row>
    <row r="1634">
      <c r="A1634" s="359">
        <v>46230.88168924769</v>
      </c>
      <c r="B1634" s="193"/>
      <c r="C1634" s="193" t="s">
        <v>3119</v>
      </c>
      <c r="D1634" s="193" t="s">
        <v>5402</v>
      </c>
    </row>
    <row r="1635">
      <c r="A1635" s="359">
        <v>46230.940276134264</v>
      </c>
      <c r="B1635" s="193"/>
      <c r="C1635" s="193" t="s">
        <v>3119</v>
      </c>
      <c r="D1635" s="193" t="s">
        <v>5404</v>
      </c>
    </row>
    <row r="1636">
      <c r="A1636" s="359">
        <v>46231.72420171296</v>
      </c>
      <c r="B1636" s="193"/>
      <c r="C1636" s="193" t="s">
        <v>3119</v>
      </c>
      <c r="D1636" s="193" t="s">
        <v>3826</v>
      </c>
    </row>
    <row r="1637">
      <c r="A1637" s="359">
        <v>46231.72521082176</v>
      </c>
      <c r="B1637" s="193" t="s">
        <v>3097</v>
      </c>
      <c r="C1637" s="193" t="s">
        <v>3091</v>
      </c>
      <c r="D1637" s="193" t="s">
        <v>5405</v>
      </c>
    </row>
    <row r="1638">
      <c r="A1638" s="359">
        <v>46231.72992337963</v>
      </c>
      <c r="B1638" s="193"/>
      <c r="C1638" s="193" t="s">
        <v>3119</v>
      </c>
      <c r="D1638" s="193" t="s">
        <v>5408</v>
      </c>
    </row>
    <row r="1639">
      <c r="A1639" s="359">
        <v>46231.779424224536</v>
      </c>
      <c r="B1639" s="193"/>
      <c r="C1639" s="193" t="s">
        <v>3119</v>
      </c>
      <c r="D1639" s="193" t="s">
        <v>4069</v>
      </c>
    </row>
    <row r="1640">
      <c r="A1640" s="359">
        <v>46231.839499988426</v>
      </c>
      <c r="B1640" s="193"/>
      <c r="C1640" s="193" t="s">
        <v>3119</v>
      </c>
      <c r="D1640" s="193" t="s">
        <v>4536</v>
      </c>
    </row>
    <row r="1641">
      <c r="A1641" s="359">
        <v>46231.83977825231</v>
      </c>
      <c r="B1641" s="193" t="s">
        <v>3097</v>
      </c>
      <c r="C1641" s="193" t="s">
        <v>3091</v>
      </c>
      <c r="D1641" s="193" t="s">
        <v>5409</v>
      </c>
    </row>
    <row r="1642">
      <c r="A1642" s="359">
        <v>46231.92474884259</v>
      </c>
      <c r="B1642" s="193"/>
      <c r="C1642" s="193" t="s">
        <v>3119</v>
      </c>
      <c r="D1642" s="193" t="s">
        <v>4063</v>
      </c>
    </row>
    <row r="1643">
      <c r="A1643" s="359">
        <v>46231.94045684028</v>
      </c>
      <c r="B1643" s="193" t="s">
        <v>3097</v>
      </c>
      <c r="C1643" s="193" t="s">
        <v>3091</v>
      </c>
      <c r="D1643" s="193" t="s">
        <v>5411</v>
      </c>
    </row>
    <row r="1644">
      <c r="A1644" s="359">
        <v>46232.68389975694</v>
      </c>
      <c r="B1644" s="193"/>
      <c r="C1644" s="193" t="s">
        <v>3119</v>
      </c>
      <c r="D1644" s="193" t="s">
        <v>4775</v>
      </c>
    </row>
    <row r="1645">
      <c r="A1645" s="359">
        <v>46232.68948350694</v>
      </c>
      <c r="B1645" s="193"/>
      <c r="C1645" s="193" t="s">
        <v>3119</v>
      </c>
      <c r="D1645" s="193" t="s">
        <v>5408</v>
      </c>
    </row>
    <row r="1646">
      <c r="A1646" s="359">
        <v>46232.70104024306</v>
      </c>
      <c r="B1646" s="193"/>
      <c r="C1646" s="193" t="s">
        <v>3119</v>
      </c>
      <c r="D1646" s="193" t="s">
        <v>4079</v>
      </c>
    </row>
    <row r="1647">
      <c r="A1647" s="359">
        <v>46232.71316222222</v>
      </c>
      <c r="B1647" s="193"/>
      <c r="C1647" s="193" t="s">
        <v>3119</v>
      </c>
      <c r="D1647" s="193" t="s">
        <v>4676</v>
      </c>
    </row>
    <row r="1648">
      <c r="A1648" s="359">
        <v>46232.71983986111</v>
      </c>
      <c r="B1648" s="193"/>
      <c r="C1648" s="193" t="s">
        <v>3119</v>
      </c>
      <c r="D1648" s="193" t="s">
        <v>4699</v>
      </c>
    </row>
    <row r="1649">
      <c r="A1649" s="359">
        <v>46232.726001180556</v>
      </c>
      <c r="B1649" s="193"/>
      <c r="C1649" s="193" t="s">
        <v>3119</v>
      </c>
      <c r="D1649" s="193" t="s">
        <v>5400</v>
      </c>
    </row>
    <row r="1650">
      <c r="A1650" s="359">
        <v>46232.72904563657</v>
      </c>
      <c r="B1650" s="193"/>
      <c r="C1650" s="193" t="s">
        <v>3119</v>
      </c>
      <c r="D1650" s="193" t="s">
        <v>4102</v>
      </c>
    </row>
    <row r="1651">
      <c r="A1651" s="359">
        <v>46232.738938483795</v>
      </c>
      <c r="B1651" s="193"/>
      <c r="C1651" s="193" t="s">
        <v>3119</v>
      </c>
      <c r="D1651" s="193" t="s">
        <v>4497</v>
      </c>
    </row>
    <row r="1652">
      <c r="A1652" s="359">
        <v>46232.74375623843</v>
      </c>
      <c r="B1652" s="193"/>
      <c r="C1652" s="193" t="s">
        <v>3119</v>
      </c>
      <c r="D1652" s="193" t="s">
        <v>4003</v>
      </c>
    </row>
    <row r="1653">
      <c r="A1653" s="359">
        <v>46232.757124641204</v>
      </c>
      <c r="B1653" s="193"/>
      <c r="C1653" s="193" t="s">
        <v>3119</v>
      </c>
      <c r="D1653" s="193" t="s">
        <v>4514</v>
      </c>
    </row>
    <row r="1654">
      <c r="A1654" s="359">
        <v>46232.75995949074</v>
      </c>
      <c r="B1654" s="193" t="s">
        <v>3097</v>
      </c>
      <c r="C1654" s="193" t="s">
        <v>3091</v>
      </c>
      <c r="D1654" s="193" t="s">
        <v>5416</v>
      </c>
    </row>
    <row r="1655">
      <c r="A1655" s="359">
        <v>46232.7848250463</v>
      </c>
      <c r="B1655" s="193"/>
      <c r="C1655" s="193" t="s">
        <v>3119</v>
      </c>
      <c r="D1655" s="193" t="s">
        <v>4161</v>
      </c>
    </row>
    <row r="1656">
      <c r="A1656" s="359">
        <v>46232.82878270833</v>
      </c>
      <c r="B1656" s="193"/>
      <c r="C1656" s="193" t="s">
        <v>3119</v>
      </c>
      <c r="D1656" s="193" t="s">
        <v>5400</v>
      </c>
    </row>
    <row r="1657">
      <c r="A1657" s="359">
        <v>46232.860325138885</v>
      </c>
      <c r="B1657" s="193"/>
      <c r="C1657" s="193" t="s">
        <v>3119</v>
      </c>
      <c r="D1657" s="193" t="s">
        <v>4069</v>
      </c>
    </row>
    <row r="1658">
      <c r="A1658" s="359">
        <v>46232.8828246412</v>
      </c>
      <c r="B1658" s="193"/>
      <c r="C1658" s="193" t="s">
        <v>3119</v>
      </c>
      <c r="D1658" s="193" t="s">
        <v>5418</v>
      </c>
    </row>
    <row r="1659">
      <c r="A1659" s="359">
        <v>46233.67307778935</v>
      </c>
      <c r="B1659" s="193" t="s">
        <v>3097</v>
      </c>
      <c r="C1659" s="193" t="s">
        <v>3091</v>
      </c>
      <c r="D1659" s="193" t="s">
        <v>5420</v>
      </c>
    </row>
    <row r="1660">
      <c r="A1660" s="359">
        <v>46233.735599884254</v>
      </c>
      <c r="B1660" s="193" t="s">
        <v>3097</v>
      </c>
      <c r="C1660" s="193" t="s">
        <v>3091</v>
      </c>
      <c r="D1660" s="193" t="s">
        <v>5421</v>
      </c>
    </row>
    <row r="1661">
      <c r="A1661" s="359">
        <v>46233.73617795139</v>
      </c>
      <c r="B1661" s="193"/>
      <c r="C1661" s="193" t="s">
        <v>3119</v>
      </c>
      <c r="D1661" s="193" t="s">
        <v>4102</v>
      </c>
    </row>
    <row r="1662">
      <c r="A1662" s="359">
        <v>46233.73835760417</v>
      </c>
      <c r="B1662" s="193"/>
      <c r="C1662" s="193" t="s">
        <v>3119</v>
      </c>
      <c r="D1662" s="193" t="s">
        <v>4079</v>
      </c>
    </row>
    <row r="1663">
      <c r="A1663" s="359">
        <v>46233.820377083335</v>
      </c>
      <c r="B1663" s="193"/>
      <c r="C1663" s="193" t="s">
        <v>3119</v>
      </c>
      <c r="D1663" s="193" t="s">
        <v>5422</v>
      </c>
    </row>
    <row r="1664">
      <c r="A1664" s="359">
        <v>46233.866108946764</v>
      </c>
      <c r="B1664" s="193"/>
      <c r="C1664" s="193" t="s">
        <v>3119</v>
      </c>
      <c r="D1664" s="193" t="s">
        <v>4125</v>
      </c>
    </row>
    <row r="1665">
      <c r="A1665" s="359">
        <v>46233.86752483796</v>
      </c>
      <c r="B1665" s="193" t="s">
        <v>3097</v>
      </c>
      <c r="C1665" s="193" t="s">
        <v>3091</v>
      </c>
      <c r="D1665" s="193" t="s">
        <v>5423</v>
      </c>
    </row>
    <row r="1666">
      <c r="A1666" s="359">
        <v>46233.90094878472</v>
      </c>
      <c r="B1666" s="193"/>
      <c r="C1666" s="193" t="s">
        <v>3119</v>
      </c>
      <c r="D1666" s="193" t="s">
        <v>5422</v>
      </c>
    </row>
    <row r="1667">
      <c r="A1667" s="359">
        <v>46233.94360197917</v>
      </c>
      <c r="B1667" s="193"/>
      <c r="C1667" s="193" t="s">
        <v>3119</v>
      </c>
      <c r="D1667" s="193" t="s">
        <v>5422</v>
      </c>
    </row>
    <row r="1668">
      <c r="A1668" s="359">
        <v>46237.784688472224</v>
      </c>
      <c r="B1668" s="193"/>
      <c r="C1668" s="193" t="s">
        <v>3119</v>
      </c>
      <c r="D1668" s="193" t="s">
        <v>5394</v>
      </c>
    </row>
    <row r="1669">
      <c r="A1669" s="359">
        <v>46237.794611944446</v>
      </c>
      <c r="B1669" s="193" t="s">
        <v>3097</v>
      </c>
      <c r="C1669" s="193" t="s">
        <v>3091</v>
      </c>
      <c r="D1669" s="193" t="s">
        <v>5424</v>
      </c>
    </row>
    <row r="1670">
      <c r="A1670" s="359">
        <v>46237.79650460648</v>
      </c>
      <c r="B1670" s="193"/>
      <c r="C1670" s="193" t="s">
        <v>3119</v>
      </c>
      <c r="D1670" s="193" t="s">
        <v>4091</v>
      </c>
    </row>
    <row r="1671">
      <c r="A1671" s="359">
        <v>46237.80405420139</v>
      </c>
      <c r="B1671" s="193"/>
      <c r="C1671" s="193" t="s">
        <v>3119</v>
      </c>
      <c r="D1671" s="193" t="s">
        <v>4079</v>
      </c>
    </row>
    <row r="1672">
      <c r="A1672" s="359">
        <v>46237.806407094904</v>
      </c>
      <c r="B1672" s="193"/>
      <c r="C1672" s="193" t="s">
        <v>3119</v>
      </c>
      <c r="D1672" s="193" t="s">
        <v>4064</v>
      </c>
    </row>
    <row r="1673">
      <c r="A1673" s="359">
        <v>46237.81896916666</v>
      </c>
      <c r="B1673" s="193" t="s">
        <v>3097</v>
      </c>
      <c r="C1673" s="193" t="s">
        <v>3091</v>
      </c>
      <c r="D1673" s="193" t="s">
        <v>5427</v>
      </c>
    </row>
    <row r="1674">
      <c r="A1674" s="359">
        <v>46237.85135565972</v>
      </c>
      <c r="B1674" s="193"/>
      <c r="C1674" s="193" t="s">
        <v>3119</v>
      </c>
      <c r="D1674" s="193" t="s">
        <v>4533</v>
      </c>
    </row>
    <row r="1675">
      <c r="A1675" s="359">
        <v>46237.87916297454</v>
      </c>
      <c r="B1675" s="193"/>
      <c r="C1675" s="193" t="s">
        <v>3119</v>
      </c>
      <c r="D1675" s="193" t="s">
        <v>4533</v>
      </c>
    </row>
    <row r="1676">
      <c r="A1676" s="359">
        <v>46237.884213240744</v>
      </c>
      <c r="B1676" s="193"/>
      <c r="C1676" s="193" t="s">
        <v>3119</v>
      </c>
      <c r="D1676" s="193" t="s">
        <v>4533</v>
      </c>
    </row>
    <row r="1677">
      <c r="A1677" s="359">
        <v>46237.90591233796</v>
      </c>
      <c r="B1677" s="193" t="s">
        <v>3097</v>
      </c>
      <c r="C1677" s="193" t="s">
        <v>3091</v>
      </c>
      <c r="D1677" s="193" t="s">
        <v>5428</v>
      </c>
    </row>
    <row r="1678">
      <c r="A1678" s="359">
        <v>46237.90711693287</v>
      </c>
      <c r="B1678" s="193"/>
      <c r="C1678" s="193" t="s">
        <v>3119</v>
      </c>
      <c r="D1678" s="193" t="s">
        <v>5429</v>
      </c>
    </row>
    <row r="1679">
      <c r="A1679" s="359">
        <v>46237.91188103009</v>
      </c>
      <c r="B1679" s="193"/>
      <c r="C1679" s="193" t="s">
        <v>3119</v>
      </c>
      <c r="D1679" s="193" t="s">
        <v>5429</v>
      </c>
    </row>
    <row r="1680">
      <c r="A1680" s="359">
        <v>46237.91214180556</v>
      </c>
      <c r="B1680" s="193"/>
      <c r="C1680" s="193" t="s">
        <v>3119</v>
      </c>
      <c r="D1680" s="193" t="s">
        <v>5429</v>
      </c>
    </row>
    <row r="1681">
      <c r="A1681" s="359">
        <v>46237.936895983796</v>
      </c>
      <c r="B1681" s="193"/>
      <c r="C1681" s="193" t="s">
        <v>3119</v>
      </c>
      <c r="D1681" s="193" t="s">
        <v>4219</v>
      </c>
    </row>
    <row r="1682">
      <c r="A1682" s="359">
        <v>46237.93941905093</v>
      </c>
      <c r="B1682" s="193"/>
      <c r="C1682" s="193" t="s">
        <v>3119</v>
      </c>
      <c r="D1682" s="193" t="s">
        <v>4219</v>
      </c>
    </row>
    <row r="1683">
      <c r="A1683" s="359">
        <v>46238.67307907407</v>
      </c>
      <c r="B1683" s="193" t="s">
        <v>3097</v>
      </c>
      <c r="C1683" s="193" t="s">
        <v>3091</v>
      </c>
      <c r="D1683" s="193" t="s">
        <v>5432</v>
      </c>
    </row>
    <row r="1684">
      <c r="A1684" s="359">
        <v>46238.67312546296</v>
      </c>
      <c r="B1684" s="193" t="s">
        <v>3097</v>
      </c>
      <c r="C1684" s="193" t="s">
        <v>3091</v>
      </c>
      <c r="D1684" s="193" t="s">
        <v>5433</v>
      </c>
    </row>
    <row r="1685">
      <c r="A1685" s="359">
        <v>46238.673169131944</v>
      </c>
      <c r="B1685" s="193" t="s">
        <v>3097</v>
      </c>
      <c r="C1685" s="193" t="s">
        <v>3091</v>
      </c>
      <c r="D1685" s="193" t="s">
        <v>5434</v>
      </c>
    </row>
    <row r="1686">
      <c r="A1686" s="359">
        <v>46238.673221018515</v>
      </c>
      <c r="B1686" s="193" t="s">
        <v>3097</v>
      </c>
      <c r="C1686" s="193" t="s">
        <v>3091</v>
      </c>
      <c r="D1686" s="193" t="s">
        <v>5435</v>
      </c>
    </row>
    <row r="1687">
      <c r="A1687" s="359">
        <v>46238.673275671295</v>
      </c>
      <c r="B1687" s="193" t="s">
        <v>3097</v>
      </c>
      <c r="C1687" s="193" t="s">
        <v>3091</v>
      </c>
      <c r="D1687" s="193" t="s">
        <v>5437</v>
      </c>
    </row>
    <row r="1688">
      <c r="A1688" s="359">
        <v>46238.67789269676</v>
      </c>
      <c r="B1688" s="193" t="s">
        <v>3097</v>
      </c>
      <c r="C1688" s="193" t="s">
        <v>3418</v>
      </c>
      <c r="D1688" s="193" t="s">
        <v>5438</v>
      </c>
    </row>
    <row r="1689">
      <c r="A1689" s="359">
        <v>46238.8137436574</v>
      </c>
      <c r="B1689" s="193"/>
      <c r="C1689" s="193" t="s">
        <v>3119</v>
      </c>
      <c r="D1689" s="193" t="s">
        <v>4038</v>
      </c>
    </row>
    <row r="1690">
      <c r="A1690" s="359">
        <v>46238.81544855324</v>
      </c>
      <c r="B1690" s="193" t="s">
        <v>3097</v>
      </c>
      <c r="C1690" s="193" t="s">
        <v>3091</v>
      </c>
      <c r="D1690" s="193" t="s">
        <v>5440</v>
      </c>
    </row>
    <row r="1691">
      <c r="A1691" s="359">
        <v>46238.933507118054</v>
      </c>
      <c r="B1691" s="193" t="s">
        <v>3097</v>
      </c>
      <c r="C1691" s="193" t="s">
        <v>3091</v>
      </c>
      <c r="D1691" s="193" t="s">
        <v>5442</v>
      </c>
    </row>
    <row r="1692">
      <c r="A1692" s="359">
        <v>46238.93698267361</v>
      </c>
      <c r="B1692" s="193" t="s">
        <v>3097</v>
      </c>
      <c r="C1692" s="193" t="s">
        <v>3091</v>
      </c>
      <c r="D1692" s="193" t="s">
        <v>5443</v>
      </c>
    </row>
    <row r="1693">
      <c r="A1693" s="359">
        <v>46238.938284247684</v>
      </c>
      <c r="B1693" s="193" t="s">
        <v>3097</v>
      </c>
      <c r="C1693" s="193" t="s">
        <v>3418</v>
      </c>
      <c r="D1693" s="193" t="s">
        <v>5444</v>
      </c>
    </row>
    <row r="1694">
      <c r="A1694" s="359">
        <v>46239.909089270834</v>
      </c>
      <c r="B1694" s="193"/>
      <c r="C1694" s="193" t="s">
        <v>3119</v>
      </c>
      <c r="D1694" s="193" t="s">
        <v>4558</v>
      </c>
    </row>
    <row r="1695">
      <c r="A1695" s="359">
        <v>46240.72491871528</v>
      </c>
      <c r="B1695" s="193"/>
      <c r="C1695" s="193" t="s">
        <v>3119</v>
      </c>
      <c r="D1695" s="193" t="s">
        <v>4698</v>
      </c>
    </row>
    <row r="1696">
      <c r="A1696" s="359">
        <v>46240.72519009259</v>
      </c>
      <c r="B1696" s="193" t="s">
        <v>3097</v>
      </c>
      <c r="C1696" s="193" t="s">
        <v>3091</v>
      </c>
      <c r="D1696" s="193" t="s">
        <v>5447</v>
      </c>
    </row>
    <row r="1697">
      <c r="A1697" s="359">
        <v>46240.730437094906</v>
      </c>
      <c r="B1697" s="193"/>
      <c r="C1697" s="193" t="s">
        <v>3119</v>
      </c>
      <c r="D1697" s="193" t="s">
        <v>4031</v>
      </c>
    </row>
    <row r="1698">
      <c r="A1698" s="359">
        <v>46240.73095247685</v>
      </c>
      <c r="B1698" s="193"/>
      <c r="C1698" s="193" t="s">
        <v>3119</v>
      </c>
      <c r="D1698" s="193" t="s">
        <v>4031</v>
      </c>
    </row>
    <row r="1699">
      <c r="A1699" s="359">
        <v>46240.73219920139</v>
      </c>
      <c r="B1699" s="193" t="s">
        <v>3097</v>
      </c>
      <c r="C1699" s="193" t="s">
        <v>3091</v>
      </c>
      <c r="D1699" s="193" t="s">
        <v>5448</v>
      </c>
    </row>
    <row r="1700">
      <c r="A1700" s="359">
        <v>46240.74063752315</v>
      </c>
      <c r="B1700" s="193"/>
      <c r="C1700" s="193" t="s">
        <v>3119</v>
      </c>
      <c r="D1700" s="193" t="s">
        <v>4035</v>
      </c>
    </row>
    <row r="1701">
      <c r="A1701" s="359">
        <v>46240.80510751157</v>
      </c>
      <c r="B1701" s="193" t="s">
        <v>3097</v>
      </c>
      <c r="C1701" s="193" t="s">
        <v>3091</v>
      </c>
      <c r="D1701" s="193" t="s">
        <v>5449</v>
      </c>
    </row>
    <row r="1702">
      <c r="A1702" s="359">
        <v>46240.86380503472</v>
      </c>
      <c r="B1702" s="193"/>
      <c r="C1702" s="193" t="s">
        <v>3119</v>
      </c>
      <c r="D1702" s="193" t="s">
        <v>4114</v>
      </c>
    </row>
    <row r="1703">
      <c r="A1703" s="359">
        <v>46240.88082438658</v>
      </c>
      <c r="B1703" s="193"/>
      <c r="C1703" s="193" t="s">
        <v>3119</v>
      </c>
      <c r="D1703" s="193" t="s">
        <v>4069</v>
      </c>
    </row>
    <row r="1704">
      <c r="A1704" s="359">
        <v>46240.88086479167</v>
      </c>
      <c r="B1704" s="193"/>
      <c r="C1704" s="193" t="s">
        <v>3119</v>
      </c>
      <c r="D1704" s="193" t="s">
        <v>4069</v>
      </c>
    </row>
    <row r="1705">
      <c r="A1705" s="359">
        <v>46240.8809115162</v>
      </c>
      <c r="B1705" s="193"/>
      <c r="C1705" s="193" t="s">
        <v>3119</v>
      </c>
      <c r="D1705" s="193" t="s">
        <v>4069</v>
      </c>
    </row>
    <row r="1706">
      <c r="A1706" s="359">
        <v>46240.88141392361</v>
      </c>
      <c r="B1706" s="193" t="s">
        <v>3097</v>
      </c>
      <c r="C1706" s="193" t="s">
        <v>3091</v>
      </c>
      <c r="D1706" s="193" t="s">
        <v>5452</v>
      </c>
    </row>
    <row r="1707">
      <c r="A1707" s="359">
        <v>46240.881463541664</v>
      </c>
      <c r="B1707" s="193" t="s">
        <v>3097</v>
      </c>
      <c r="C1707" s="193" t="s">
        <v>3091</v>
      </c>
      <c r="D1707" s="193" t="s">
        <v>5453</v>
      </c>
    </row>
    <row r="1708">
      <c r="A1708" s="359">
        <v>46240.887582916665</v>
      </c>
      <c r="B1708" s="193" t="s">
        <v>3097</v>
      </c>
      <c r="C1708" s="193" t="s">
        <v>3119</v>
      </c>
      <c r="D1708" s="193" t="s">
        <v>4020</v>
      </c>
    </row>
    <row r="1709">
      <c r="A1709" s="359">
        <v>46240.88761762732</v>
      </c>
      <c r="B1709" s="193"/>
      <c r="C1709" s="193" t="s">
        <v>3119</v>
      </c>
      <c r="D1709" s="193" t="s">
        <v>4020</v>
      </c>
    </row>
    <row r="1710">
      <c r="A1710" s="359">
        <v>46240.88842020833</v>
      </c>
      <c r="B1710" s="193" t="s">
        <v>3097</v>
      </c>
      <c r="C1710" s="193" t="s">
        <v>3119</v>
      </c>
      <c r="D1710" s="193" t="s">
        <v>4020</v>
      </c>
    </row>
    <row r="1711">
      <c r="A1711" s="359">
        <v>46240.89531059028</v>
      </c>
      <c r="B1711" s="193" t="s">
        <v>3097</v>
      </c>
      <c r="C1711" s="193" t="s">
        <v>3091</v>
      </c>
      <c r="D1711" s="193" t="s">
        <v>5455</v>
      </c>
    </row>
    <row r="1712">
      <c r="A1712" s="359">
        <v>46240.9199784838</v>
      </c>
      <c r="B1712" s="193"/>
      <c r="C1712" s="193" t="s">
        <v>3119</v>
      </c>
      <c r="D1712" s="193" t="s">
        <v>4031</v>
      </c>
    </row>
    <row r="1713">
      <c r="A1713" s="359">
        <v>46240.92310071759</v>
      </c>
      <c r="B1713" s="193" t="s">
        <v>3097</v>
      </c>
      <c r="C1713" s="193" t="s">
        <v>3091</v>
      </c>
      <c r="D1713" s="193" t="s">
        <v>5457</v>
      </c>
    </row>
    <row r="1714">
      <c r="A1714" s="359">
        <v>46241.90709652778</v>
      </c>
      <c r="B1714" s="193" t="s">
        <v>3097</v>
      </c>
      <c r="C1714" s="193" t="s">
        <v>3418</v>
      </c>
      <c r="D1714" s="193" t="s">
        <v>5458</v>
      </c>
    </row>
    <row r="1715">
      <c r="A1715" s="359">
        <v>46241.90715677083</v>
      </c>
      <c r="B1715" s="193" t="s">
        <v>3097</v>
      </c>
      <c r="C1715" s="193" t="s">
        <v>3418</v>
      </c>
      <c r="D1715" s="193" t="s">
        <v>5459</v>
      </c>
    </row>
    <row r="1716">
      <c r="A1716" s="359">
        <v>46241.90922943287</v>
      </c>
      <c r="B1716" s="193" t="s">
        <v>3097</v>
      </c>
      <c r="C1716" s="193" t="s">
        <v>3091</v>
      </c>
      <c r="D1716" s="193" t="s">
        <v>5461</v>
      </c>
    </row>
    <row r="1717">
      <c r="A1717" s="359">
        <v>46241.909298796294</v>
      </c>
      <c r="B1717" s="193" t="s">
        <v>3097</v>
      </c>
      <c r="C1717" s="193" t="s">
        <v>3091</v>
      </c>
      <c r="D1717" s="193" t="s">
        <v>5464</v>
      </c>
    </row>
    <row r="1718">
      <c r="A1718" s="359">
        <v>46241.93006106481</v>
      </c>
      <c r="B1718" s="193" t="s">
        <v>3097</v>
      </c>
      <c r="C1718" s="193" t="s">
        <v>3091</v>
      </c>
      <c r="D1718" s="193" t="s">
        <v>5465</v>
      </c>
    </row>
    <row r="1719">
      <c r="A1719" s="359">
        <v>46244.712015578705</v>
      </c>
      <c r="B1719" s="193"/>
      <c r="C1719" s="193" t="s">
        <v>3119</v>
      </c>
      <c r="D1719" s="193" t="s">
        <v>4102</v>
      </c>
    </row>
    <row r="1720">
      <c r="A1720" s="359">
        <v>46244.75991940973</v>
      </c>
      <c r="B1720" s="193" t="s">
        <v>3097</v>
      </c>
      <c r="C1720" s="193" t="s">
        <v>3091</v>
      </c>
      <c r="D1720" s="193" t="s">
        <v>5466</v>
      </c>
    </row>
    <row r="1721">
      <c r="A1721" s="359">
        <v>46244.774865810185</v>
      </c>
      <c r="B1721" s="193"/>
      <c r="C1721" s="193" t="s">
        <v>3119</v>
      </c>
      <c r="D1721" s="193" t="s">
        <v>3940</v>
      </c>
    </row>
    <row r="1722">
      <c r="A1722" s="359">
        <v>46244.77487947917</v>
      </c>
      <c r="B1722" s="193"/>
      <c r="C1722" s="193" t="s">
        <v>3119</v>
      </c>
      <c r="D1722" s="193" t="s">
        <v>3940</v>
      </c>
    </row>
    <row r="1723">
      <c r="A1723" s="359">
        <v>46244.77523717593</v>
      </c>
      <c r="B1723" s="193"/>
      <c r="C1723" s="193" t="s">
        <v>3119</v>
      </c>
      <c r="D1723" s="193" t="s">
        <v>3940</v>
      </c>
    </row>
    <row r="1724">
      <c r="A1724" s="359">
        <v>46244.77726527778</v>
      </c>
      <c r="B1724" s="193" t="s">
        <v>3097</v>
      </c>
      <c r="C1724" s="193" t="s">
        <v>3091</v>
      </c>
      <c r="D1724" s="193" t="s">
        <v>5371</v>
      </c>
    </row>
    <row r="1725">
      <c r="A1725" s="359">
        <v>46244.88168111111</v>
      </c>
      <c r="B1725" s="193" t="s">
        <v>3097</v>
      </c>
      <c r="C1725" s="193" t="s">
        <v>3091</v>
      </c>
      <c r="D1725" s="193" t="s">
        <v>5468</v>
      </c>
    </row>
    <row r="1726">
      <c r="A1726" s="359">
        <v>46245.73577609954</v>
      </c>
      <c r="B1726" s="193"/>
      <c r="C1726" s="193" t="s">
        <v>3119</v>
      </c>
      <c r="D1726" s="193" t="s">
        <v>4102</v>
      </c>
    </row>
    <row r="1727">
      <c r="A1727" s="359">
        <v>46245.888386493054</v>
      </c>
      <c r="B1727" s="193" t="s">
        <v>3097</v>
      </c>
      <c r="C1727" s="193" t="s">
        <v>3091</v>
      </c>
      <c r="D1727" s="193" t="s">
        <v>5469</v>
      </c>
    </row>
    <row r="1728">
      <c r="A1728" s="359">
        <v>46245.891563067125</v>
      </c>
      <c r="B1728" s="193"/>
      <c r="C1728" s="193" t="s">
        <v>3119</v>
      </c>
      <c r="D1728" s="193" t="s">
        <v>4069</v>
      </c>
    </row>
    <row r="1729">
      <c r="A1729" s="359">
        <v>46245.95203460648</v>
      </c>
      <c r="B1729" s="193"/>
      <c r="C1729" s="193" t="s">
        <v>3119</v>
      </c>
      <c r="D1729" s="193" t="s">
        <v>4059</v>
      </c>
    </row>
    <row r="1730">
      <c r="A1730" s="359">
        <v>46246.87303920139</v>
      </c>
      <c r="B1730" s="193"/>
      <c r="C1730" s="193" t="s">
        <v>3119</v>
      </c>
      <c r="D1730" s="193" t="s">
        <v>4112</v>
      </c>
    </row>
    <row r="1731">
      <c r="A1731" s="359">
        <v>46246.89528768518</v>
      </c>
      <c r="B1731" s="193"/>
      <c r="C1731" s="193" t="s">
        <v>3119</v>
      </c>
      <c r="D1731" s="193" t="s">
        <v>4112</v>
      </c>
    </row>
    <row r="1732">
      <c r="A1732" s="359">
        <v>46246.89751945602</v>
      </c>
      <c r="B1732" s="193"/>
      <c r="C1732" s="193" t="s">
        <v>3119</v>
      </c>
      <c r="D1732" s="193" t="s">
        <v>4154</v>
      </c>
    </row>
    <row r="1733">
      <c r="A1733" s="359">
        <v>46246.903224027774</v>
      </c>
      <c r="B1733" s="193"/>
      <c r="C1733" s="193" t="s">
        <v>3119</v>
      </c>
      <c r="D1733" s="193" t="s">
        <v>4035</v>
      </c>
    </row>
    <row r="1734">
      <c r="A1734" s="359">
        <v>46247.84707225695</v>
      </c>
      <c r="B1734" s="193"/>
      <c r="C1734" s="193" t="s">
        <v>3119</v>
      </c>
      <c r="D1734" s="193" t="s">
        <v>4038</v>
      </c>
    </row>
    <row r="1735">
      <c r="A1735" s="359">
        <v>46247.8500665625</v>
      </c>
      <c r="B1735" s="193"/>
      <c r="C1735" s="193" t="s">
        <v>3119</v>
      </c>
      <c r="D1735" s="193" t="s">
        <v>4038</v>
      </c>
    </row>
    <row r="1736">
      <c r="A1736" s="359">
        <v>46247.852803738424</v>
      </c>
      <c r="B1736" s="193"/>
      <c r="C1736" s="193" t="s">
        <v>3119</v>
      </c>
      <c r="D1736" s="193" t="s">
        <v>4038</v>
      </c>
    </row>
    <row r="1737">
      <c r="A1737" s="359">
        <v>46247.86982741898</v>
      </c>
      <c r="B1737" s="193"/>
      <c r="C1737" s="193" t="s">
        <v>3119</v>
      </c>
      <c r="D1737" s="193" t="s">
        <v>4038</v>
      </c>
    </row>
    <row r="1738">
      <c r="A1738" s="359">
        <v>46247.92884228009</v>
      </c>
      <c r="B1738" s="193"/>
      <c r="C1738" s="193" t="s">
        <v>3119</v>
      </c>
      <c r="D1738" s="193" t="s">
        <v>4112</v>
      </c>
    </row>
    <row r="1739">
      <c r="A1739" s="359">
        <v>46247.93630666667</v>
      </c>
      <c r="B1739" s="193"/>
      <c r="C1739" s="193" t="s">
        <v>3119</v>
      </c>
      <c r="D1739" s="193" t="s">
        <v>4112</v>
      </c>
    </row>
    <row r="1740">
      <c r="A1740" s="359">
        <v>46248.74602189814</v>
      </c>
      <c r="B1740" s="193" t="s">
        <v>3097</v>
      </c>
      <c r="C1740" s="193" t="s">
        <v>3119</v>
      </c>
      <c r="D1740" s="193" t="s">
        <v>4523</v>
      </c>
    </row>
    <row r="1741">
      <c r="A1741" s="359">
        <v>46248.748630636575</v>
      </c>
      <c r="B1741" s="193" t="s">
        <v>3097</v>
      </c>
      <c r="C1741" s="193" t="s">
        <v>3119</v>
      </c>
      <c r="D1741" s="193" t="s">
        <v>4306</v>
      </c>
    </row>
    <row r="1742">
      <c r="A1742" s="359">
        <v>46248.74874871528</v>
      </c>
      <c r="B1742" s="193" t="s">
        <v>3097</v>
      </c>
      <c r="C1742" s="193" t="s">
        <v>3119</v>
      </c>
      <c r="D1742" s="193" t="s">
        <v>5473</v>
      </c>
    </row>
    <row r="1743">
      <c r="A1743" s="359">
        <v>46248.74955878472</v>
      </c>
      <c r="B1743" s="193" t="s">
        <v>3097</v>
      </c>
      <c r="C1743" s="193" t="s">
        <v>3119</v>
      </c>
      <c r="D1743" s="193" t="s">
        <v>4795</v>
      </c>
    </row>
    <row r="1744">
      <c r="A1744" s="359">
        <v>46248.79715784722</v>
      </c>
      <c r="B1744" s="193"/>
      <c r="C1744" s="193" t="s">
        <v>3119</v>
      </c>
      <c r="D1744" s="193" t="s">
        <v>4059</v>
      </c>
    </row>
    <row r="1745">
      <c r="A1745" s="359">
        <v>46248.79729495371</v>
      </c>
      <c r="B1745" s="193"/>
      <c r="C1745" s="193" t="s">
        <v>3119</v>
      </c>
      <c r="D1745" s="193" t="s">
        <v>4035</v>
      </c>
    </row>
    <row r="1746">
      <c r="A1746" s="359">
        <v>46248.83980538194</v>
      </c>
      <c r="B1746" s="193" t="s">
        <v>3097</v>
      </c>
      <c r="C1746" s="193" t="s">
        <v>3091</v>
      </c>
      <c r="D1746" s="193" t="s">
        <v>5474</v>
      </c>
    </row>
    <row r="1747">
      <c r="A1747" s="359">
        <v>46248.890912476854</v>
      </c>
      <c r="B1747" s="193"/>
      <c r="C1747" s="193" t="s">
        <v>3119</v>
      </c>
      <c r="D1747" s="193" t="s">
        <v>4059</v>
      </c>
    </row>
    <row r="1748">
      <c r="A1748" s="359">
        <v>46248.90243716435</v>
      </c>
      <c r="B1748" s="193"/>
      <c r="C1748" s="193" t="s">
        <v>3119</v>
      </c>
      <c r="D1748" s="193" t="s">
        <v>4112</v>
      </c>
    </row>
    <row r="1749">
      <c r="A1749" s="359">
        <v>46251.71593119213</v>
      </c>
      <c r="B1749" s="193"/>
      <c r="C1749" s="193" t="s">
        <v>3119</v>
      </c>
      <c r="D1749" s="193" t="s">
        <v>4536</v>
      </c>
    </row>
    <row r="1750">
      <c r="A1750" s="359">
        <v>46251.719431550926</v>
      </c>
      <c r="B1750" s="193"/>
      <c r="C1750" s="193" t="s">
        <v>3119</v>
      </c>
      <c r="D1750" s="193" t="s">
        <v>4281</v>
      </c>
    </row>
    <row r="1751">
      <c r="A1751" s="359">
        <v>46251.74253230324</v>
      </c>
      <c r="B1751" s="193" t="s">
        <v>3097</v>
      </c>
      <c r="C1751" s="193" t="s">
        <v>3091</v>
      </c>
      <c r="D1751" s="193" t="s">
        <v>5476</v>
      </c>
    </row>
    <row r="1752">
      <c r="A1752" s="359">
        <v>46251.744833703706</v>
      </c>
      <c r="B1752" s="193"/>
      <c r="C1752" s="193" t="s">
        <v>3119</v>
      </c>
      <c r="D1752" s="193" t="s">
        <v>4677</v>
      </c>
    </row>
    <row r="1753">
      <c r="A1753" s="359">
        <v>46251.81569451389</v>
      </c>
      <c r="B1753" s="193"/>
      <c r="C1753" s="193" t="s">
        <v>3119</v>
      </c>
      <c r="D1753" s="193" t="s">
        <v>4112</v>
      </c>
    </row>
    <row r="1754">
      <c r="A1754" s="359">
        <v>46251.81616078704</v>
      </c>
      <c r="B1754" s="193"/>
      <c r="C1754" s="193" t="s">
        <v>3119</v>
      </c>
      <c r="D1754" s="193" t="s">
        <v>4112</v>
      </c>
    </row>
    <row r="1755">
      <c r="A1755" s="359">
        <v>46251.85023768518</v>
      </c>
      <c r="B1755" s="193" t="s">
        <v>3097</v>
      </c>
      <c r="C1755" s="193" t="s">
        <v>3091</v>
      </c>
      <c r="D1755" s="193" t="s">
        <v>5478</v>
      </c>
    </row>
    <row r="1756">
      <c r="A1756" s="359">
        <v>46251.88369270833</v>
      </c>
      <c r="B1756" s="193"/>
      <c r="C1756" s="193" t="s">
        <v>3119</v>
      </c>
      <c r="D1756" s="193" t="s">
        <v>5429</v>
      </c>
    </row>
    <row r="1757">
      <c r="A1757" s="359">
        <v>46251.884290358794</v>
      </c>
      <c r="B1757" s="193"/>
      <c r="C1757" s="193" t="s">
        <v>3119</v>
      </c>
      <c r="D1757" s="193" t="s">
        <v>4161</v>
      </c>
    </row>
    <row r="1758">
      <c r="A1758" s="359">
        <v>46251.9057259375</v>
      </c>
      <c r="B1758" s="193" t="s">
        <v>3097</v>
      </c>
      <c r="C1758" s="193" t="s">
        <v>3091</v>
      </c>
      <c r="D1758" s="193" t="s">
        <v>5480</v>
      </c>
    </row>
    <row r="1759">
      <c r="A1759" s="359">
        <v>46251.9057787037</v>
      </c>
      <c r="B1759" s="193" t="s">
        <v>3097</v>
      </c>
      <c r="C1759" s="193" t="s">
        <v>3091</v>
      </c>
      <c r="D1759" s="193" t="s">
        <v>5481</v>
      </c>
    </row>
    <row r="1760">
      <c r="A1760" s="359">
        <v>46251.92657350695</v>
      </c>
      <c r="B1760" s="193" t="s">
        <v>3097</v>
      </c>
      <c r="C1760" s="193" t="s">
        <v>3091</v>
      </c>
      <c r="D1760" s="193" t="s">
        <v>5482</v>
      </c>
    </row>
    <row r="1761">
      <c r="A1761" s="359">
        <v>46251.927905543984</v>
      </c>
      <c r="B1761" s="193" t="s">
        <v>3097</v>
      </c>
      <c r="C1761" s="193" t="s">
        <v>3418</v>
      </c>
      <c r="D1761" s="193" t="s">
        <v>5483</v>
      </c>
    </row>
    <row r="1762">
      <c r="A1762" s="359">
        <v>46252.760825000005</v>
      </c>
      <c r="B1762" s="193"/>
      <c r="C1762" s="193" t="s">
        <v>3119</v>
      </c>
      <c r="D1762" s="193" t="s">
        <v>4565</v>
      </c>
    </row>
    <row r="1763">
      <c r="A1763" s="359">
        <v>46252.88459030092</v>
      </c>
      <c r="B1763" s="193"/>
      <c r="C1763" s="193" t="s">
        <v>3119</v>
      </c>
      <c r="D1763" s="193" t="s">
        <v>4158</v>
      </c>
    </row>
    <row r="1764">
      <c r="A1764" s="359">
        <v>46252.88497532408</v>
      </c>
      <c r="B1764" s="193" t="s">
        <v>3097</v>
      </c>
      <c r="C1764" s="193" t="s">
        <v>3091</v>
      </c>
      <c r="D1764" s="193" t="s">
        <v>5224</v>
      </c>
    </row>
    <row r="1765">
      <c r="A1765" s="359">
        <v>46252.9111359838</v>
      </c>
      <c r="B1765" s="193"/>
      <c r="C1765" s="193" t="s">
        <v>3119</v>
      </c>
      <c r="D1765" s="193" t="s">
        <v>4069</v>
      </c>
    </row>
    <row r="1766">
      <c r="A1766" s="359">
        <v>46252.91271493056</v>
      </c>
      <c r="B1766" s="193" t="s">
        <v>3097</v>
      </c>
      <c r="C1766" s="193" t="s">
        <v>3091</v>
      </c>
      <c r="D1766" s="193" t="s">
        <v>5484</v>
      </c>
    </row>
    <row r="1767">
      <c r="A1767" s="359">
        <v>46252.91360208333</v>
      </c>
      <c r="B1767" s="193"/>
      <c r="C1767" s="193" t="s">
        <v>3119</v>
      </c>
      <c r="D1767" s="193" t="s">
        <v>4038</v>
      </c>
    </row>
    <row r="1768">
      <c r="A1768" s="359">
        <v>46253.781755358796</v>
      </c>
      <c r="B1768" s="193"/>
      <c r="C1768" s="193" t="s">
        <v>3119</v>
      </c>
      <c r="D1768" s="193" t="s">
        <v>4536</v>
      </c>
    </row>
    <row r="1769">
      <c r="A1769" s="359">
        <v>46253.7820566088</v>
      </c>
      <c r="B1769" s="193" t="s">
        <v>3097</v>
      </c>
      <c r="C1769" s="193" t="s">
        <v>3418</v>
      </c>
      <c r="D1769" s="193" t="s">
        <v>5485</v>
      </c>
    </row>
    <row r="1770">
      <c r="A1770" s="359">
        <v>46253.89071571759</v>
      </c>
      <c r="B1770" s="193"/>
      <c r="C1770" s="193" t="s">
        <v>3119</v>
      </c>
      <c r="D1770" s="193" t="s">
        <v>4536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3" t="str">
        <f t="array" ref="A1:S27">'New Meetings'!A:AA</f>
        <v>SUB</v>
      </c>
      <c r="B1" s="363" t="s">
        <v>1</v>
      </c>
      <c r="C1" s="363" t="s">
        <v>2</v>
      </c>
      <c r="D1" s="363" t="s">
        <v>3</v>
      </c>
      <c r="E1" s="363" t="s">
        <v>4</v>
      </c>
      <c r="F1" s="363" t="s">
        <v>5</v>
      </c>
      <c r="G1" s="364" t="s">
        <v>6</v>
      </c>
      <c r="H1" s="363" t="s">
        <v>7</v>
      </c>
      <c r="I1" s="363" t="s">
        <v>8</v>
      </c>
      <c r="J1" s="363" t="s">
        <v>9</v>
      </c>
      <c r="K1" s="363" t="s">
        <v>10</v>
      </c>
      <c r="L1" s="365" t="s">
        <v>11</v>
      </c>
      <c r="M1" s="363" t="s">
        <v>12</v>
      </c>
      <c r="N1" s="363" t="s">
        <v>13</v>
      </c>
      <c r="O1" s="363" t="s">
        <v>14</v>
      </c>
      <c r="P1" s="363" t="s">
        <v>15</v>
      </c>
      <c r="Q1" s="363" t="s">
        <v>16</v>
      </c>
      <c r="R1" s="363"/>
      <c r="S1" s="363"/>
    </row>
    <row r="2">
      <c r="A2" s="363" t="s">
        <v>18</v>
      </c>
      <c r="B2" s="363" t="s">
        <v>25</v>
      </c>
      <c r="C2" s="363"/>
      <c r="D2" s="366">
        <v>46197.0</v>
      </c>
      <c r="E2" s="363" t="s">
        <v>33</v>
      </c>
      <c r="F2" s="363" t="s">
        <v>35</v>
      </c>
      <c r="G2" s="363" t="s">
        <v>36</v>
      </c>
      <c r="H2" s="363" t="s">
        <v>40</v>
      </c>
      <c r="I2" s="363" t="s">
        <v>42</v>
      </c>
      <c r="J2" s="363" t="s">
        <v>48</v>
      </c>
      <c r="K2" s="363"/>
      <c r="L2" s="363"/>
      <c r="M2" s="363"/>
      <c r="N2" s="363"/>
      <c r="O2" s="363"/>
      <c r="P2" s="363"/>
      <c r="Q2" s="363">
        <v>1.366915209E9</v>
      </c>
      <c r="R2" s="363"/>
      <c r="S2" s="363"/>
    </row>
    <row r="3">
      <c r="A3" s="363" t="s">
        <v>62</v>
      </c>
      <c r="B3" s="363" t="s">
        <v>53</v>
      </c>
      <c r="C3" s="363" t="s">
        <v>24</v>
      </c>
      <c r="D3" s="368">
        <v>46092.0</v>
      </c>
      <c r="E3" s="363" t="s">
        <v>65</v>
      </c>
      <c r="F3" s="363" t="s">
        <v>66</v>
      </c>
      <c r="G3" s="363" t="s">
        <v>67</v>
      </c>
      <c r="H3" s="363" t="s">
        <v>68</v>
      </c>
      <c r="I3" s="363" t="s">
        <v>69</v>
      </c>
      <c r="J3" s="363" t="s">
        <v>72</v>
      </c>
      <c r="K3" s="363" t="s">
        <v>76</v>
      </c>
      <c r="L3" s="363"/>
      <c r="M3" s="369">
        <v>46223.76303456019</v>
      </c>
      <c r="N3" s="363"/>
      <c r="O3" s="363" t="b">
        <v>0</v>
      </c>
      <c r="P3" s="370"/>
      <c r="Q3" s="363">
        <v>1.174419758E9</v>
      </c>
      <c r="R3" s="370"/>
      <c r="S3" s="370"/>
    </row>
    <row r="4">
      <c r="A4" s="363" t="s">
        <v>17</v>
      </c>
      <c r="B4" s="363" t="s">
        <v>23</v>
      </c>
      <c r="C4" s="363"/>
      <c r="D4" s="368">
        <v>46231.0</v>
      </c>
      <c r="E4" s="363" t="s">
        <v>98</v>
      </c>
      <c r="F4" s="363" t="s">
        <v>104</v>
      </c>
      <c r="G4" s="363" t="s">
        <v>107</v>
      </c>
      <c r="H4" s="363" t="s">
        <v>109</v>
      </c>
      <c r="I4" s="371" t="s">
        <v>548</v>
      </c>
      <c r="J4" s="363" t="s">
        <v>129</v>
      </c>
      <c r="K4" s="363"/>
      <c r="L4" s="365"/>
      <c r="M4" s="369"/>
      <c r="N4" s="363"/>
      <c r="O4" s="363"/>
      <c r="P4" s="370"/>
      <c r="Q4" s="363">
        <v>1.629722889E9</v>
      </c>
      <c r="R4" s="363"/>
      <c r="S4" s="363"/>
    </row>
    <row r="5">
      <c r="A5" s="363" t="s">
        <v>155</v>
      </c>
      <c r="B5" s="363" t="s">
        <v>53</v>
      </c>
      <c r="C5" s="363"/>
      <c r="D5" s="366">
        <v>46233.0</v>
      </c>
      <c r="E5" s="363" t="s">
        <v>159</v>
      </c>
      <c r="F5" s="363" t="s">
        <v>160</v>
      </c>
      <c r="G5" s="363" t="s">
        <v>161</v>
      </c>
      <c r="H5" s="363" t="s">
        <v>162</v>
      </c>
      <c r="I5" s="371" t="s">
        <v>359</v>
      </c>
      <c r="J5" s="363" t="s">
        <v>175</v>
      </c>
      <c r="K5" s="363" t="s">
        <v>177</v>
      </c>
      <c r="L5" s="363"/>
      <c r="M5" s="368">
        <v>46240.740636076385</v>
      </c>
      <c r="N5" s="363"/>
      <c r="O5" s="363"/>
      <c r="P5" s="363"/>
      <c r="Q5" s="363">
        <v>1.265365829E9</v>
      </c>
      <c r="R5" s="363"/>
      <c r="S5" s="363"/>
    </row>
    <row r="6">
      <c r="A6" s="363" t="s">
        <v>155</v>
      </c>
      <c r="B6" s="363" t="s">
        <v>23</v>
      </c>
      <c r="C6" s="363"/>
      <c r="D6" s="366">
        <v>46239.0</v>
      </c>
      <c r="E6" s="363" t="s">
        <v>192</v>
      </c>
      <c r="F6" s="363" t="s">
        <v>194</v>
      </c>
      <c r="G6" s="363" t="s">
        <v>196</v>
      </c>
      <c r="H6" s="371" t="s">
        <v>197</v>
      </c>
      <c r="I6" s="371" t="s">
        <v>2133</v>
      </c>
      <c r="J6" s="363" t="s">
        <v>219</v>
      </c>
      <c r="K6" s="363" t="s">
        <v>220</v>
      </c>
      <c r="L6" s="363"/>
      <c r="M6" s="368">
        <v>46248.79729387732</v>
      </c>
      <c r="N6" s="363"/>
      <c r="O6" s="363"/>
      <c r="P6" s="363"/>
      <c r="Q6" s="363">
        <v>1.033037254E9</v>
      </c>
      <c r="R6" s="363"/>
      <c r="S6" s="363"/>
    </row>
    <row r="7">
      <c r="A7" s="363" t="s">
        <v>224</v>
      </c>
      <c r="B7" s="363" t="s">
        <v>225</v>
      </c>
      <c r="C7" s="363"/>
      <c r="D7" s="379">
        <v>46241.0</v>
      </c>
      <c r="E7" s="363" t="s">
        <v>232</v>
      </c>
      <c r="F7" s="363" t="s">
        <v>234</v>
      </c>
      <c r="G7" s="363" t="s">
        <v>236</v>
      </c>
      <c r="H7" s="363" t="s">
        <v>239</v>
      </c>
      <c r="I7" s="363" t="s">
        <v>240</v>
      </c>
      <c r="J7" s="363" t="s">
        <v>244</v>
      </c>
      <c r="K7" s="363"/>
      <c r="L7" s="363"/>
      <c r="M7" s="363"/>
      <c r="N7" s="363"/>
      <c r="O7" s="363"/>
      <c r="P7" s="363"/>
      <c r="Q7" s="363"/>
      <c r="R7" s="363"/>
      <c r="S7" s="363"/>
    </row>
    <row r="8">
      <c r="A8" s="363" t="s">
        <v>18</v>
      </c>
      <c r="B8" s="363" t="s">
        <v>251</v>
      </c>
      <c r="C8" s="363"/>
      <c r="D8" s="366">
        <v>46241.0</v>
      </c>
      <c r="E8" s="363" t="s">
        <v>256</v>
      </c>
      <c r="F8" s="363" t="s">
        <v>259</v>
      </c>
      <c r="G8" s="363" t="s">
        <v>260</v>
      </c>
      <c r="H8" s="363" t="s">
        <v>262</v>
      </c>
      <c r="I8" s="363" t="s">
        <v>268</v>
      </c>
      <c r="J8" s="363" t="s">
        <v>278</v>
      </c>
      <c r="K8" s="363"/>
      <c r="L8" s="363"/>
      <c r="M8" s="363"/>
      <c r="N8" s="363"/>
      <c r="O8" s="363"/>
      <c r="P8" s="363"/>
      <c r="Q8" s="363">
        <v>1.093732513E9</v>
      </c>
      <c r="R8" s="363"/>
      <c r="S8" s="363"/>
    </row>
    <row r="9">
      <c r="A9" s="363" t="s">
        <v>155</v>
      </c>
      <c r="B9" s="363" t="s">
        <v>53</v>
      </c>
      <c r="C9" s="363"/>
      <c r="D9" s="366">
        <v>46244.0</v>
      </c>
      <c r="E9" s="363" t="s">
        <v>289</v>
      </c>
      <c r="F9" s="363" t="s">
        <v>291</v>
      </c>
      <c r="G9" s="363" t="s">
        <v>293</v>
      </c>
      <c r="H9" s="363" t="s">
        <v>294</v>
      </c>
      <c r="I9" s="371" t="s">
        <v>1059</v>
      </c>
      <c r="J9" s="363" t="s">
        <v>306</v>
      </c>
      <c r="K9" s="363" t="s">
        <v>308</v>
      </c>
      <c r="L9" s="363"/>
      <c r="M9" s="368">
        <v>46253.89071010417</v>
      </c>
      <c r="N9" s="363"/>
      <c r="O9" s="363"/>
      <c r="P9" s="363"/>
      <c r="Q9" s="363">
        <v>1.023439809E9</v>
      </c>
      <c r="R9" s="363"/>
      <c r="S9" s="363"/>
    </row>
    <row r="10">
      <c r="A10" s="363" t="s">
        <v>155</v>
      </c>
      <c r="B10" s="363" t="s">
        <v>225</v>
      </c>
      <c r="C10" s="363"/>
      <c r="D10" s="379">
        <v>46245.0</v>
      </c>
      <c r="E10" s="363" t="s">
        <v>322</v>
      </c>
      <c r="F10" s="363" t="s">
        <v>324</v>
      </c>
      <c r="G10" s="363" t="s">
        <v>327</v>
      </c>
      <c r="H10" s="363" t="s">
        <v>330</v>
      </c>
      <c r="I10" s="363" t="s">
        <v>240</v>
      </c>
      <c r="J10" s="363" t="s">
        <v>335</v>
      </c>
      <c r="K10" s="363"/>
      <c r="L10" s="363"/>
      <c r="M10" s="363"/>
      <c r="N10" s="363"/>
      <c r="O10" s="363"/>
      <c r="P10" s="363"/>
      <c r="Q10" s="363">
        <v>1.326972274E9</v>
      </c>
      <c r="R10" s="363"/>
      <c r="S10" s="363"/>
    </row>
    <row r="11">
      <c r="A11" s="363" t="s">
        <v>22</v>
      </c>
      <c r="B11" s="363" t="s">
        <v>23</v>
      </c>
      <c r="C11" s="363"/>
      <c r="D11" s="366">
        <v>46247.0</v>
      </c>
      <c r="E11" s="363" t="s">
        <v>351</v>
      </c>
      <c r="F11" s="363" t="s">
        <v>352</v>
      </c>
      <c r="G11" s="363" t="s">
        <v>353</v>
      </c>
      <c r="H11" s="363" t="s">
        <v>354</v>
      </c>
      <c r="I11" s="371" t="s">
        <v>918</v>
      </c>
      <c r="J11" s="363" t="s">
        <v>378</v>
      </c>
      <c r="K11" s="363"/>
      <c r="L11" s="363"/>
      <c r="M11" s="363"/>
      <c r="N11" s="363"/>
      <c r="O11" s="363"/>
      <c r="P11" s="363"/>
      <c r="Q11" s="363">
        <v>1.92280633E9</v>
      </c>
      <c r="R11" s="363"/>
      <c r="S11" s="363"/>
    </row>
    <row r="12">
      <c r="A12" s="363" t="s">
        <v>155</v>
      </c>
      <c r="B12" s="363" t="s">
        <v>251</v>
      </c>
      <c r="C12" s="363"/>
      <c r="D12" s="366">
        <v>46248.0</v>
      </c>
      <c r="E12" s="363" t="s">
        <v>403</v>
      </c>
      <c r="F12" s="363" t="s">
        <v>404</v>
      </c>
      <c r="G12" s="363" t="s">
        <v>407</v>
      </c>
      <c r="H12" s="363" t="s">
        <v>408</v>
      </c>
      <c r="I12" s="363" t="s">
        <v>409</v>
      </c>
      <c r="J12" s="363" t="s">
        <v>413</v>
      </c>
      <c r="K12" s="363"/>
      <c r="L12" s="363"/>
      <c r="M12" s="363"/>
      <c r="N12" s="363"/>
      <c r="O12" s="363"/>
      <c r="P12" s="363"/>
      <c r="Q12" s="363">
        <v>1.09335147E9</v>
      </c>
      <c r="R12" s="363"/>
      <c r="S12" s="363"/>
    </row>
    <row r="13">
      <c r="A13" s="363" t="s">
        <v>22</v>
      </c>
      <c r="B13" s="363" t="s">
        <v>23</v>
      </c>
      <c r="C13" s="363"/>
      <c r="D13" s="366">
        <v>46251.0</v>
      </c>
      <c r="E13" s="363" t="s">
        <v>430</v>
      </c>
      <c r="F13" s="363" t="s">
        <v>431</v>
      </c>
      <c r="G13" s="363" t="s">
        <v>432</v>
      </c>
      <c r="H13" s="363" t="s">
        <v>434</v>
      </c>
      <c r="I13" s="371" t="s">
        <v>290</v>
      </c>
      <c r="J13" s="363" t="s">
        <v>448</v>
      </c>
      <c r="K13" s="363"/>
      <c r="L13" s="363"/>
      <c r="M13" s="363"/>
      <c r="N13" s="363"/>
      <c r="O13" s="363"/>
      <c r="P13" s="363"/>
      <c r="Q13" s="363">
        <v>1.18455475E9</v>
      </c>
      <c r="R13" s="363"/>
      <c r="S13" s="363"/>
    </row>
    <row r="14">
      <c r="A14" s="363" t="s">
        <v>155</v>
      </c>
      <c r="B14" s="363" t="s">
        <v>251</v>
      </c>
      <c r="C14" s="363"/>
      <c r="D14" s="366">
        <v>46251.0</v>
      </c>
      <c r="E14" s="363" t="s">
        <v>456</v>
      </c>
      <c r="F14" s="363" t="s">
        <v>458</v>
      </c>
      <c r="G14" s="363" t="s">
        <v>460</v>
      </c>
      <c r="H14" s="363" t="s">
        <v>462</v>
      </c>
      <c r="I14" s="363" t="s">
        <v>466</v>
      </c>
      <c r="J14" s="363" t="s">
        <v>469</v>
      </c>
      <c r="K14" s="363"/>
      <c r="L14" s="363"/>
      <c r="M14" s="363"/>
      <c r="N14" s="363"/>
      <c r="O14" s="363"/>
      <c r="P14" s="363"/>
      <c r="Q14" s="363">
        <v>1.174278238E9</v>
      </c>
      <c r="R14" s="363"/>
      <c r="S14" s="363"/>
    </row>
    <row r="15">
      <c r="A15" s="363" t="s">
        <v>22</v>
      </c>
      <c r="B15" s="363" t="s">
        <v>53</v>
      </c>
      <c r="C15" s="363"/>
      <c r="D15" s="366">
        <v>46251.0</v>
      </c>
      <c r="E15" s="363" t="s">
        <v>482</v>
      </c>
      <c r="F15" s="363" t="s">
        <v>485</v>
      </c>
      <c r="G15" s="363" t="s">
        <v>489</v>
      </c>
      <c r="H15" s="363" t="s">
        <v>492</v>
      </c>
      <c r="I15" s="371" t="s">
        <v>1831</v>
      </c>
      <c r="J15" s="363" t="s">
        <v>520</v>
      </c>
      <c r="K15" s="363"/>
      <c r="L15" s="363"/>
      <c r="M15" s="363"/>
      <c r="N15" s="363"/>
      <c r="O15" s="363"/>
      <c r="P15" s="363"/>
      <c r="Q15" s="363">
        <v>1.831055482E9</v>
      </c>
      <c r="R15" s="363"/>
      <c r="S15" s="363"/>
    </row>
    <row r="16">
      <c r="A16" s="363" t="s">
        <v>155</v>
      </c>
      <c r="B16" s="363" t="s">
        <v>225</v>
      </c>
      <c r="C16" s="363"/>
      <c r="D16" s="366">
        <v>46252.0</v>
      </c>
      <c r="E16" s="363" t="s">
        <v>532</v>
      </c>
      <c r="F16" s="363" t="s">
        <v>537</v>
      </c>
      <c r="G16" s="363" t="s">
        <v>542</v>
      </c>
      <c r="H16" s="363" t="s">
        <v>545</v>
      </c>
      <c r="I16" s="363" t="s">
        <v>548</v>
      </c>
      <c r="J16" s="363" t="s">
        <v>551</v>
      </c>
      <c r="K16" s="363"/>
      <c r="L16" s="363"/>
      <c r="M16" s="363"/>
      <c r="N16" s="363"/>
      <c r="O16" s="363"/>
      <c r="P16" s="363"/>
      <c r="Q16" s="363">
        <v>1.073367389E9</v>
      </c>
      <c r="R16" s="363"/>
      <c r="S16" s="363"/>
    </row>
    <row r="17">
      <c r="A17" s="363" t="s">
        <v>22</v>
      </c>
      <c r="B17" s="363" t="s">
        <v>23</v>
      </c>
      <c r="C17" s="363"/>
      <c r="D17" s="366">
        <v>46253.0</v>
      </c>
      <c r="E17" s="363" t="s">
        <v>565</v>
      </c>
      <c r="F17" s="363" t="s">
        <v>568</v>
      </c>
      <c r="G17" s="363" t="s">
        <v>570</v>
      </c>
      <c r="H17" s="363" t="s">
        <v>573</v>
      </c>
      <c r="I17" s="371" t="s">
        <v>3397</v>
      </c>
      <c r="J17" s="363" t="s">
        <v>588</v>
      </c>
      <c r="K17" s="363"/>
      <c r="L17" s="363"/>
      <c r="M17" s="363"/>
      <c r="N17" s="363"/>
      <c r="O17" s="363"/>
      <c r="P17" s="363"/>
      <c r="Q17" s="363">
        <v>1.528985488E9</v>
      </c>
      <c r="R17" s="363"/>
      <c r="S17" s="363"/>
    </row>
    <row r="18">
      <c r="A18" s="363" t="s">
        <v>17</v>
      </c>
      <c r="B18" s="363" t="s">
        <v>251</v>
      </c>
      <c r="C18" s="363"/>
      <c r="D18" s="366">
        <v>46253.0</v>
      </c>
      <c r="E18" s="363" t="s">
        <v>600</v>
      </c>
      <c r="F18" s="363" t="s">
        <v>603</v>
      </c>
      <c r="G18" s="363" t="s">
        <v>607</v>
      </c>
      <c r="H18" s="363" t="s">
        <v>610</v>
      </c>
      <c r="I18" s="363" t="s">
        <v>613</v>
      </c>
      <c r="J18" s="363" t="s">
        <v>617</v>
      </c>
      <c r="K18" s="363"/>
      <c r="L18" s="363"/>
      <c r="M18" s="363"/>
      <c r="N18" s="363"/>
      <c r="O18" s="363"/>
      <c r="P18" s="363"/>
      <c r="Q18" s="363">
        <v>1.68952877E9</v>
      </c>
      <c r="R18" s="363"/>
      <c r="S18" s="363"/>
    </row>
    <row r="19">
      <c r="A19" s="363" t="s">
        <v>22</v>
      </c>
      <c r="B19" s="363" t="s">
        <v>53</v>
      </c>
      <c r="C19" s="363"/>
      <c r="D19" s="366">
        <v>46253.0</v>
      </c>
      <c r="E19" s="363" t="s">
        <v>623</v>
      </c>
      <c r="F19" s="363" t="s">
        <v>624</v>
      </c>
      <c r="G19" s="363" t="s">
        <v>626</v>
      </c>
      <c r="H19" s="363" t="s">
        <v>628</v>
      </c>
      <c r="I19" s="371" t="s">
        <v>453</v>
      </c>
      <c r="J19" s="363" t="s">
        <v>639</v>
      </c>
      <c r="K19" s="363"/>
      <c r="L19" s="363"/>
      <c r="M19" s="363"/>
      <c r="N19" s="363"/>
      <c r="O19" s="363"/>
      <c r="P19" s="363"/>
      <c r="Q19" s="363"/>
      <c r="R19" s="363"/>
      <c r="S19" s="363"/>
    </row>
    <row r="20">
      <c r="A20" s="363" t="s">
        <v>155</v>
      </c>
      <c r="B20" s="363" t="s">
        <v>251</v>
      </c>
      <c r="C20" s="363"/>
      <c r="D20" s="366">
        <v>46253.0</v>
      </c>
      <c r="E20" s="363" t="s">
        <v>647</v>
      </c>
      <c r="F20" s="363" t="s">
        <v>648</v>
      </c>
      <c r="G20" s="363" t="s">
        <v>649</v>
      </c>
      <c r="H20" s="391" t="s">
        <v>651</v>
      </c>
      <c r="I20" s="363" t="s">
        <v>667</v>
      </c>
      <c r="J20" s="363" t="s">
        <v>670</v>
      </c>
      <c r="K20" s="363"/>
      <c r="L20" s="363"/>
      <c r="M20" s="363"/>
      <c r="N20" s="363"/>
      <c r="O20" s="363"/>
      <c r="P20" s="363"/>
      <c r="Q20" s="363">
        <v>1.316777543E9</v>
      </c>
      <c r="R20" s="363"/>
      <c r="S20" s="363"/>
    </row>
    <row r="21">
      <c r="A21" s="363" t="s">
        <v>155</v>
      </c>
      <c r="B21" s="363" t="s">
        <v>251</v>
      </c>
      <c r="C21" s="363"/>
      <c r="D21" s="366">
        <v>46253.0</v>
      </c>
      <c r="E21" s="363" t="s">
        <v>676</v>
      </c>
      <c r="F21" s="363" t="s">
        <v>678</v>
      </c>
      <c r="G21" s="363" t="s">
        <v>679</v>
      </c>
      <c r="H21" s="391" t="s">
        <v>680</v>
      </c>
      <c r="I21" s="363" t="s">
        <v>686</v>
      </c>
      <c r="J21" s="363" t="s">
        <v>687</v>
      </c>
      <c r="K21" s="363"/>
      <c r="L21" s="363"/>
      <c r="M21" s="363"/>
      <c r="N21" s="363"/>
      <c r="O21" s="363"/>
      <c r="P21" s="363"/>
      <c r="Q21" s="363">
        <v>1.285338731E9</v>
      </c>
      <c r="R21" s="363"/>
      <c r="S21" s="363"/>
    </row>
    <row r="22">
      <c r="A22" s="363" t="s">
        <v>117</v>
      </c>
      <c r="B22" s="363" t="s">
        <v>25</v>
      </c>
      <c r="C22" s="363"/>
      <c r="D22" s="366">
        <v>46253.0</v>
      </c>
      <c r="E22" s="363" t="s">
        <v>694</v>
      </c>
      <c r="F22" s="363" t="s">
        <v>695</v>
      </c>
      <c r="G22" s="363" t="s">
        <v>696</v>
      </c>
      <c r="H22" s="363" t="s">
        <v>697</v>
      </c>
      <c r="I22" s="363" t="s">
        <v>30</v>
      </c>
      <c r="J22" s="363" t="s">
        <v>698</v>
      </c>
      <c r="K22" s="363"/>
      <c r="L22" s="363"/>
      <c r="M22" s="363"/>
      <c r="N22" s="363"/>
      <c r="O22" s="363"/>
      <c r="P22" s="363"/>
      <c r="Q22" s="363">
        <v>1.568380384E9</v>
      </c>
      <c r="R22" s="363"/>
      <c r="S22" s="363"/>
    </row>
    <row r="23">
      <c r="A23" s="363"/>
      <c r="B23" s="363"/>
      <c r="C23" s="363"/>
      <c r="D23" s="363"/>
      <c r="E23" s="363"/>
      <c r="F23" s="363"/>
      <c r="G23" s="363"/>
      <c r="H23" s="363"/>
      <c r="I23" s="363"/>
      <c r="J23" s="363"/>
      <c r="K23" s="363"/>
      <c r="L23" s="363"/>
      <c r="M23" s="363"/>
      <c r="N23" s="363"/>
      <c r="O23" s="363"/>
      <c r="P23" s="363"/>
      <c r="Q23" s="363"/>
      <c r="R23" s="363"/>
      <c r="S23" s="363"/>
    </row>
    <row r="24">
      <c r="A24" s="363"/>
      <c r="B24" s="363"/>
      <c r="C24" s="363"/>
      <c r="D24" s="363"/>
      <c r="E24" s="363"/>
      <c r="F24" s="363"/>
      <c r="G24" s="363"/>
      <c r="H24" s="363"/>
      <c r="I24" s="363"/>
      <c r="J24" s="363"/>
      <c r="K24" s="363"/>
      <c r="L24" s="363"/>
      <c r="M24" s="363"/>
      <c r="N24" s="363"/>
      <c r="O24" s="363"/>
      <c r="P24" s="363"/>
      <c r="Q24" s="363"/>
      <c r="R24" s="363"/>
      <c r="S24" s="363"/>
    </row>
    <row r="25">
      <c r="A25" s="363"/>
      <c r="B25" s="363"/>
      <c r="C25" s="363"/>
      <c r="D25" s="363"/>
      <c r="E25" s="363"/>
      <c r="F25" s="363"/>
      <c r="G25" s="363"/>
      <c r="H25" s="363"/>
      <c r="I25" s="363"/>
      <c r="J25" s="363"/>
      <c r="K25" s="363"/>
      <c r="L25" s="363"/>
      <c r="M25" s="363"/>
      <c r="N25" s="363"/>
      <c r="O25" s="363"/>
      <c r="P25" s="363"/>
      <c r="Q25" s="363"/>
      <c r="R25" s="363"/>
      <c r="S25" s="363"/>
    </row>
    <row r="26">
      <c r="A26" s="363"/>
      <c r="B26" s="363"/>
      <c r="C26" s="363"/>
      <c r="D26" s="363"/>
      <c r="E26" s="363"/>
      <c r="F26" s="363"/>
      <c r="G26" s="363"/>
      <c r="H26" s="363"/>
      <c r="I26" s="363"/>
      <c r="J26" s="363"/>
      <c r="K26" s="363"/>
      <c r="L26" s="363"/>
      <c r="M26" s="363"/>
      <c r="N26" s="363"/>
      <c r="O26" s="363"/>
      <c r="P26" s="363"/>
      <c r="Q26" s="363"/>
      <c r="R26" s="363"/>
      <c r="S26" s="363"/>
    </row>
    <row r="27">
      <c r="A27" s="363"/>
      <c r="B27" s="363"/>
      <c r="C27" s="363"/>
      <c r="D27" s="363"/>
      <c r="E27" s="363"/>
      <c r="F27" s="363"/>
      <c r="G27" s="363"/>
      <c r="H27" s="363"/>
      <c r="I27" s="363"/>
      <c r="J27" s="363"/>
      <c r="K27" s="363"/>
      <c r="L27" s="363"/>
      <c r="M27" s="363"/>
      <c r="N27" s="363"/>
      <c r="O27" s="363"/>
      <c r="P27" s="363"/>
      <c r="Q27" s="363"/>
      <c r="R27" s="363"/>
      <c r="S27" s="363"/>
    </row>
    <row r="151">
      <c r="A151" s="363" t="str">
        <f t="array" ref="A151:P272">'Follow Ups'!A:P</f>
        <v>SUB</v>
      </c>
      <c r="B151" s="363" t="s">
        <v>1</v>
      </c>
      <c r="C151" s="363" t="s">
        <v>2</v>
      </c>
      <c r="D151" s="363" t="s">
        <v>3</v>
      </c>
      <c r="E151" s="363" t="s">
        <v>4</v>
      </c>
      <c r="F151" s="363" t="s">
        <v>5</v>
      </c>
      <c r="G151" s="364" t="s">
        <v>6</v>
      </c>
      <c r="H151" s="363" t="s">
        <v>7</v>
      </c>
      <c r="I151" s="363" t="s">
        <v>8</v>
      </c>
      <c r="J151" s="363" t="s">
        <v>9</v>
      </c>
      <c r="K151" s="363" t="s">
        <v>10</v>
      </c>
      <c r="L151" s="365" t="s">
        <v>11</v>
      </c>
      <c r="M151" s="363" t="s">
        <v>12</v>
      </c>
      <c r="N151" s="363" t="s">
        <v>13</v>
      </c>
      <c r="O151" s="363" t="s">
        <v>14</v>
      </c>
      <c r="P151" s="363" t="s">
        <v>15</v>
      </c>
    </row>
    <row r="152">
      <c r="A152" s="363" t="s">
        <v>20</v>
      </c>
      <c r="B152" s="363" t="s">
        <v>23</v>
      </c>
      <c r="C152" s="363" t="s">
        <v>24</v>
      </c>
      <c r="D152" s="366">
        <v>45707.0</v>
      </c>
      <c r="E152" s="363" t="s">
        <v>31</v>
      </c>
      <c r="F152" s="363" t="s">
        <v>37</v>
      </c>
      <c r="G152" s="363" t="s">
        <v>39</v>
      </c>
      <c r="H152" s="363" t="s">
        <v>41</v>
      </c>
      <c r="I152" s="363" t="s">
        <v>46</v>
      </c>
      <c r="J152" s="363" t="s">
        <v>50</v>
      </c>
      <c r="K152" s="363" t="s">
        <v>51</v>
      </c>
      <c r="L152" s="363"/>
      <c r="M152" s="365">
        <v>46223.80155971065</v>
      </c>
      <c r="N152" s="363" t="s">
        <v>64</v>
      </c>
      <c r="O152" s="363" t="b">
        <v>0</v>
      </c>
      <c r="P152" s="370"/>
    </row>
    <row r="153">
      <c r="A153" s="363" t="s">
        <v>17</v>
      </c>
      <c r="B153" s="363" t="s">
        <v>23</v>
      </c>
      <c r="C153" s="363" t="s">
        <v>24</v>
      </c>
      <c r="D153" s="366">
        <v>45713.0</v>
      </c>
      <c r="E153" s="363" t="s">
        <v>79</v>
      </c>
      <c r="F153" s="363" t="s">
        <v>80</v>
      </c>
      <c r="G153" s="363" t="s">
        <v>81</v>
      </c>
      <c r="H153" s="363" t="s">
        <v>82</v>
      </c>
      <c r="I153" s="363" t="s">
        <v>83</v>
      </c>
      <c r="J153" s="363" t="s">
        <v>84</v>
      </c>
      <c r="K153" s="363" t="s">
        <v>85</v>
      </c>
      <c r="L153" s="363"/>
      <c r="M153" s="365">
        <v>46223.801703310186</v>
      </c>
      <c r="N153" s="363" t="s">
        <v>64</v>
      </c>
      <c r="O153" s="363" t="b">
        <v>0</v>
      </c>
      <c r="P153" s="370"/>
    </row>
    <row r="154">
      <c r="A154" s="363" t="s">
        <v>17</v>
      </c>
      <c r="B154" s="363" t="s">
        <v>53</v>
      </c>
      <c r="C154" s="363" t="s">
        <v>24</v>
      </c>
      <c r="D154" s="366">
        <v>45714.0</v>
      </c>
      <c r="E154" s="363" t="s">
        <v>87</v>
      </c>
      <c r="F154" s="363" t="s">
        <v>88</v>
      </c>
      <c r="G154" s="363" t="s">
        <v>89</v>
      </c>
      <c r="H154" s="363"/>
      <c r="I154" s="363" t="s">
        <v>90</v>
      </c>
      <c r="J154" s="363" t="s">
        <v>91</v>
      </c>
      <c r="K154" s="363" t="s">
        <v>92</v>
      </c>
      <c r="L154" s="363"/>
      <c r="M154" s="365">
        <v>46085.88684719907</v>
      </c>
      <c r="N154" s="363"/>
      <c r="O154" s="363" t="b">
        <v>0</v>
      </c>
      <c r="P154" s="370"/>
    </row>
    <row r="155">
      <c r="A155" s="363" t="s">
        <v>17</v>
      </c>
      <c r="B155" s="363" t="s">
        <v>53</v>
      </c>
      <c r="C155" s="363" t="s">
        <v>24</v>
      </c>
      <c r="D155" s="366">
        <v>45737.0</v>
      </c>
      <c r="E155" s="363" t="s">
        <v>100</v>
      </c>
      <c r="F155" s="363" t="s">
        <v>102</v>
      </c>
      <c r="G155" s="363" t="s">
        <v>103</v>
      </c>
      <c r="H155" s="363" t="s">
        <v>105</v>
      </c>
      <c r="I155" s="363" t="s">
        <v>106</v>
      </c>
      <c r="J155" s="363" t="s">
        <v>108</v>
      </c>
      <c r="K155" s="363" t="s">
        <v>110</v>
      </c>
      <c r="L155" s="363"/>
      <c r="M155" s="365">
        <v>46085.85275634259</v>
      </c>
      <c r="N155" s="363"/>
      <c r="O155" s="363" t="b">
        <v>0</v>
      </c>
      <c r="P155" s="370"/>
    </row>
    <row r="156">
      <c r="A156" s="363" t="s">
        <v>22</v>
      </c>
      <c r="B156" s="363" t="s">
        <v>23</v>
      </c>
      <c r="C156" s="363" t="s">
        <v>24</v>
      </c>
      <c r="D156" s="366">
        <v>45754.0</v>
      </c>
      <c r="E156" s="363" t="s">
        <v>111</v>
      </c>
      <c r="F156" s="363" t="s">
        <v>112</v>
      </c>
      <c r="G156" s="363" t="s">
        <v>113</v>
      </c>
      <c r="H156" s="363" t="s">
        <v>114</v>
      </c>
      <c r="I156" s="363" t="s">
        <v>115</v>
      </c>
      <c r="J156" s="363" t="s">
        <v>116</v>
      </c>
      <c r="K156" s="363" t="s">
        <v>118</v>
      </c>
      <c r="L156" s="363"/>
      <c r="M156" s="365">
        <v>46223.80227373843</v>
      </c>
      <c r="N156" s="363"/>
      <c r="O156" s="363" t="b">
        <v>0</v>
      </c>
      <c r="P156" s="370"/>
    </row>
    <row r="157">
      <c r="A157" s="363" t="s">
        <v>22</v>
      </c>
      <c r="B157" s="363" t="s">
        <v>19</v>
      </c>
      <c r="C157" s="363" t="s">
        <v>24</v>
      </c>
      <c r="D157" s="366">
        <v>45761.0</v>
      </c>
      <c r="E157" s="363" t="s">
        <v>126</v>
      </c>
      <c r="F157" s="363" t="s">
        <v>127</v>
      </c>
      <c r="G157" s="363" t="s">
        <v>128</v>
      </c>
      <c r="H157" s="363" t="s">
        <v>130</v>
      </c>
      <c r="I157" s="363" t="s">
        <v>131</v>
      </c>
      <c r="J157" s="363" t="s">
        <v>132</v>
      </c>
      <c r="K157" s="363" t="s">
        <v>133</v>
      </c>
      <c r="L157" s="363"/>
      <c r="M157" s="366">
        <v>46248.746020833336</v>
      </c>
      <c r="N157" s="363"/>
      <c r="O157" s="363" t="b">
        <v>0</v>
      </c>
      <c r="P157" s="370"/>
    </row>
    <row r="158">
      <c r="A158" s="363" t="s">
        <v>22</v>
      </c>
      <c r="B158" s="363" t="s">
        <v>23</v>
      </c>
      <c r="C158" s="363" t="s">
        <v>24</v>
      </c>
      <c r="D158" s="366">
        <v>45785.0</v>
      </c>
      <c r="E158" s="363" t="s">
        <v>143</v>
      </c>
      <c r="F158" s="363" t="s">
        <v>144</v>
      </c>
      <c r="G158" s="363" t="s">
        <v>145</v>
      </c>
      <c r="H158" s="363" t="s">
        <v>146</v>
      </c>
      <c r="I158" s="363" t="s">
        <v>148</v>
      </c>
      <c r="J158" s="363" t="s">
        <v>149</v>
      </c>
      <c r="K158" s="363" t="s">
        <v>150</v>
      </c>
      <c r="L158" s="363"/>
      <c r="M158" s="365">
        <v>46091.768021157404</v>
      </c>
      <c r="N158" s="363"/>
      <c r="O158" s="363" t="b">
        <v>0</v>
      </c>
      <c r="P158" s="370"/>
    </row>
    <row r="159">
      <c r="A159" s="363" t="s">
        <v>22</v>
      </c>
      <c r="B159" s="363" t="s">
        <v>23</v>
      </c>
      <c r="C159" s="363" t="s">
        <v>24</v>
      </c>
      <c r="D159" s="366">
        <v>45847.0</v>
      </c>
      <c r="E159" s="363" t="s">
        <v>163</v>
      </c>
      <c r="F159" s="363" t="s">
        <v>164</v>
      </c>
      <c r="G159" s="363" t="s">
        <v>165</v>
      </c>
      <c r="H159" s="363" t="s">
        <v>166</v>
      </c>
      <c r="I159" s="363" t="s">
        <v>167</v>
      </c>
      <c r="J159" s="363" t="s">
        <v>168</v>
      </c>
      <c r="K159" s="363" t="s">
        <v>169</v>
      </c>
      <c r="L159" s="363"/>
      <c r="M159" s="365"/>
      <c r="N159" s="363"/>
      <c r="O159" s="363" t="b">
        <v>0</v>
      </c>
      <c r="P159" s="370"/>
    </row>
    <row r="160">
      <c r="A160" s="363" t="s">
        <v>0</v>
      </c>
      <c r="B160" s="363" t="s">
        <v>23</v>
      </c>
      <c r="C160" s="363" t="s">
        <v>24</v>
      </c>
      <c r="D160" s="366">
        <v>45847.0</v>
      </c>
      <c r="E160" s="363" t="s">
        <v>180</v>
      </c>
      <c r="F160" s="363" t="s">
        <v>181</v>
      </c>
      <c r="G160" s="363" t="s">
        <v>182</v>
      </c>
      <c r="H160" s="363" t="s">
        <v>183</v>
      </c>
      <c r="I160" s="363" t="s">
        <v>184</v>
      </c>
      <c r="J160" s="363" t="s">
        <v>185</v>
      </c>
      <c r="K160" s="363" t="s">
        <v>188</v>
      </c>
      <c r="L160" s="363"/>
      <c r="M160" s="398"/>
      <c r="N160" s="363"/>
      <c r="O160" s="363" t="b">
        <v>0</v>
      </c>
      <c r="P160" s="370"/>
    </row>
    <row r="161">
      <c r="A161" s="363" t="s">
        <v>22</v>
      </c>
      <c r="B161" s="363" t="s">
        <v>23</v>
      </c>
      <c r="C161" s="363" t="s">
        <v>24</v>
      </c>
      <c r="D161" s="366">
        <v>45875.0</v>
      </c>
      <c r="E161" s="363" t="s">
        <v>199</v>
      </c>
      <c r="F161" s="363" t="s">
        <v>200</v>
      </c>
      <c r="G161" s="363" t="s">
        <v>201</v>
      </c>
      <c r="H161" s="363" t="s">
        <v>203</v>
      </c>
      <c r="I161" s="363" t="s">
        <v>205</v>
      </c>
      <c r="J161" s="363" t="s">
        <v>207</v>
      </c>
      <c r="K161" s="363" t="s">
        <v>209</v>
      </c>
      <c r="L161" s="363"/>
      <c r="M161" s="365">
        <v>46183.84783859954</v>
      </c>
      <c r="N161" s="363"/>
      <c r="O161" s="363" t="b">
        <v>0</v>
      </c>
      <c r="P161" s="370"/>
    </row>
    <row r="162">
      <c r="A162" s="363" t="s">
        <v>22</v>
      </c>
      <c r="B162" s="363" t="s">
        <v>23</v>
      </c>
      <c r="C162" s="363" t="s">
        <v>24</v>
      </c>
      <c r="D162" s="366">
        <v>45875.0</v>
      </c>
      <c r="E162" s="363" t="s">
        <v>199</v>
      </c>
      <c r="F162" s="363" t="s">
        <v>212</v>
      </c>
      <c r="G162" s="363" t="s">
        <v>201</v>
      </c>
      <c r="H162" s="363" t="s">
        <v>203</v>
      </c>
      <c r="I162" s="363" t="s">
        <v>205</v>
      </c>
      <c r="J162" s="363" t="s">
        <v>207</v>
      </c>
      <c r="K162" s="363" t="s">
        <v>216</v>
      </c>
      <c r="L162" s="363"/>
      <c r="M162" s="365">
        <v>46085.89587685185</v>
      </c>
      <c r="N162" s="363"/>
      <c r="O162" s="363" t="b">
        <v>0</v>
      </c>
      <c r="P162" s="370"/>
    </row>
    <row r="163">
      <c r="A163" s="363" t="s">
        <v>20</v>
      </c>
      <c r="B163" s="363" t="s">
        <v>53</v>
      </c>
      <c r="C163" s="363" t="s">
        <v>24</v>
      </c>
      <c r="D163" s="366">
        <v>45890.0</v>
      </c>
      <c r="E163" s="363" t="s">
        <v>233</v>
      </c>
      <c r="F163" s="363" t="s">
        <v>235</v>
      </c>
      <c r="G163" s="363" t="s">
        <v>238</v>
      </c>
      <c r="H163" s="363"/>
      <c r="I163" s="363" t="s">
        <v>242</v>
      </c>
      <c r="J163" s="363" t="s">
        <v>243</v>
      </c>
      <c r="K163" s="363"/>
      <c r="L163" s="363"/>
      <c r="M163" s="398"/>
      <c r="N163" s="363"/>
      <c r="O163" s="363" t="b">
        <v>0</v>
      </c>
      <c r="P163" s="370"/>
    </row>
    <row r="164">
      <c r="A164" s="363" t="s">
        <v>20</v>
      </c>
      <c r="B164" s="363" t="s">
        <v>23</v>
      </c>
      <c r="C164" s="363" t="s">
        <v>24</v>
      </c>
      <c r="D164" s="366">
        <v>45890.0</v>
      </c>
      <c r="E164" s="363" t="s">
        <v>252</v>
      </c>
      <c r="F164" s="363" t="s">
        <v>253</v>
      </c>
      <c r="G164" s="363"/>
      <c r="H164" s="363"/>
      <c r="I164" s="363" t="s">
        <v>254</v>
      </c>
      <c r="J164" s="363" t="s">
        <v>257</v>
      </c>
      <c r="K164" s="363" t="s">
        <v>258</v>
      </c>
      <c r="L164" s="363"/>
      <c r="M164" s="398"/>
      <c r="N164" s="363"/>
      <c r="O164" s="363" t="b">
        <v>0</v>
      </c>
      <c r="P164" s="370"/>
    </row>
    <row r="165">
      <c r="A165" s="363" t="s">
        <v>22</v>
      </c>
      <c r="B165" s="363" t="s">
        <v>23</v>
      </c>
      <c r="C165" s="363" t="s">
        <v>24</v>
      </c>
      <c r="D165" s="366">
        <v>45894.0</v>
      </c>
      <c r="E165" s="363" t="s">
        <v>274</v>
      </c>
      <c r="F165" s="363" t="s">
        <v>276</v>
      </c>
      <c r="G165" s="363" t="s">
        <v>279</v>
      </c>
      <c r="H165" s="363" t="s">
        <v>281</v>
      </c>
      <c r="I165" s="363" t="s">
        <v>282</v>
      </c>
      <c r="J165" s="363" t="s">
        <v>283</v>
      </c>
      <c r="K165" s="363" t="s">
        <v>284</v>
      </c>
      <c r="L165" s="363"/>
      <c r="M165" s="365">
        <v>46223.80316484954</v>
      </c>
      <c r="N165" s="363"/>
      <c r="O165" s="363" t="b">
        <v>0</v>
      </c>
      <c r="P165" s="370"/>
    </row>
    <row r="166">
      <c r="A166" s="363" t="s">
        <v>22</v>
      </c>
      <c r="B166" s="363" t="s">
        <v>53</v>
      </c>
      <c r="C166" s="363" t="s">
        <v>24</v>
      </c>
      <c r="D166" s="366">
        <v>45904.0</v>
      </c>
      <c r="E166" s="363" t="s">
        <v>303</v>
      </c>
      <c r="F166" s="363" t="s">
        <v>305</v>
      </c>
      <c r="G166" s="363" t="s">
        <v>307</v>
      </c>
      <c r="H166" s="363" t="s">
        <v>309</v>
      </c>
      <c r="I166" s="363" t="s">
        <v>310</v>
      </c>
      <c r="J166" s="363" t="s">
        <v>313</v>
      </c>
      <c r="K166" s="363" t="s">
        <v>315</v>
      </c>
      <c r="L166" s="363"/>
      <c r="M166" s="365">
        <v>46112.89841039352</v>
      </c>
      <c r="N166" s="363"/>
      <c r="O166" s="363" t="b">
        <v>0</v>
      </c>
      <c r="P166" s="370"/>
    </row>
    <row r="167">
      <c r="A167" s="363" t="s">
        <v>22</v>
      </c>
      <c r="B167" s="363" t="s">
        <v>19</v>
      </c>
      <c r="C167" s="363" t="s">
        <v>24</v>
      </c>
      <c r="D167" s="366">
        <v>45919.0</v>
      </c>
      <c r="E167" s="363" t="s">
        <v>320</v>
      </c>
      <c r="F167" s="363" t="s">
        <v>321</v>
      </c>
      <c r="G167" s="363" t="s">
        <v>323</v>
      </c>
      <c r="H167" s="363" t="s">
        <v>325</v>
      </c>
      <c r="I167" s="363" t="s">
        <v>329</v>
      </c>
      <c r="J167" s="363" t="s">
        <v>332</v>
      </c>
      <c r="K167" s="363" t="s">
        <v>337</v>
      </c>
      <c r="L167" s="363"/>
      <c r="M167" s="365">
        <v>46112.963158495375</v>
      </c>
      <c r="N167" s="363"/>
      <c r="O167" s="363" t="b">
        <v>0</v>
      </c>
      <c r="P167" s="370"/>
    </row>
    <row r="168">
      <c r="A168" s="363" t="s">
        <v>345</v>
      </c>
      <c r="B168" s="363" t="s">
        <v>53</v>
      </c>
      <c r="C168" s="363" t="s">
        <v>24</v>
      </c>
      <c r="D168" s="366">
        <v>45925.0</v>
      </c>
      <c r="E168" s="363" t="s">
        <v>346</v>
      </c>
      <c r="F168" s="363" t="s">
        <v>347</v>
      </c>
      <c r="G168" s="363" t="s">
        <v>348</v>
      </c>
      <c r="H168" s="363"/>
      <c r="I168" s="363"/>
      <c r="J168" s="363" t="s">
        <v>349</v>
      </c>
      <c r="K168" s="363" t="s">
        <v>350</v>
      </c>
      <c r="L168" s="363"/>
      <c r="M168" s="398"/>
      <c r="N168" s="363"/>
      <c r="O168" s="363" t="b">
        <v>0</v>
      </c>
      <c r="P168" s="370"/>
    </row>
    <row r="169">
      <c r="A169" s="363" t="s">
        <v>17</v>
      </c>
      <c r="B169" s="363" t="s">
        <v>19</v>
      </c>
      <c r="C169" s="363" t="s">
        <v>24</v>
      </c>
      <c r="D169" s="366">
        <v>45708.0</v>
      </c>
      <c r="E169" s="363" t="s">
        <v>362</v>
      </c>
      <c r="F169" s="363" t="s">
        <v>363</v>
      </c>
      <c r="G169" s="363" t="s">
        <v>365</v>
      </c>
      <c r="H169" s="363" t="s">
        <v>367</v>
      </c>
      <c r="I169" s="363" t="s">
        <v>369</v>
      </c>
      <c r="J169" s="363" t="s">
        <v>371</v>
      </c>
      <c r="K169" s="363" t="s">
        <v>373</v>
      </c>
      <c r="L169" s="363"/>
      <c r="M169" s="365">
        <v>46183.847956365746</v>
      </c>
      <c r="N169" s="363"/>
      <c r="O169" s="363" t="b">
        <v>0</v>
      </c>
      <c r="P169" s="370"/>
    </row>
    <row r="170">
      <c r="A170" s="363" t="s">
        <v>135</v>
      </c>
      <c r="B170" s="363" t="s">
        <v>23</v>
      </c>
      <c r="C170" s="363" t="s">
        <v>24</v>
      </c>
      <c r="D170" s="366">
        <v>45992.0</v>
      </c>
      <c r="E170" s="363" t="s">
        <v>382</v>
      </c>
      <c r="F170" s="363" t="s">
        <v>384</v>
      </c>
      <c r="G170" s="363" t="s">
        <v>386</v>
      </c>
      <c r="H170" s="363" t="s">
        <v>387</v>
      </c>
      <c r="I170" s="363" t="s">
        <v>388</v>
      </c>
      <c r="J170" s="363" t="s">
        <v>389</v>
      </c>
      <c r="K170" s="363" t="s">
        <v>390</v>
      </c>
      <c r="L170" s="363"/>
      <c r="M170" s="365">
        <v>46223.8035365625</v>
      </c>
      <c r="N170" s="363"/>
      <c r="O170" s="363" t="b">
        <v>0</v>
      </c>
      <c r="P170" s="363" t="s">
        <v>391</v>
      </c>
    </row>
    <row r="171">
      <c r="A171" s="363" t="s">
        <v>62</v>
      </c>
      <c r="B171" s="363" t="s">
        <v>53</v>
      </c>
      <c r="C171" s="363" t="s">
        <v>24</v>
      </c>
      <c r="D171" s="368">
        <v>45939.0</v>
      </c>
      <c r="E171" s="363" t="s">
        <v>422</v>
      </c>
      <c r="F171" s="363" t="s">
        <v>424</v>
      </c>
      <c r="G171" s="363" t="s">
        <v>426</v>
      </c>
      <c r="H171" s="363" t="s">
        <v>429</v>
      </c>
      <c r="I171" s="363" t="s">
        <v>310</v>
      </c>
      <c r="J171" s="363" t="s">
        <v>435</v>
      </c>
      <c r="K171" s="363" t="s">
        <v>438</v>
      </c>
      <c r="L171" s="363"/>
      <c r="M171" s="365"/>
      <c r="N171" s="363"/>
      <c r="O171" s="363" t="b">
        <v>0</v>
      </c>
      <c r="P171" s="370"/>
    </row>
    <row r="172">
      <c r="A172" s="363" t="s">
        <v>135</v>
      </c>
      <c r="B172" s="363" t="s">
        <v>53</v>
      </c>
      <c r="C172" s="363" t="s">
        <v>24</v>
      </c>
      <c r="D172" s="368">
        <v>45980.0</v>
      </c>
      <c r="E172" s="363" t="s">
        <v>476</v>
      </c>
      <c r="F172" s="363" t="s">
        <v>477</v>
      </c>
      <c r="G172" s="363" t="s">
        <v>478</v>
      </c>
      <c r="H172" s="363" t="s">
        <v>479</v>
      </c>
      <c r="I172" s="363" t="s">
        <v>69</v>
      </c>
      <c r="J172" s="363" t="s">
        <v>481</v>
      </c>
      <c r="K172" s="363" t="s">
        <v>486</v>
      </c>
      <c r="L172" s="363"/>
      <c r="M172" s="365">
        <v>46223.74985957176</v>
      </c>
      <c r="N172" s="363"/>
      <c r="O172" s="363" t="b">
        <v>0</v>
      </c>
      <c r="P172" s="370"/>
    </row>
    <row r="173">
      <c r="A173" s="363" t="s">
        <v>62</v>
      </c>
      <c r="B173" s="363" t="s">
        <v>23</v>
      </c>
      <c r="C173" s="363" t="s">
        <v>24</v>
      </c>
      <c r="D173" s="368">
        <v>45981.0</v>
      </c>
      <c r="E173" s="363" t="s">
        <v>507</v>
      </c>
      <c r="F173" s="363" t="s">
        <v>509</v>
      </c>
      <c r="G173" s="363" t="s">
        <v>511</v>
      </c>
      <c r="H173" s="363" t="s">
        <v>514</v>
      </c>
      <c r="I173" s="363" t="s">
        <v>497</v>
      </c>
      <c r="J173" s="363" t="s">
        <v>516</v>
      </c>
      <c r="K173" s="363" t="s">
        <v>518</v>
      </c>
      <c r="L173" s="368"/>
      <c r="M173" s="365"/>
      <c r="N173" s="363"/>
      <c r="O173" s="363" t="b">
        <v>0</v>
      </c>
      <c r="P173" s="370"/>
    </row>
    <row r="174">
      <c r="A174" s="363" t="s">
        <v>135</v>
      </c>
      <c r="B174" s="363" t="s">
        <v>53</v>
      </c>
      <c r="C174" s="363" t="s">
        <v>24</v>
      </c>
      <c r="D174" s="368">
        <v>45985.0</v>
      </c>
      <c r="E174" s="363" t="s">
        <v>529</v>
      </c>
      <c r="F174" s="363" t="s">
        <v>533</v>
      </c>
      <c r="G174" s="363" t="s">
        <v>536</v>
      </c>
      <c r="H174" s="363" t="s">
        <v>540</v>
      </c>
      <c r="I174" s="363" t="s">
        <v>543</v>
      </c>
      <c r="J174" s="363" t="s">
        <v>546</v>
      </c>
      <c r="K174" s="363" t="s">
        <v>550</v>
      </c>
      <c r="L174" s="368"/>
      <c r="M174" s="365">
        <v>46094.86240090278</v>
      </c>
      <c r="N174" s="363"/>
      <c r="O174" s="363" t="b">
        <v>0</v>
      </c>
      <c r="P174" s="370"/>
    </row>
    <row r="175">
      <c r="A175" s="363" t="s">
        <v>62</v>
      </c>
      <c r="B175" s="363" t="s">
        <v>23</v>
      </c>
      <c r="C175" s="363" t="s">
        <v>24</v>
      </c>
      <c r="D175" s="368">
        <v>45987.0</v>
      </c>
      <c r="E175" s="363" t="s">
        <v>557</v>
      </c>
      <c r="F175" s="363" t="s">
        <v>560</v>
      </c>
      <c r="G175" s="363" t="s">
        <v>562</v>
      </c>
      <c r="H175" s="363" t="s">
        <v>566</v>
      </c>
      <c r="I175" s="363" t="s">
        <v>191</v>
      </c>
      <c r="J175" s="363" t="s">
        <v>571</v>
      </c>
      <c r="K175" s="363" t="s">
        <v>574</v>
      </c>
      <c r="L175" s="368"/>
      <c r="M175" s="365">
        <v>46223.80626534722</v>
      </c>
      <c r="N175" s="363"/>
      <c r="O175" s="363" t="b">
        <v>0</v>
      </c>
      <c r="P175" s="370"/>
    </row>
    <row r="176">
      <c r="A176" s="363" t="s">
        <v>17</v>
      </c>
      <c r="B176" s="363" t="s">
        <v>587</v>
      </c>
      <c r="C176" s="363" t="s">
        <v>24</v>
      </c>
      <c r="D176" s="366"/>
      <c r="E176" s="363" t="s">
        <v>622</v>
      </c>
      <c r="F176" s="363" t="s">
        <v>629</v>
      </c>
      <c r="G176" s="363"/>
      <c r="H176" s="363"/>
      <c r="I176" s="402"/>
      <c r="J176" s="363"/>
      <c r="K176" s="363"/>
      <c r="L176" s="365"/>
      <c r="M176" s="365"/>
      <c r="N176" s="363"/>
      <c r="O176" s="363" t="b">
        <v>0</v>
      </c>
      <c r="P176" s="370"/>
    </row>
    <row r="177">
      <c r="A177" s="363" t="s">
        <v>17</v>
      </c>
      <c r="B177" s="363" t="s">
        <v>587</v>
      </c>
      <c r="C177" s="363" t="s">
        <v>24</v>
      </c>
      <c r="D177" s="366"/>
      <c r="E177" s="363" t="s">
        <v>622</v>
      </c>
      <c r="F177" s="363" t="s">
        <v>674</v>
      </c>
      <c r="G177" s="363"/>
      <c r="H177" s="363"/>
      <c r="I177" s="402"/>
      <c r="J177" s="363"/>
      <c r="K177" s="363"/>
      <c r="L177" s="365"/>
      <c r="M177" s="365"/>
      <c r="N177" s="363"/>
      <c r="O177" s="363" t="b">
        <v>0</v>
      </c>
      <c r="P177" s="370"/>
    </row>
    <row r="178">
      <c r="A178" s="363" t="s">
        <v>22</v>
      </c>
      <c r="B178" s="363" t="s">
        <v>23</v>
      </c>
      <c r="C178" s="363" t="s">
        <v>24</v>
      </c>
      <c r="D178" s="368">
        <v>46002.0</v>
      </c>
      <c r="E178" s="363" t="s">
        <v>708</v>
      </c>
      <c r="F178" s="363" t="s">
        <v>709</v>
      </c>
      <c r="G178" s="363" t="s">
        <v>711</v>
      </c>
      <c r="H178" s="363" t="s">
        <v>713</v>
      </c>
      <c r="I178" s="363" t="s">
        <v>388</v>
      </c>
      <c r="J178" s="363" t="s">
        <v>714</v>
      </c>
      <c r="K178" s="363"/>
      <c r="L178" s="369"/>
      <c r="M178" s="365"/>
      <c r="N178" s="363"/>
      <c r="O178" s="363" t="b">
        <v>0</v>
      </c>
      <c r="P178" s="370"/>
    </row>
    <row r="179">
      <c r="A179" s="363" t="s">
        <v>62</v>
      </c>
      <c r="B179" s="363" t="s">
        <v>53</v>
      </c>
      <c r="C179" s="363" t="s">
        <v>24</v>
      </c>
      <c r="D179" s="368">
        <v>46030.0</v>
      </c>
      <c r="E179" s="363" t="s">
        <v>722</v>
      </c>
      <c r="F179" s="363" t="s">
        <v>724</v>
      </c>
      <c r="G179" s="363" t="s">
        <v>726</v>
      </c>
      <c r="H179" s="363" t="s">
        <v>728</v>
      </c>
      <c r="I179" s="363" t="s">
        <v>453</v>
      </c>
      <c r="J179" s="363" t="s">
        <v>730</v>
      </c>
      <c r="K179" s="363"/>
      <c r="L179" s="369"/>
      <c r="M179" s="365"/>
      <c r="N179" s="363"/>
      <c r="O179" s="363" t="b">
        <v>0</v>
      </c>
      <c r="P179" s="370"/>
    </row>
    <row r="180">
      <c r="A180" s="363" t="s">
        <v>62</v>
      </c>
      <c r="B180" s="363" t="s">
        <v>225</v>
      </c>
      <c r="C180" s="363" t="s">
        <v>24</v>
      </c>
      <c r="D180" s="368">
        <v>46045.0</v>
      </c>
      <c r="E180" s="363" t="s">
        <v>738</v>
      </c>
      <c r="F180" s="363" t="s">
        <v>739</v>
      </c>
      <c r="G180" s="363" t="s">
        <v>740</v>
      </c>
      <c r="H180" s="363" t="s">
        <v>741</v>
      </c>
      <c r="I180" s="363" t="s">
        <v>745</v>
      </c>
      <c r="J180" s="363" t="s">
        <v>750</v>
      </c>
      <c r="K180" s="363" t="s">
        <v>3790</v>
      </c>
      <c r="L180" s="365"/>
      <c r="M180" s="365">
        <v>46114.83608862269</v>
      </c>
      <c r="N180" s="363"/>
      <c r="O180" s="363" t="b">
        <v>0</v>
      </c>
      <c r="P180" s="370"/>
    </row>
    <row r="181">
      <c r="A181" s="363" t="s">
        <v>22</v>
      </c>
      <c r="B181" s="363" t="s">
        <v>19</v>
      </c>
      <c r="C181" s="363" t="s">
        <v>24</v>
      </c>
      <c r="D181" s="368">
        <v>46057.0</v>
      </c>
      <c r="E181" s="363" t="s">
        <v>796</v>
      </c>
      <c r="F181" s="363" t="s">
        <v>798</v>
      </c>
      <c r="G181" s="363" t="s">
        <v>800</v>
      </c>
      <c r="H181" s="363" t="s">
        <v>804</v>
      </c>
      <c r="I181" s="363"/>
      <c r="J181" s="363" t="s">
        <v>812</v>
      </c>
      <c r="K181" s="363" t="s">
        <v>814</v>
      </c>
      <c r="L181" s="398"/>
      <c r="M181" s="365">
        <v>46223.9484672338</v>
      </c>
      <c r="N181" s="363"/>
      <c r="O181" s="363" t="b">
        <v>0</v>
      </c>
      <c r="P181" s="363"/>
    </row>
    <row r="182">
      <c r="A182" s="363" t="s">
        <v>62</v>
      </c>
      <c r="B182" s="363" t="s">
        <v>225</v>
      </c>
      <c r="C182" s="363" t="s">
        <v>24</v>
      </c>
      <c r="D182" s="368">
        <v>46044.0</v>
      </c>
      <c r="E182" s="363" t="s">
        <v>835</v>
      </c>
      <c r="F182" s="363" t="s">
        <v>836</v>
      </c>
      <c r="G182" s="363" t="s">
        <v>837</v>
      </c>
      <c r="H182" s="363" t="s">
        <v>838</v>
      </c>
      <c r="I182" s="371" t="s">
        <v>667</v>
      </c>
      <c r="J182" s="363" t="s">
        <v>859</v>
      </c>
      <c r="K182" s="363" t="s">
        <v>861</v>
      </c>
      <c r="L182" s="363"/>
      <c r="M182" s="365">
        <v>46155.96361200231</v>
      </c>
      <c r="N182" s="363"/>
      <c r="O182" s="363" t="b">
        <v>0</v>
      </c>
      <c r="P182" s="370"/>
    </row>
    <row r="183">
      <c r="A183" s="363" t="s">
        <v>22</v>
      </c>
      <c r="B183" s="363" t="s">
        <v>19</v>
      </c>
      <c r="C183" s="363" t="s">
        <v>24</v>
      </c>
      <c r="D183" s="368">
        <v>46056.0</v>
      </c>
      <c r="E183" s="363" t="s">
        <v>875</v>
      </c>
      <c r="F183" s="363" t="s">
        <v>877</v>
      </c>
      <c r="G183" s="363" t="s">
        <v>878</v>
      </c>
      <c r="H183" s="363" t="s">
        <v>879</v>
      </c>
      <c r="I183" s="363" t="s">
        <v>883</v>
      </c>
      <c r="J183" s="363" t="s">
        <v>886</v>
      </c>
      <c r="K183" s="363" t="s">
        <v>887</v>
      </c>
      <c r="L183" s="365"/>
      <c r="M183" s="365">
        <v>46183.89270023148</v>
      </c>
      <c r="N183" s="363"/>
      <c r="O183" s="363" t="b">
        <v>0</v>
      </c>
      <c r="P183" s="370"/>
    </row>
    <row r="184">
      <c r="A184" s="363" t="s">
        <v>62</v>
      </c>
      <c r="B184" s="363" t="s">
        <v>19</v>
      </c>
      <c r="C184" s="363" t="s">
        <v>24</v>
      </c>
      <c r="D184" s="368">
        <v>46080.0</v>
      </c>
      <c r="E184" s="363" t="s">
        <v>896</v>
      </c>
      <c r="F184" s="363" t="s">
        <v>897</v>
      </c>
      <c r="G184" s="363" t="s">
        <v>898</v>
      </c>
      <c r="H184" s="363" t="s">
        <v>899</v>
      </c>
      <c r="I184" s="363" t="s">
        <v>612</v>
      </c>
      <c r="J184" s="363" t="s">
        <v>900</v>
      </c>
      <c r="K184" s="363" t="s">
        <v>901</v>
      </c>
      <c r="L184" s="365"/>
      <c r="M184" s="365">
        <v>46080.994040879625</v>
      </c>
      <c r="N184" s="363"/>
      <c r="O184" s="363" t="b">
        <v>0</v>
      </c>
      <c r="P184" s="370"/>
    </row>
    <row r="185">
      <c r="A185" s="363" t="s">
        <v>62</v>
      </c>
      <c r="B185" s="363" t="s">
        <v>19</v>
      </c>
      <c r="C185" s="363" t="s">
        <v>24</v>
      </c>
      <c r="D185" s="368">
        <v>46084.0</v>
      </c>
      <c r="E185" s="363" t="s">
        <v>904</v>
      </c>
      <c r="F185" s="363" t="s">
        <v>905</v>
      </c>
      <c r="G185" s="363" t="s">
        <v>907</v>
      </c>
      <c r="H185" s="363" t="s">
        <v>908</v>
      </c>
      <c r="I185" s="363"/>
      <c r="J185" s="363" t="s">
        <v>909</v>
      </c>
      <c r="K185" s="363" t="s">
        <v>910</v>
      </c>
      <c r="L185" s="365"/>
      <c r="M185" s="366">
        <v>46223.0</v>
      </c>
      <c r="N185" s="363"/>
      <c r="O185" s="363" t="b">
        <v>0</v>
      </c>
      <c r="P185" s="370"/>
    </row>
    <row r="186">
      <c r="A186" s="363" t="s">
        <v>62</v>
      </c>
      <c r="B186" s="363" t="s">
        <v>225</v>
      </c>
      <c r="C186" s="363" t="s">
        <v>24</v>
      </c>
      <c r="D186" s="368">
        <v>46083.0</v>
      </c>
      <c r="E186" s="363" t="s">
        <v>922</v>
      </c>
      <c r="F186" s="363" t="s">
        <v>923</v>
      </c>
      <c r="G186" s="363" t="s">
        <v>924</v>
      </c>
      <c r="H186" s="363" t="s">
        <v>925</v>
      </c>
      <c r="I186" s="363" t="s">
        <v>926</v>
      </c>
      <c r="J186" s="363" t="s">
        <v>927</v>
      </c>
      <c r="K186" s="363" t="s">
        <v>928</v>
      </c>
      <c r="L186" s="365"/>
      <c r="M186" s="365">
        <v>46084.01589277778</v>
      </c>
      <c r="N186" s="363"/>
      <c r="O186" s="363" t="b">
        <v>0</v>
      </c>
      <c r="P186" s="370"/>
    </row>
    <row r="187">
      <c r="A187" s="363" t="s">
        <v>62</v>
      </c>
      <c r="B187" s="363" t="s">
        <v>23</v>
      </c>
      <c r="C187" s="363" t="s">
        <v>24</v>
      </c>
      <c r="D187" s="368">
        <v>46064.0</v>
      </c>
      <c r="E187" s="363" t="s">
        <v>942</v>
      </c>
      <c r="F187" s="363" t="s">
        <v>943</v>
      </c>
      <c r="G187" s="363" t="s">
        <v>945</v>
      </c>
      <c r="H187" s="363" t="s">
        <v>946</v>
      </c>
      <c r="I187" s="363" t="s">
        <v>947</v>
      </c>
      <c r="J187" s="363" t="s">
        <v>948</v>
      </c>
      <c r="K187" s="363" t="s">
        <v>949</v>
      </c>
      <c r="L187" s="365"/>
      <c r="M187" s="365">
        <v>46223.823080358794</v>
      </c>
      <c r="N187" s="363"/>
      <c r="O187" s="363" t="b">
        <v>0</v>
      </c>
      <c r="P187" s="370"/>
    </row>
    <row r="188">
      <c r="A188" s="363" t="s">
        <v>62</v>
      </c>
      <c r="B188" s="363" t="s">
        <v>19</v>
      </c>
      <c r="C188" s="363" t="s">
        <v>24</v>
      </c>
      <c r="D188" s="368">
        <v>46066.0</v>
      </c>
      <c r="E188" s="363" t="s">
        <v>957</v>
      </c>
      <c r="F188" s="363" t="s">
        <v>958</v>
      </c>
      <c r="G188" s="363" t="s">
        <v>959</v>
      </c>
      <c r="H188" s="363" t="s">
        <v>960</v>
      </c>
      <c r="I188" s="363" t="s">
        <v>513</v>
      </c>
      <c r="J188" s="363" t="s">
        <v>962</v>
      </c>
      <c r="K188" s="363" t="s">
        <v>964</v>
      </c>
      <c r="L188" s="365"/>
      <c r="M188" s="365">
        <v>46070.87062462963</v>
      </c>
      <c r="N188" s="363"/>
      <c r="O188" s="363" t="b">
        <v>0</v>
      </c>
      <c r="P188" s="370"/>
    </row>
    <row r="189">
      <c r="A189" s="363" t="s">
        <v>62</v>
      </c>
      <c r="B189" s="363" t="s">
        <v>23</v>
      </c>
      <c r="C189" s="363" t="s">
        <v>24</v>
      </c>
      <c r="D189" s="368">
        <v>46063.0</v>
      </c>
      <c r="E189" s="363" t="s">
        <v>974</v>
      </c>
      <c r="F189" s="363" t="s">
        <v>976</v>
      </c>
      <c r="G189" s="363" t="s">
        <v>977</v>
      </c>
      <c r="H189" s="363" t="s">
        <v>978</v>
      </c>
      <c r="I189" s="363" t="s">
        <v>980</v>
      </c>
      <c r="J189" s="363" t="s">
        <v>981</v>
      </c>
      <c r="K189" s="363" t="s">
        <v>982</v>
      </c>
      <c r="L189" s="365"/>
      <c r="M189" s="365">
        <v>46223.830448900466</v>
      </c>
      <c r="N189" s="363"/>
      <c r="O189" s="363" t="b">
        <v>0</v>
      </c>
      <c r="P189" s="370"/>
    </row>
    <row r="190">
      <c r="A190" s="363" t="s">
        <v>62</v>
      </c>
      <c r="B190" s="363" t="s">
        <v>23</v>
      </c>
      <c r="C190" s="363" t="s">
        <v>24</v>
      </c>
      <c r="D190" s="368">
        <v>46057.0</v>
      </c>
      <c r="E190" s="363" t="s">
        <v>989</v>
      </c>
      <c r="F190" s="363" t="s">
        <v>991</v>
      </c>
      <c r="G190" s="363" t="s">
        <v>992</v>
      </c>
      <c r="H190" s="363" t="s">
        <v>995</v>
      </c>
      <c r="I190" s="363" t="s">
        <v>996</v>
      </c>
      <c r="J190" s="363" t="s">
        <v>998</v>
      </c>
      <c r="K190" s="363" t="s">
        <v>1001</v>
      </c>
      <c r="L190" s="365"/>
      <c r="M190" s="365">
        <v>46085.97300407407</v>
      </c>
      <c r="N190" s="363"/>
      <c r="O190" s="363" t="b">
        <v>0</v>
      </c>
      <c r="P190" s="370"/>
    </row>
    <row r="191">
      <c r="A191" s="363" t="s">
        <v>62</v>
      </c>
      <c r="B191" s="363" t="s">
        <v>23</v>
      </c>
      <c r="C191" s="363" t="s">
        <v>24</v>
      </c>
      <c r="D191" s="368">
        <v>46073.0</v>
      </c>
      <c r="E191" s="363" t="s">
        <v>1012</v>
      </c>
      <c r="F191" s="363" t="s">
        <v>1014</v>
      </c>
      <c r="G191" s="363" t="s">
        <v>1016</v>
      </c>
      <c r="H191" s="363" t="s">
        <v>1018</v>
      </c>
      <c r="I191" s="363" t="s">
        <v>1020</v>
      </c>
      <c r="J191" s="363" t="s">
        <v>1021</v>
      </c>
      <c r="K191" s="363" t="s">
        <v>1022</v>
      </c>
      <c r="L191" s="365"/>
      <c r="M191" s="365">
        <v>46083.8814074074</v>
      </c>
      <c r="N191" s="363"/>
      <c r="O191" s="363" t="b">
        <v>0</v>
      </c>
      <c r="P191" s="370"/>
    </row>
    <row r="192">
      <c r="A192" s="363" t="s">
        <v>62</v>
      </c>
      <c r="B192" s="363" t="s">
        <v>53</v>
      </c>
      <c r="C192" s="363" t="s">
        <v>24</v>
      </c>
      <c r="D192" s="368">
        <v>46065.0</v>
      </c>
      <c r="E192" s="363" t="s">
        <v>1032</v>
      </c>
      <c r="F192" s="363" t="s">
        <v>1033</v>
      </c>
      <c r="G192" s="363" t="s">
        <v>1034</v>
      </c>
      <c r="H192" s="363" t="s">
        <v>1035</v>
      </c>
      <c r="I192" s="363" t="s">
        <v>947</v>
      </c>
      <c r="J192" s="363" t="s">
        <v>1036</v>
      </c>
      <c r="K192" s="363" t="s">
        <v>1037</v>
      </c>
      <c r="L192" s="365"/>
      <c r="M192" s="365">
        <v>46094.81953980324</v>
      </c>
      <c r="N192" s="363"/>
      <c r="O192" s="363" t="b">
        <v>0</v>
      </c>
      <c r="P192" s="370"/>
    </row>
    <row r="193">
      <c r="A193" s="363" t="s">
        <v>22</v>
      </c>
      <c r="B193" s="363" t="s">
        <v>225</v>
      </c>
      <c r="C193" s="363" t="s">
        <v>24</v>
      </c>
      <c r="D193" s="368">
        <v>46062.0</v>
      </c>
      <c r="E193" s="363" t="s">
        <v>1045</v>
      </c>
      <c r="F193" s="363" t="s">
        <v>1046</v>
      </c>
      <c r="G193" s="363" t="s">
        <v>1047</v>
      </c>
      <c r="H193" s="363" t="s">
        <v>1048</v>
      </c>
      <c r="I193" s="363" t="s">
        <v>240</v>
      </c>
      <c r="J193" s="363" t="s">
        <v>1051</v>
      </c>
      <c r="K193" s="363" t="s">
        <v>1052</v>
      </c>
      <c r="L193" s="365"/>
      <c r="M193" s="365">
        <v>46183.84181601852</v>
      </c>
      <c r="N193" s="363"/>
      <c r="O193" s="363" t="b">
        <v>0</v>
      </c>
      <c r="P193" s="370"/>
    </row>
    <row r="194">
      <c r="A194" s="363" t="s">
        <v>17</v>
      </c>
      <c r="B194" s="363" t="s">
        <v>53</v>
      </c>
      <c r="C194" s="363" t="s">
        <v>24</v>
      </c>
      <c r="D194" s="368">
        <v>46083.0</v>
      </c>
      <c r="E194" s="363" t="s">
        <v>1062</v>
      </c>
      <c r="F194" s="363" t="s">
        <v>1066</v>
      </c>
      <c r="G194" s="363" t="s">
        <v>1068</v>
      </c>
      <c r="H194" s="363" t="s">
        <v>1069</v>
      </c>
      <c r="I194" s="363" t="s">
        <v>1079</v>
      </c>
      <c r="J194" s="363" t="s">
        <v>1080</v>
      </c>
      <c r="K194" s="363" t="s">
        <v>1083</v>
      </c>
      <c r="L194" s="365"/>
      <c r="M194" s="365">
        <v>46183.86475712963</v>
      </c>
      <c r="N194" s="363"/>
      <c r="O194" s="363" t="b">
        <v>0</v>
      </c>
      <c r="P194" s="370"/>
    </row>
    <row r="195">
      <c r="A195" s="363" t="s">
        <v>62</v>
      </c>
      <c r="B195" s="363" t="s">
        <v>23</v>
      </c>
      <c r="C195" s="363" t="s">
        <v>24</v>
      </c>
      <c r="D195" s="368">
        <v>46080.0</v>
      </c>
      <c r="E195" s="363" t="s">
        <v>1124</v>
      </c>
      <c r="F195" s="363" t="s">
        <v>1125</v>
      </c>
      <c r="G195" s="363" t="s">
        <v>1126</v>
      </c>
      <c r="H195" s="363" t="s">
        <v>1128</v>
      </c>
      <c r="I195" s="363" t="s">
        <v>445</v>
      </c>
      <c r="J195" s="363" t="s">
        <v>1133</v>
      </c>
      <c r="K195" s="363" t="s">
        <v>1136</v>
      </c>
      <c r="L195" s="363"/>
      <c r="M195" s="369">
        <v>46209.85936396991</v>
      </c>
      <c r="N195" s="363"/>
      <c r="O195" s="363" t="b">
        <v>0</v>
      </c>
      <c r="P195" s="370"/>
    </row>
    <row r="196">
      <c r="A196" s="363" t="s">
        <v>17</v>
      </c>
      <c r="B196" s="363" t="s">
        <v>23</v>
      </c>
      <c r="C196" s="363" t="s">
        <v>24</v>
      </c>
      <c r="D196" s="366">
        <v>46084.0</v>
      </c>
      <c r="E196" s="363" t="s">
        <v>1177</v>
      </c>
      <c r="F196" s="363" t="s">
        <v>1178</v>
      </c>
      <c r="G196" s="363" t="s">
        <v>1179</v>
      </c>
      <c r="H196" s="363" t="s">
        <v>1180</v>
      </c>
      <c r="I196" s="363" t="s">
        <v>1181</v>
      </c>
      <c r="J196" s="363" t="s">
        <v>1185</v>
      </c>
      <c r="K196" s="363" t="s">
        <v>1193</v>
      </c>
      <c r="L196" s="365"/>
      <c r="M196" s="365">
        <v>46176.704605266204</v>
      </c>
      <c r="N196" s="363"/>
      <c r="O196" s="363" t="b">
        <v>0</v>
      </c>
      <c r="P196" s="370"/>
    </row>
    <row r="197">
      <c r="A197" s="363" t="s">
        <v>62</v>
      </c>
      <c r="B197" s="363" t="s">
        <v>53</v>
      </c>
      <c r="C197" s="363" t="s">
        <v>24</v>
      </c>
      <c r="D197" s="368">
        <v>46063.0</v>
      </c>
      <c r="E197" s="363" t="s">
        <v>1220</v>
      </c>
      <c r="F197" s="363" t="s">
        <v>1223</v>
      </c>
      <c r="G197" s="363" t="s">
        <v>1224</v>
      </c>
      <c r="H197" s="363" t="s">
        <v>1225</v>
      </c>
      <c r="I197" s="363" t="s">
        <v>843</v>
      </c>
      <c r="J197" s="363" t="s">
        <v>1226</v>
      </c>
      <c r="K197" s="363" t="s">
        <v>1228</v>
      </c>
      <c r="L197" s="363"/>
      <c r="M197" s="369">
        <v>46094.8266769676</v>
      </c>
      <c r="N197" s="363"/>
      <c r="O197" s="363" t="b">
        <v>0</v>
      </c>
      <c r="P197" s="370"/>
    </row>
    <row r="198">
      <c r="A198" s="363" t="s">
        <v>62</v>
      </c>
      <c r="B198" s="363" t="s">
        <v>53</v>
      </c>
      <c r="C198" s="363" t="s">
        <v>24</v>
      </c>
      <c r="D198" s="368">
        <v>46080.0</v>
      </c>
      <c r="E198" s="363" t="s">
        <v>1247</v>
      </c>
      <c r="F198" s="363" t="s">
        <v>1248</v>
      </c>
      <c r="G198" s="363" t="s">
        <v>1249</v>
      </c>
      <c r="H198" s="363" t="s">
        <v>1250</v>
      </c>
      <c r="I198" s="363" t="s">
        <v>359</v>
      </c>
      <c r="J198" s="363" t="s">
        <v>1253</v>
      </c>
      <c r="K198" s="363" t="s">
        <v>1256</v>
      </c>
      <c r="L198" s="363"/>
      <c r="M198" s="369">
        <v>46098.9524294213</v>
      </c>
      <c r="N198" s="363"/>
      <c r="O198" s="363" t="b">
        <v>0</v>
      </c>
      <c r="P198" s="370"/>
    </row>
    <row r="199">
      <c r="A199" s="363" t="s">
        <v>62</v>
      </c>
      <c r="B199" s="363" t="s">
        <v>53</v>
      </c>
      <c r="C199" s="363" t="s">
        <v>24</v>
      </c>
      <c r="D199" s="368">
        <v>46077.0</v>
      </c>
      <c r="E199" s="363" t="s">
        <v>1267</v>
      </c>
      <c r="F199" s="363" t="s">
        <v>1268</v>
      </c>
      <c r="G199" s="363" t="s">
        <v>1269</v>
      </c>
      <c r="H199" s="363" t="s">
        <v>1270</v>
      </c>
      <c r="I199" s="363" t="s">
        <v>612</v>
      </c>
      <c r="J199" s="363" t="s">
        <v>1272</v>
      </c>
      <c r="K199" s="363" t="s">
        <v>1274</v>
      </c>
      <c r="L199" s="363"/>
      <c r="M199" s="369">
        <v>46087.974540625</v>
      </c>
      <c r="N199" s="363"/>
      <c r="O199" s="363" t="b">
        <v>0</v>
      </c>
      <c r="P199" s="370"/>
    </row>
    <row r="200">
      <c r="A200" s="363" t="s">
        <v>62</v>
      </c>
      <c r="B200" s="363" t="s">
        <v>53</v>
      </c>
      <c r="C200" s="363" t="s">
        <v>24</v>
      </c>
      <c r="D200" s="368">
        <v>46085.0</v>
      </c>
      <c r="E200" s="363" t="s">
        <v>1281</v>
      </c>
      <c r="F200" s="363" t="s">
        <v>1283</v>
      </c>
      <c r="G200" s="363" t="s">
        <v>1285</v>
      </c>
      <c r="H200" s="363" t="s">
        <v>1286</v>
      </c>
      <c r="I200" s="363" t="s">
        <v>140</v>
      </c>
      <c r="J200" s="363" t="s">
        <v>1290</v>
      </c>
      <c r="K200" s="363" t="s">
        <v>1293</v>
      </c>
      <c r="L200" s="363"/>
      <c r="M200" s="369">
        <v>46090.87682803241</v>
      </c>
      <c r="N200" s="363"/>
      <c r="O200" s="363" t="b">
        <v>0</v>
      </c>
      <c r="P200" s="370"/>
    </row>
    <row r="201">
      <c r="A201" s="363" t="s">
        <v>17</v>
      </c>
      <c r="B201" s="363" t="s">
        <v>23</v>
      </c>
      <c r="C201" s="363" t="s">
        <v>24</v>
      </c>
      <c r="D201" s="368">
        <v>46086.0</v>
      </c>
      <c r="E201" s="363" t="s">
        <v>1298</v>
      </c>
      <c r="F201" s="363" t="s">
        <v>1301</v>
      </c>
      <c r="G201" s="363" t="s">
        <v>1303</v>
      </c>
      <c r="H201" s="363" t="s">
        <v>1305</v>
      </c>
      <c r="I201" s="363" t="s">
        <v>973</v>
      </c>
      <c r="J201" s="363" t="s">
        <v>1308</v>
      </c>
      <c r="K201" s="363" t="s">
        <v>1312</v>
      </c>
      <c r="L201" s="363"/>
      <c r="M201" s="369">
        <v>46252.76082412037</v>
      </c>
      <c r="N201" s="363"/>
      <c r="O201" s="363" t="b">
        <v>0</v>
      </c>
      <c r="P201" s="370"/>
    </row>
    <row r="202">
      <c r="A202" s="363" t="s">
        <v>62</v>
      </c>
      <c r="B202" s="363" t="s">
        <v>53</v>
      </c>
      <c r="C202" s="363" t="s">
        <v>24</v>
      </c>
      <c r="D202" s="368">
        <v>46092.0</v>
      </c>
      <c r="E202" s="363" t="s">
        <v>65</v>
      </c>
      <c r="F202" s="363" t="s">
        <v>66</v>
      </c>
      <c r="G202" s="363" t="s">
        <v>67</v>
      </c>
      <c r="H202" s="363" t="s">
        <v>68</v>
      </c>
      <c r="I202" s="363" t="s">
        <v>581</v>
      </c>
      <c r="J202" s="363" t="s">
        <v>72</v>
      </c>
      <c r="K202" s="363" t="s">
        <v>76</v>
      </c>
      <c r="L202" s="363"/>
      <c r="M202" s="369">
        <v>46223.76303456019</v>
      </c>
      <c r="N202" s="363"/>
      <c r="O202" s="363" t="b">
        <v>0</v>
      </c>
      <c r="P202" s="370"/>
    </row>
    <row r="203">
      <c r="A203" s="363" t="s">
        <v>62</v>
      </c>
      <c r="B203" s="363" t="s">
        <v>19</v>
      </c>
      <c r="C203" s="363" t="s">
        <v>24</v>
      </c>
      <c r="D203" s="368">
        <v>46111.0</v>
      </c>
      <c r="E203" s="363" t="s">
        <v>1338</v>
      </c>
      <c r="F203" s="363" t="s">
        <v>1340</v>
      </c>
      <c r="G203" s="363" t="s">
        <v>1342</v>
      </c>
      <c r="H203" s="363" t="s">
        <v>1344</v>
      </c>
      <c r="I203" s="363" t="s">
        <v>1346</v>
      </c>
      <c r="J203" s="363" t="s">
        <v>1348</v>
      </c>
      <c r="K203" s="363" t="s">
        <v>1350</v>
      </c>
      <c r="L203" s="363"/>
      <c r="M203" s="366">
        <v>46225.0</v>
      </c>
      <c r="N203" s="363"/>
      <c r="O203" s="363" t="b">
        <v>0</v>
      </c>
      <c r="P203" s="370"/>
    </row>
    <row r="204">
      <c r="A204" s="363" t="s">
        <v>62</v>
      </c>
      <c r="B204" s="363" t="s">
        <v>53</v>
      </c>
      <c r="C204" s="363" t="s">
        <v>24</v>
      </c>
      <c r="D204" s="368">
        <v>46100.0</v>
      </c>
      <c r="E204" s="363" t="s">
        <v>1359</v>
      </c>
      <c r="F204" s="363" t="s">
        <v>1360</v>
      </c>
      <c r="G204" s="363" t="s">
        <v>1361</v>
      </c>
      <c r="H204" s="363" t="s">
        <v>1362</v>
      </c>
      <c r="I204" s="363" t="s">
        <v>872</v>
      </c>
      <c r="J204" s="363" t="s">
        <v>1364</v>
      </c>
      <c r="K204" s="363" t="s">
        <v>1367</v>
      </c>
      <c r="L204" s="363"/>
      <c r="M204" s="369">
        <v>46160.93162363426</v>
      </c>
      <c r="N204" s="363"/>
      <c r="O204" s="363" t="b">
        <v>0</v>
      </c>
      <c r="P204" s="370"/>
    </row>
    <row r="205">
      <c r="A205" s="363" t="s">
        <v>62</v>
      </c>
      <c r="B205" s="363" t="s">
        <v>225</v>
      </c>
      <c r="C205" s="363" t="s">
        <v>24</v>
      </c>
      <c r="D205" s="368">
        <v>46106.0</v>
      </c>
      <c r="E205" s="363" t="s">
        <v>1372</v>
      </c>
      <c r="F205" s="363" t="s">
        <v>1373</v>
      </c>
      <c r="G205" s="363" t="s">
        <v>1374</v>
      </c>
      <c r="H205" s="363" t="s">
        <v>1376</v>
      </c>
      <c r="I205" s="363" t="s">
        <v>1378</v>
      </c>
      <c r="J205" s="363" t="s">
        <v>1381</v>
      </c>
      <c r="K205" s="363" t="s">
        <v>1383</v>
      </c>
      <c r="L205" s="363"/>
      <c r="M205" s="369">
        <v>46107.776569548616</v>
      </c>
      <c r="N205" s="363"/>
      <c r="O205" s="363" t="b">
        <v>0</v>
      </c>
      <c r="P205" s="370"/>
    </row>
    <row r="206">
      <c r="A206" s="363" t="s">
        <v>62</v>
      </c>
      <c r="B206" s="363" t="s">
        <v>225</v>
      </c>
      <c r="C206" s="363" t="s">
        <v>24</v>
      </c>
      <c r="D206" s="368">
        <v>46099.0</v>
      </c>
      <c r="E206" s="363" t="s">
        <v>1389</v>
      </c>
      <c r="F206" s="363" t="s">
        <v>1391</v>
      </c>
      <c r="G206" s="363" t="s">
        <v>1393</v>
      </c>
      <c r="H206" s="363" t="s">
        <v>1394</v>
      </c>
      <c r="I206" s="363" t="s">
        <v>613</v>
      </c>
      <c r="J206" s="363" t="s">
        <v>1397</v>
      </c>
      <c r="K206" s="363" t="s">
        <v>1399</v>
      </c>
      <c r="L206" s="363"/>
      <c r="M206" s="369">
        <v>46105.75285123843</v>
      </c>
      <c r="N206" s="363"/>
      <c r="O206" s="363" t="b">
        <v>0</v>
      </c>
      <c r="P206" s="370"/>
    </row>
    <row r="207">
      <c r="A207" s="363" t="s">
        <v>62</v>
      </c>
      <c r="B207" s="363" t="s">
        <v>53</v>
      </c>
      <c r="C207" s="363" t="s">
        <v>24</v>
      </c>
      <c r="D207" s="368">
        <v>46119.0</v>
      </c>
      <c r="E207" s="363" t="s">
        <v>1401</v>
      </c>
      <c r="F207" s="363" t="s">
        <v>1402</v>
      </c>
      <c r="G207" s="363" t="s">
        <v>1403</v>
      </c>
      <c r="H207" s="363" t="s">
        <v>1404</v>
      </c>
      <c r="I207" s="363" t="s">
        <v>1405</v>
      </c>
      <c r="J207" s="363" t="s">
        <v>1407</v>
      </c>
      <c r="K207" s="363" t="s">
        <v>1409</v>
      </c>
      <c r="L207" s="363"/>
      <c r="M207" s="369">
        <v>46120.92612363426</v>
      </c>
      <c r="N207" s="363"/>
      <c r="O207" s="363" t="b">
        <v>0</v>
      </c>
      <c r="P207" s="370"/>
    </row>
    <row r="208">
      <c r="A208" s="363" t="s">
        <v>62</v>
      </c>
      <c r="B208" s="363" t="s">
        <v>19</v>
      </c>
      <c r="C208" s="363" t="s">
        <v>24</v>
      </c>
      <c r="D208" s="368">
        <v>46120.0</v>
      </c>
      <c r="E208" s="363" t="s">
        <v>1416</v>
      </c>
      <c r="F208" s="363" t="s">
        <v>1417</v>
      </c>
      <c r="G208" s="363" t="s">
        <v>1419</v>
      </c>
      <c r="H208" s="363" t="s">
        <v>1420</v>
      </c>
      <c r="I208" s="363" t="s">
        <v>1422</v>
      </c>
      <c r="J208" s="363" t="s">
        <v>1424</v>
      </c>
      <c r="K208" s="363" t="s">
        <v>1425</v>
      </c>
      <c r="L208" s="363"/>
      <c r="M208" s="369">
        <v>46139.72662050926</v>
      </c>
      <c r="N208" s="363"/>
      <c r="O208" s="363" t="b">
        <v>0</v>
      </c>
      <c r="P208" s="370"/>
    </row>
    <row r="209">
      <c r="A209" s="363" t="s">
        <v>410</v>
      </c>
      <c r="B209" s="363" t="s">
        <v>19</v>
      </c>
      <c r="C209" s="363" t="s">
        <v>24</v>
      </c>
      <c r="D209" s="368">
        <v>46132.0</v>
      </c>
      <c r="E209" s="363" t="s">
        <v>1427</v>
      </c>
      <c r="F209" s="363" t="s">
        <v>1428</v>
      </c>
      <c r="G209" s="363" t="s">
        <v>1429</v>
      </c>
      <c r="H209" s="363" t="s">
        <v>1430</v>
      </c>
      <c r="I209" s="363" t="s">
        <v>1431</v>
      </c>
      <c r="J209" s="363" t="s">
        <v>1432</v>
      </c>
      <c r="K209" s="363" t="s">
        <v>1433</v>
      </c>
      <c r="L209" s="368"/>
      <c r="M209" s="369">
        <v>46248.74862966435</v>
      </c>
      <c r="N209" s="363"/>
      <c r="O209" s="363" t="b">
        <v>0</v>
      </c>
      <c r="P209" s="370"/>
    </row>
    <row r="210">
      <c r="A210" s="363" t="s">
        <v>62</v>
      </c>
      <c r="B210" s="363" t="s">
        <v>225</v>
      </c>
      <c r="C210" s="363" t="s">
        <v>24</v>
      </c>
      <c r="D210" s="368">
        <v>46128.0</v>
      </c>
      <c r="E210" s="363" t="s">
        <v>1435</v>
      </c>
      <c r="F210" s="363" t="s">
        <v>1436</v>
      </c>
      <c r="G210" s="363" t="s">
        <v>1437</v>
      </c>
      <c r="H210" s="363" t="s">
        <v>1438</v>
      </c>
      <c r="I210" s="363" t="s">
        <v>1439</v>
      </c>
      <c r="J210" s="363"/>
      <c r="K210" s="363" t="s">
        <v>1440</v>
      </c>
      <c r="L210" s="368"/>
      <c r="M210" s="369">
        <v>46149.90908672454</v>
      </c>
      <c r="N210" s="363"/>
      <c r="O210" s="363" t="b">
        <v>0</v>
      </c>
      <c r="P210" s="370"/>
    </row>
    <row r="211">
      <c r="A211" s="363" t="s">
        <v>62</v>
      </c>
      <c r="B211" s="363" t="s">
        <v>225</v>
      </c>
      <c r="C211" s="363" t="s">
        <v>24</v>
      </c>
      <c r="D211" s="368">
        <v>46135.0</v>
      </c>
      <c r="E211" s="363" t="s">
        <v>1442</v>
      </c>
      <c r="F211" s="363" t="s">
        <v>1443</v>
      </c>
      <c r="G211" s="363" t="s">
        <v>1445</v>
      </c>
      <c r="H211" s="363" t="s">
        <v>1447</v>
      </c>
      <c r="I211" s="363" t="s">
        <v>581</v>
      </c>
      <c r="J211" s="363" t="s">
        <v>1470</v>
      </c>
      <c r="K211" s="363" t="s">
        <v>1481</v>
      </c>
      <c r="L211" s="368"/>
      <c r="M211" s="369">
        <v>46136.947060763894</v>
      </c>
      <c r="N211" s="363"/>
      <c r="O211" s="363" t="b">
        <v>0</v>
      </c>
      <c r="P211" s="370"/>
    </row>
    <row r="212">
      <c r="A212" s="363" t="s">
        <v>62</v>
      </c>
      <c r="B212" s="363" t="s">
        <v>19</v>
      </c>
      <c r="C212" s="363" t="s">
        <v>24</v>
      </c>
      <c r="D212" s="368">
        <v>46133.0</v>
      </c>
      <c r="E212" s="363" t="s">
        <v>1503</v>
      </c>
      <c r="F212" s="363" t="s">
        <v>1505</v>
      </c>
      <c r="G212" s="363" t="s">
        <v>1506</v>
      </c>
      <c r="H212" s="363" t="s">
        <v>1507</v>
      </c>
      <c r="I212" s="363" t="s">
        <v>1508</v>
      </c>
      <c r="J212" s="363" t="s">
        <v>1509</v>
      </c>
      <c r="K212" s="363" t="s">
        <v>1510</v>
      </c>
      <c r="L212" s="363" t="s">
        <v>1513</v>
      </c>
      <c r="M212" s="369">
        <v>46248.74874792824</v>
      </c>
      <c r="N212" s="363"/>
      <c r="O212" s="363" t="b">
        <v>1</v>
      </c>
      <c r="P212" s="370"/>
    </row>
    <row r="213">
      <c r="A213" s="363" t="s">
        <v>906</v>
      </c>
      <c r="B213" s="363" t="s">
        <v>225</v>
      </c>
      <c r="C213" s="363" t="s">
        <v>24</v>
      </c>
      <c r="D213" s="368">
        <v>46148.0</v>
      </c>
      <c r="E213" s="363" t="s">
        <v>1523</v>
      </c>
      <c r="F213" s="363" t="s">
        <v>1525</v>
      </c>
      <c r="G213" s="363" t="s">
        <v>1529</v>
      </c>
      <c r="H213" s="363" t="s">
        <v>1532</v>
      </c>
      <c r="I213" s="363" t="s">
        <v>883</v>
      </c>
      <c r="J213" s="363" t="s">
        <v>1536</v>
      </c>
      <c r="K213" s="363" t="s">
        <v>1537</v>
      </c>
      <c r="L213" s="363"/>
      <c r="M213" s="369">
        <v>46192.74531333333</v>
      </c>
      <c r="N213" s="363"/>
      <c r="O213" s="363" t="b">
        <v>0</v>
      </c>
      <c r="P213" s="370"/>
    </row>
    <row r="214">
      <c r="A214" s="363" t="s">
        <v>62</v>
      </c>
      <c r="B214" s="363" t="s">
        <v>225</v>
      </c>
      <c r="C214" s="363" t="s">
        <v>24</v>
      </c>
      <c r="D214" s="368">
        <v>46146.0</v>
      </c>
      <c r="E214" s="363" t="s">
        <v>1538</v>
      </c>
      <c r="F214" s="363" t="s">
        <v>1539</v>
      </c>
      <c r="G214" s="363" t="s">
        <v>1540</v>
      </c>
      <c r="H214" s="363" t="s">
        <v>1541</v>
      </c>
      <c r="I214" s="363" t="s">
        <v>513</v>
      </c>
      <c r="J214" s="363" t="s">
        <v>1542</v>
      </c>
      <c r="K214" s="363" t="s">
        <v>1543</v>
      </c>
      <c r="L214" s="363"/>
      <c r="M214" s="369">
        <v>46147.92017703704</v>
      </c>
      <c r="N214" s="363"/>
      <c r="O214" s="363" t="b">
        <v>0</v>
      </c>
      <c r="P214" s="370"/>
    </row>
    <row r="215">
      <c r="A215" s="363" t="s">
        <v>62</v>
      </c>
      <c r="B215" s="363" t="s">
        <v>53</v>
      </c>
      <c r="C215" s="363" t="s">
        <v>24</v>
      </c>
      <c r="D215" s="368">
        <v>46134.0</v>
      </c>
      <c r="E215" s="363" t="s">
        <v>1544</v>
      </c>
      <c r="F215" s="363" t="s">
        <v>1545</v>
      </c>
      <c r="G215" s="363" t="s">
        <v>1546</v>
      </c>
      <c r="H215" s="363" t="s">
        <v>1547</v>
      </c>
      <c r="I215" s="363" t="s">
        <v>667</v>
      </c>
      <c r="J215" s="363" t="s">
        <v>1548</v>
      </c>
      <c r="K215" s="363" t="s">
        <v>1549</v>
      </c>
      <c r="L215" s="363"/>
      <c r="M215" s="369">
        <v>46232.73893747685</v>
      </c>
      <c r="N215" s="363"/>
      <c r="O215" s="363" t="b">
        <v>0</v>
      </c>
      <c r="P215" s="370"/>
    </row>
    <row r="216">
      <c r="A216" s="363" t="s">
        <v>62</v>
      </c>
      <c r="B216" s="363" t="s">
        <v>53</v>
      </c>
      <c r="C216" s="363" t="s">
        <v>24</v>
      </c>
      <c r="D216" s="368">
        <v>46139.0</v>
      </c>
      <c r="E216" s="363" t="s">
        <v>1553</v>
      </c>
      <c r="F216" s="363" t="s">
        <v>1556</v>
      </c>
      <c r="G216" s="363">
        <v>8.582043649E9</v>
      </c>
      <c r="H216" s="363" t="s">
        <v>1558</v>
      </c>
      <c r="I216" s="363" t="s">
        <v>425</v>
      </c>
      <c r="J216" s="363" t="s">
        <v>1562</v>
      </c>
      <c r="K216" s="363" t="s">
        <v>1564</v>
      </c>
      <c r="L216" s="363"/>
      <c r="M216" s="369">
        <v>46142.00899446759</v>
      </c>
      <c r="N216" s="363"/>
      <c r="O216" s="363" t="b">
        <v>0</v>
      </c>
      <c r="P216" s="370"/>
    </row>
    <row r="217">
      <c r="A217" s="363" t="s">
        <v>62</v>
      </c>
      <c r="B217" s="363" t="s">
        <v>53</v>
      </c>
      <c r="C217" s="363" t="s">
        <v>24</v>
      </c>
      <c r="D217" s="366">
        <v>46136.0</v>
      </c>
      <c r="E217" s="363" t="s">
        <v>1569</v>
      </c>
      <c r="F217" s="363" t="s">
        <v>1572</v>
      </c>
      <c r="G217" s="363" t="s">
        <v>1574</v>
      </c>
      <c r="H217" s="363" t="s">
        <v>1575</v>
      </c>
      <c r="I217" s="363" t="s">
        <v>90</v>
      </c>
      <c r="J217" s="363" t="s">
        <v>1578</v>
      </c>
      <c r="K217" s="363" t="s">
        <v>1579</v>
      </c>
      <c r="L217" s="363"/>
      <c r="M217" s="369">
        <v>46160.93218974537</v>
      </c>
      <c r="N217" s="363"/>
      <c r="O217" s="363" t="b">
        <v>0</v>
      </c>
      <c r="P217" s="370"/>
    </row>
    <row r="218">
      <c r="A218" s="363" t="s">
        <v>62</v>
      </c>
      <c r="B218" s="363" t="s">
        <v>19</v>
      </c>
      <c r="C218" s="363" t="s">
        <v>24</v>
      </c>
      <c r="D218" s="368">
        <v>46143.0</v>
      </c>
      <c r="E218" s="363" t="s">
        <v>1587</v>
      </c>
      <c r="F218" s="363" t="s">
        <v>1588</v>
      </c>
      <c r="G218" s="363" t="s">
        <v>1590</v>
      </c>
      <c r="H218" s="363" t="s">
        <v>1591</v>
      </c>
      <c r="I218" s="363" t="s">
        <v>1592</v>
      </c>
      <c r="J218" s="363" t="s">
        <v>1595</v>
      </c>
      <c r="K218" s="363" t="s">
        <v>1598</v>
      </c>
      <c r="L218" s="363"/>
      <c r="M218" s="369">
        <v>46146.76514841436</v>
      </c>
      <c r="N218" s="363"/>
      <c r="O218" s="363" t="b">
        <v>0</v>
      </c>
      <c r="P218" s="370"/>
    </row>
    <row r="219">
      <c r="A219" s="363" t="s">
        <v>22</v>
      </c>
      <c r="B219" s="363" t="s">
        <v>23</v>
      </c>
      <c r="C219" s="363" t="s">
        <v>24</v>
      </c>
      <c r="D219" s="366">
        <v>46136.0</v>
      </c>
      <c r="E219" s="363" t="s">
        <v>1627</v>
      </c>
      <c r="F219" s="363" t="s">
        <v>1629</v>
      </c>
      <c r="G219" s="363" t="s">
        <v>1631</v>
      </c>
      <c r="H219" s="363" t="s">
        <v>1632</v>
      </c>
      <c r="I219" s="371" t="s">
        <v>106</v>
      </c>
      <c r="J219" s="363" t="s">
        <v>1660</v>
      </c>
      <c r="K219" s="363" t="s">
        <v>1661</v>
      </c>
      <c r="L219" s="365"/>
      <c r="M219" s="368">
        <v>46197.673668738425</v>
      </c>
      <c r="N219" s="363"/>
      <c r="O219" s="363" t="b">
        <v>0</v>
      </c>
      <c r="P219" s="370"/>
    </row>
    <row r="220">
      <c r="A220" s="363" t="s">
        <v>410</v>
      </c>
      <c r="B220" s="363" t="s">
        <v>23</v>
      </c>
      <c r="C220" s="363" t="s">
        <v>24</v>
      </c>
      <c r="D220" s="366">
        <v>46142.0</v>
      </c>
      <c r="E220" s="363" t="s">
        <v>1696</v>
      </c>
      <c r="F220" s="363" t="s">
        <v>1698</v>
      </c>
      <c r="G220" s="363" t="s">
        <v>1699</v>
      </c>
      <c r="H220" s="363" t="s">
        <v>1700</v>
      </c>
      <c r="I220" s="371" t="s">
        <v>1288</v>
      </c>
      <c r="J220" s="363" t="s">
        <v>1711</v>
      </c>
      <c r="K220" s="363" t="s">
        <v>1712</v>
      </c>
      <c r="L220" s="365"/>
      <c r="M220" s="368">
        <v>46150.96136601851</v>
      </c>
      <c r="N220" s="363"/>
      <c r="O220" s="363" t="b">
        <v>0</v>
      </c>
      <c r="P220" s="370"/>
    </row>
    <row r="221">
      <c r="A221" s="363" t="s">
        <v>22</v>
      </c>
      <c r="B221" s="363" t="s">
        <v>23</v>
      </c>
      <c r="C221" s="363" t="s">
        <v>1722</v>
      </c>
      <c r="D221" s="366">
        <v>46136.0</v>
      </c>
      <c r="E221" s="363" t="s">
        <v>1729</v>
      </c>
      <c r="F221" s="363" t="s">
        <v>1731</v>
      </c>
      <c r="G221" s="363" t="s">
        <v>1732</v>
      </c>
      <c r="H221" s="363" t="s">
        <v>1734</v>
      </c>
      <c r="I221" s="363" t="s">
        <v>1630</v>
      </c>
      <c r="J221" s="363" t="s">
        <v>1736</v>
      </c>
      <c r="K221" s="363" t="s">
        <v>1737</v>
      </c>
      <c r="L221" s="365"/>
      <c r="M221" s="369">
        <v>46175.82464417824</v>
      </c>
      <c r="N221" s="363"/>
      <c r="O221" s="363" t="b">
        <v>0</v>
      </c>
      <c r="P221" s="370"/>
    </row>
    <row r="222">
      <c r="A222" s="363" t="s">
        <v>62</v>
      </c>
      <c r="B222" s="363" t="s">
        <v>225</v>
      </c>
      <c r="C222" s="363" t="s">
        <v>24</v>
      </c>
      <c r="D222" s="368">
        <v>46154.0</v>
      </c>
      <c r="E222" s="363" t="s">
        <v>1757</v>
      </c>
      <c r="F222" s="363" t="s">
        <v>1759</v>
      </c>
      <c r="G222" s="363" t="s">
        <v>1761</v>
      </c>
      <c r="H222" s="363" t="s">
        <v>1762</v>
      </c>
      <c r="I222" s="363" t="s">
        <v>1155</v>
      </c>
      <c r="J222" s="363" t="s">
        <v>1764</v>
      </c>
      <c r="K222" s="363" t="s">
        <v>1766</v>
      </c>
      <c r="L222" s="365"/>
      <c r="M222" s="369">
        <v>46161.862108182875</v>
      </c>
      <c r="N222" s="363"/>
      <c r="O222" s="363"/>
      <c r="P222" s="370"/>
    </row>
    <row r="223">
      <c r="A223" s="363" t="s">
        <v>22</v>
      </c>
      <c r="B223" s="363" t="s">
        <v>23</v>
      </c>
      <c r="C223" s="363" t="s">
        <v>24</v>
      </c>
      <c r="D223" s="368">
        <v>46160.0</v>
      </c>
      <c r="E223" s="363" t="s">
        <v>1773</v>
      </c>
      <c r="F223" s="363" t="s">
        <v>1774</v>
      </c>
      <c r="G223" s="363" t="s">
        <v>1775</v>
      </c>
      <c r="H223" s="363" t="s">
        <v>1777</v>
      </c>
      <c r="I223" s="363" t="s">
        <v>1760</v>
      </c>
      <c r="J223" s="363" t="s">
        <v>1781</v>
      </c>
      <c r="K223" s="363" t="s">
        <v>1783</v>
      </c>
      <c r="L223" s="365"/>
      <c r="M223" s="369">
        <v>46232.68389862269</v>
      </c>
      <c r="N223" s="363"/>
      <c r="O223" s="363"/>
      <c r="P223" s="370"/>
    </row>
    <row r="224">
      <c r="A224" s="363" t="s">
        <v>62</v>
      </c>
      <c r="B224" s="363" t="s">
        <v>225</v>
      </c>
      <c r="C224" s="363" t="s">
        <v>24</v>
      </c>
      <c r="D224" s="368">
        <v>46163.0</v>
      </c>
      <c r="E224" s="363" t="s">
        <v>1784</v>
      </c>
      <c r="F224" s="363" t="s">
        <v>1785</v>
      </c>
      <c r="G224" s="363" t="s">
        <v>1787</v>
      </c>
      <c r="H224" s="363" t="s">
        <v>1789</v>
      </c>
      <c r="I224" s="363" t="s">
        <v>1791</v>
      </c>
      <c r="J224" s="363" t="s">
        <v>1792</v>
      </c>
      <c r="K224" s="363" t="s">
        <v>1793</v>
      </c>
      <c r="L224" s="365"/>
      <c r="M224" s="369">
        <v>46184.931249988425</v>
      </c>
      <c r="N224" s="363"/>
      <c r="O224" s="363"/>
      <c r="P224" s="370"/>
    </row>
    <row r="225">
      <c r="A225" s="363" t="s">
        <v>18</v>
      </c>
      <c r="B225" s="363" t="s">
        <v>225</v>
      </c>
      <c r="C225" s="363" t="s">
        <v>24</v>
      </c>
      <c r="D225" s="368">
        <v>46168.0</v>
      </c>
      <c r="E225" s="363" t="s">
        <v>1796</v>
      </c>
      <c r="F225" s="363" t="s">
        <v>1806</v>
      </c>
      <c r="G225" s="363" t="s">
        <v>1808</v>
      </c>
      <c r="H225" s="363" t="s">
        <v>1809</v>
      </c>
      <c r="I225" s="363" t="s">
        <v>1811</v>
      </c>
      <c r="J225" s="363" t="s">
        <v>1813</v>
      </c>
      <c r="K225" s="363" t="s">
        <v>1814</v>
      </c>
      <c r="L225" s="365"/>
      <c r="M225" s="369">
        <v>46176.88484263889</v>
      </c>
      <c r="N225" s="363"/>
      <c r="O225" s="363"/>
      <c r="P225" s="370"/>
    </row>
    <row r="226">
      <c r="A226" s="363" t="s">
        <v>906</v>
      </c>
      <c r="B226" s="363" t="s">
        <v>53</v>
      </c>
      <c r="C226" s="363" t="s">
        <v>24</v>
      </c>
      <c r="D226" s="368">
        <v>46181.0</v>
      </c>
      <c r="E226" s="363" t="s">
        <v>1828</v>
      </c>
      <c r="F226" s="363" t="s">
        <v>1829</v>
      </c>
      <c r="G226" s="363">
        <v>8.328726881E9</v>
      </c>
      <c r="H226" s="363" t="s">
        <v>1830</v>
      </c>
      <c r="I226" s="363" t="s">
        <v>1831</v>
      </c>
      <c r="J226" s="363" t="s">
        <v>1832</v>
      </c>
      <c r="K226" s="363"/>
      <c r="L226" s="365"/>
      <c r="M226" s="369"/>
      <c r="N226" s="363"/>
      <c r="O226" s="363"/>
      <c r="P226" s="370"/>
    </row>
    <row r="227">
      <c r="A227" s="363" t="s">
        <v>18</v>
      </c>
      <c r="B227" s="363" t="s">
        <v>23</v>
      </c>
      <c r="C227" s="363" t="s">
        <v>24</v>
      </c>
      <c r="D227" s="368">
        <v>46185.0</v>
      </c>
      <c r="E227" s="363" t="s">
        <v>1841</v>
      </c>
      <c r="F227" s="363" t="s">
        <v>1842</v>
      </c>
      <c r="G227" s="363" t="s">
        <v>1845</v>
      </c>
      <c r="H227" s="363" t="s">
        <v>1850</v>
      </c>
      <c r="I227" s="363" t="s">
        <v>445</v>
      </c>
      <c r="J227" s="363" t="s">
        <v>1856</v>
      </c>
      <c r="K227" s="363" t="s">
        <v>1858</v>
      </c>
      <c r="L227" s="365"/>
      <c r="M227" s="369">
        <v>46223.87249733796</v>
      </c>
      <c r="N227" s="363"/>
      <c r="O227" s="363"/>
      <c r="P227" s="370"/>
    </row>
    <row r="228">
      <c r="A228" s="363" t="s">
        <v>906</v>
      </c>
      <c r="B228" s="363" t="s">
        <v>53</v>
      </c>
      <c r="C228" s="363" t="s">
        <v>24</v>
      </c>
      <c r="D228" s="368">
        <v>46183.0</v>
      </c>
      <c r="E228" s="363" t="s">
        <v>1864</v>
      </c>
      <c r="F228" s="363" t="s">
        <v>1866</v>
      </c>
      <c r="G228" s="363">
        <v>8.172391243E9</v>
      </c>
      <c r="H228" s="363" t="s">
        <v>1867</v>
      </c>
      <c r="I228" s="363" t="s">
        <v>581</v>
      </c>
      <c r="J228" s="363" t="s">
        <v>1868</v>
      </c>
      <c r="K228" s="363"/>
      <c r="L228" s="365"/>
      <c r="M228" s="369"/>
      <c r="N228" s="363"/>
      <c r="O228" s="363"/>
      <c r="P228" s="370"/>
    </row>
    <row r="229">
      <c r="A229" s="363" t="s">
        <v>22</v>
      </c>
      <c r="B229" s="363" t="s">
        <v>19</v>
      </c>
      <c r="C229" s="363" t="s">
        <v>24</v>
      </c>
      <c r="D229" s="368">
        <v>46154.0</v>
      </c>
      <c r="E229" s="363" t="s">
        <v>1877</v>
      </c>
      <c r="F229" s="363" t="s">
        <v>1878</v>
      </c>
      <c r="G229" s="363" t="s">
        <v>1879</v>
      </c>
      <c r="H229" s="363" t="s">
        <v>1880</v>
      </c>
      <c r="I229" s="363" t="s">
        <v>290</v>
      </c>
      <c r="J229" s="363" t="s">
        <v>1881</v>
      </c>
      <c r="K229" s="363" t="s">
        <v>1883</v>
      </c>
      <c r="L229" s="365"/>
      <c r="M229" s="369">
        <v>46154.87563618056</v>
      </c>
      <c r="N229" s="363"/>
      <c r="O229" s="363"/>
      <c r="P229" s="370"/>
    </row>
    <row r="230">
      <c r="A230" s="363" t="s">
        <v>906</v>
      </c>
      <c r="B230" s="363" t="s">
        <v>19</v>
      </c>
      <c r="C230" s="363" t="s">
        <v>24</v>
      </c>
      <c r="D230" s="368">
        <v>46149.0</v>
      </c>
      <c r="E230" s="363" t="s">
        <v>1890</v>
      </c>
      <c r="F230" s="363" t="s">
        <v>1891</v>
      </c>
      <c r="G230" s="363" t="s">
        <v>1892</v>
      </c>
      <c r="H230" s="363" t="s">
        <v>1893</v>
      </c>
      <c r="I230" s="363" t="s">
        <v>90</v>
      </c>
      <c r="J230" s="363" t="s">
        <v>1897</v>
      </c>
      <c r="K230" s="363"/>
      <c r="L230" s="365"/>
      <c r="M230" s="369"/>
      <c r="N230" s="363"/>
      <c r="O230" s="363"/>
      <c r="P230" s="370"/>
    </row>
    <row r="231">
      <c r="A231" s="363" t="s">
        <v>17</v>
      </c>
      <c r="B231" s="363" t="s">
        <v>19</v>
      </c>
      <c r="C231" s="363" t="s">
        <v>24</v>
      </c>
      <c r="D231" s="368">
        <v>46149.0</v>
      </c>
      <c r="E231" s="363" t="s">
        <v>1902</v>
      </c>
      <c r="F231" s="363" t="s">
        <v>1905</v>
      </c>
      <c r="G231" s="363" t="s">
        <v>1907</v>
      </c>
      <c r="H231" s="363" t="s">
        <v>1909</v>
      </c>
      <c r="I231" s="363" t="s">
        <v>1910</v>
      </c>
      <c r="J231" s="363" t="s">
        <v>1913</v>
      </c>
      <c r="K231" s="363" t="s">
        <v>1914</v>
      </c>
      <c r="L231" s="365"/>
      <c r="M231" s="369">
        <v>46248.74955788194</v>
      </c>
      <c r="N231" s="363"/>
      <c r="O231" s="363" t="b">
        <v>0</v>
      </c>
      <c r="P231" s="370"/>
    </row>
    <row r="232">
      <c r="A232" s="363" t="s">
        <v>18</v>
      </c>
      <c r="B232" s="363" t="s">
        <v>23</v>
      </c>
      <c r="C232" s="363" t="s">
        <v>24</v>
      </c>
      <c r="D232" s="368">
        <v>46174.0</v>
      </c>
      <c r="E232" s="363" t="s">
        <v>1925</v>
      </c>
      <c r="F232" s="363" t="s">
        <v>1926</v>
      </c>
      <c r="G232" s="363" t="s">
        <v>1927</v>
      </c>
      <c r="H232" s="363" t="s">
        <v>1928</v>
      </c>
      <c r="I232" s="363" t="s">
        <v>290</v>
      </c>
      <c r="J232" s="363" t="s">
        <v>1929</v>
      </c>
      <c r="K232" s="363" t="s">
        <v>1930</v>
      </c>
      <c r="L232" s="365"/>
      <c r="M232" s="369">
        <v>46232.68948241898</v>
      </c>
      <c r="N232" s="363"/>
      <c r="O232" s="363"/>
      <c r="P232" s="370"/>
    </row>
    <row r="233">
      <c r="A233" s="363" t="s">
        <v>906</v>
      </c>
      <c r="B233" s="363" t="s">
        <v>53</v>
      </c>
      <c r="C233" s="363" t="s">
        <v>24</v>
      </c>
      <c r="D233" s="368">
        <v>46156.0</v>
      </c>
      <c r="E233" s="363" t="s">
        <v>1937</v>
      </c>
      <c r="F233" s="363" t="s">
        <v>1939</v>
      </c>
      <c r="G233" s="363" t="s">
        <v>1941</v>
      </c>
      <c r="H233" s="363" t="s">
        <v>1943</v>
      </c>
      <c r="I233" s="363" t="s">
        <v>140</v>
      </c>
      <c r="J233" s="363" t="s">
        <v>1945</v>
      </c>
      <c r="K233" s="363"/>
      <c r="L233" s="365"/>
      <c r="M233" s="369"/>
      <c r="N233" s="363"/>
      <c r="O233" s="363"/>
      <c r="P233" s="370"/>
    </row>
    <row r="234">
      <c r="A234" s="363" t="s">
        <v>906</v>
      </c>
      <c r="B234" s="363" t="s">
        <v>53</v>
      </c>
      <c r="C234" s="363" t="s">
        <v>24</v>
      </c>
      <c r="D234" s="368">
        <v>46155.0</v>
      </c>
      <c r="E234" s="363" t="s">
        <v>1955</v>
      </c>
      <c r="F234" s="363" t="s">
        <v>1957</v>
      </c>
      <c r="G234" s="363" t="s">
        <v>1959</v>
      </c>
      <c r="H234" s="363" t="s">
        <v>1961</v>
      </c>
      <c r="I234" s="363" t="s">
        <v>613</v>
      </c>
      <c r="J234" s="363" t="s">
        <v>1964</v>
      </c>
      <c r="K234" s="363"/>
      <c r="L234" s="365"/>
      <c r="M234" s="369"/>
      <c r="N234" s="363"/>
      <c r="O234" s="363"/>
      <c r="P234" s="370"/>
    </row>
    <row r="235">
      <c r="A235" s="363" t="s">
        <v>906</v>
      </c>
      <c r="B235" s="363" t="s">
        <v>19</v>
      </c>
      <c r="C235" s="363" t="s">
        <v>24</v>
      </c>
      <c r="D235" s="368">
        <v>46157.0</v>
      </c>
      <c r="E235" s="363" t="s">
        <v>1974</v>
      </c>
      <c r="F235" s="363" t="s">
        <v>1975</v>
      </c>
      <c r="G235" s="363" t="s">
        <v>1976</v>
      </c>
      <c r="H235" s="363" t="s">
        <v>1978</v>
      </c>
      <c r="I235" s="363" t="s">
        <v>90</v>
      </c>
      <c r="J235" s="363" t="s">
        <v>1982</v>
      </c>
      <c r="K235" s="363"/>
      <c r="L235" s="365"/>
      <c r="M235" s="369"/>
      <c r="N235" s="363"/>
      <c r="O235" s="363"/>
      <c r="P235" s="370"/>
    </row>
    <row r="236">
      <c r="A236" s="363" t="s">
        <v>62</v>
      </c>
      <c r="B236" s="363" t="s">
        <v>53</v>
      </c>
      <c r="C236" s="363" t="s">
        <v>24</v>
      </c>
      <c r="D236" s="368">
        <v>46148.0</v>
      </c>
      <c r="E236" s="363" t="s">
        <v>1990</v>
      </c>
      <c r="F236" s="363" t="s">
        <v>1991</v>
      </c>
      <c r="G236" s="363" t="s">
        <v>1992</v>
      </c>
      <c r="H236" s="363" t="s">
        <v>1994</v>
      </c>
      <c r="I236" s="363" t="s">
        <v>590</v>
      </c>
      <c r="J236" s="363" t="s">
        <v>1999</v>
      </c>
      <c r="K236" s="363" t="s">
        <v>2002</v>
      </c>
      <c r="L236" s="365"/>
      <c r="M236" s="369">
        <v>46182.90155278935</v>
      </c>
      <c r="N236" s="363"/>
      <c r="O236" s="363" t="b">
        <v>0</v>
      </c>
      <c r="P236" s="370"/>
    </row>
    <row r="237">
      <c r="A237" s="363" t="s">
        <v>17</v>
      </c>
      <c r="B237" s="363" t="s">
        <v>25</v>
      </c>
      <c r="C237" s="363" t="s">
        <v>24</v>
      </c>
      <c r="D237" s="368">
        <v>46195.0</v>
      </c>
      <c r="E237" s="363" t="s">
        <v>2012</v>
      </c>
      <c r="F237" s="363" t="s">
        <v>2015</v>
      </c>
      <c r="G237" s="363" t="s">
        <v>2017</v>
      </c>
      <c r="H237" s="363" t="s">
        <v>2018</v>
      </c>
      <c r="I237" s="363" t="s">
        <v>1259</v>
      </c>
      <c r="J237" s="363" t="s">
        <v>2021</v>
      </c>
      <c r="K237" s="363" t="s">
        <v>2023</v>
      </c>
      <c r="L237" s="365"/>
      <c r="M237" s="369">
        <v>46196.85096997685</v>
      </c>
      <c r="N237" s="363"/>
      <c r="O237" s="363"/>
      <c r="P237" s="370"/>
    </row>
    <row r="238">
      <c r="A238" s="363" t="s">
        <v>117</v>
      </c>
      <c r="B238" s="363" t="s">
        <v>53</v>
      </c>
      <c r="C238" s="363" t="s">
        <v>24</v>
      </c>
      <c r="D238" s="368">
        <v>46168.0</v>
      </c>
      <c r="E238" s="363" t="s">
        <v>334</v>
      </c>
      <c r="F238" s="363" t="s">
        <v>336</v>
      </c>
      <c r="G238" s="363" t="s">
        <v>338</v>
      </c>
      <c r="H238" s="363" t="s">
        <v>2035</v>
      </c>
      <c r="I238" s="363" t="s">
        <v>1824</v>
      </c>
      <c r="J238" s="363" t="s">
        <v>342</v>
      </c>
      <c r="K238" s="363" t="s">
        <v>2040</v>
      </c>
      <c r="L238" s="365"/>
      <c r="M238" s="369">
        <v>46168.88412018519</v>
      </c>
      <c r="N238" s="363"/>
      <c r="O238" s="363"/>
      <c r="P238" s="370"/>
    </row>
    <row r="239">
      <c r="A239" s="363" t="s">
        <v>22</v>
      </c>
      <c r="B239" s="363" t="s">
        <v>23</v>
      </c>
      <c r="C239" s="363" t="s">
        <v>24</v>
      </c>
      <c r="D239" s="368">
        <v>46164.0</v>
      </c>
      <c r="E239" s="363" t="s">
        <v>2050</v>
      </c>
      <c r="F239" s="363" t="s">
        <v>2053</v>
      </c>
      <c r="G239" s="363" t="s">
        <v>2055</v>
      </c>
      <c r="H239" s="363" t="s">
        <v>2056</v>
      </c>
      <c r="I239" s="363" t="s">
        <v>1760</v>
      </c>
      <c r="J239" s="363" t="s">
        <v>2057</v>
      </c>
      <c r="K239" s="363" t="s">
        <v>2058</v>
      </c>
      <c r="L239" s="365"/>
      <c r="M239" s="369">
        <v>46223.87397868055</v>
      </c>
      <c r="N239" s="363"/>
      <c r="O239" s="363"/>
      <c r="P239" s="370"/>
    </row>
    <row r="240">
      <c r="A240" s="363" t="s">
        <v>22</v>
      </c>
      <c r="B240" s="363" t="s">
        <v>23</v>
      </c>
      <c r="C240" s="363" t="s">
        <v>24</v>
      </c>
      <c r="D240" s="368">
        <v>46160.0</v>
      </c>
      <c r="E240" s="363" t="s">
        <v>2069</v>
      </c>
      <c r="F240" s="363" t="s">
        <v>2070</v>
      </c>
      <c r="G240" s="363" t="s">
        <v>2071</v>
      </c>
      <c r="H240" s="363" t="s">
        <v>2072</v>
      </c>
      <c r="I240" s="363" t="s">
        <v>115</v>
      </c>
      <c r="J240" s="363" t="s">
        <v>2074</v>
      </c>
      <c r="K240" s="363" t="s">
        <v>2077</v>
      </c>
      <c r="L240" s="365"/>
      <c r="M240" s="369">
        <v>46223.87469002315</v>
      </c>
      <c r="N240" s="363"/>
      <c r="O240" s="363"/>
      <c r="P240" s="370"/>
    </row>
    <row r="241">
      <c r="A241" s="363" t="s">
        <v>135</v>
      </c>
      <c r="B241" s="363" t="s">
        <v>23</v>
      </c>
      <c r="C241" s="363" t="s">
        <v>24</v>
      </c>
      <c r="D241" s="368">
        <v>46156.0</v>
      </c>
      <c r="E241" s="363" t="s">
        <v>2095</v>
      </c>
      <c r="F241" s="363" t="s">
        <v>2098</v>
      </c>
      <c r="G241" s="363" t="s">
        <v>2100</v>
      </c>
      <c r="H241" s="363" t="s">
        <v>2102</v>
      </c>
      <c r="I241" s="363" t="s">
        <v>2104</v>
      </c>
      <c r="J241" s="363" t="s">
        <v>2105</v>
      </c>
      <c r="K241" s="363" t="s">
        <v>2106</v>
      </c>
      <c r="L241" s="365"/>
      <c r="M241" s="369">
        <v>46232.71983840277</v>
      </c>
      <c r="N241" s="363"/>
      <c r="O241" s="363" t="b">
        <v>0</v>
      </c>
      <c r="P241" s="370"/>
    </row>
    <row r="242">
      <c r="A242" s="363" t="s">
        <v>117</v>
      </c>
      <c r="B242" s="363" t="s">
        <v>19</v>
      </c>
      <c r="C242" s="363" t="s">
        <v>24</v>
      </c>
      <c r="D242" s="368">
        <v>46174.0</v>
      </c>
      <c r="E242" s="363" t="s">
        <v>2117</v>
      </c>
      <c r="F242" s="363" t="s">
        <v>2118</v>
      </c>
      <c r="G242" s="363" t="s">
        <v>2119</v>
      </c>
      <c r="H242" s="363" t="s">
        <v>2120</v>
      </c>
      <c r="I242" s="363" t="s">
        <v>2121</v>
      </c>
      <c r="J242" s="363" t="s">
        <v>2122</v>
      </c>
      <c r="K242" s="363"/>
      <c r="L242" s="365"/>
      <c r="M242" s="369"/>
      <c r="N242" s="363"/>
      <c r="O242" s="363"/>
      <c r="P242" s="370"/>
    </row>
    <row r="243">
      <c r="A243" s="363" t="s">
        <v>18</v>
      </c>
      <c r="B243" s="363" t="s">
        <v>25</v>
      </c>
      <c r="C243" s="363" t="s">
        <v>24</v>
      </c>
      <c r="D243" s="368">
        <v>46195.0</v>
      </c>
      <c r="E243" s="363" t="s">
        <v>2136</v>
      </c>
      <c r="F243" s="363" t="s">
        <v>2137</v>
      </c>
      <c r="G243" s="363" t="s">
        <v>2139</v>
      </c>
      <c r="H243" s="363" t="s">
        <v>2140</v>
      </c>
      <c r="I243" s="363" t="s">
        <v>1020</v>
      </c>
      <c r="J243" s="363" t="s">
        <v>2144</v>
      </c>
      <c r="K243" s="363" t="s">
        <v>2146</v>
      </c>
      <c r="L243" s="365"/>
      <c r="M243" s="369">
        <v>46196.90757989584</v>
      </c>
      <c r="N243" s="363"/>
      <c r="O243" s="363"/>
      <c r="P243" s="370"/>
    </row>
    <row r="244">
      <c r="A244" s="363" t="s">
        <v>906</v>
      </c>
      <c r="B244" s="363" t="s">
        <v>225</v>
      </c>
      <c r="C244" s="363" t="s">
        <v>24</v>
      </c>
      <c r="D244" s="368">
        <v>46189.0</v>
      </c>
      <c r="E244" s="363" t="s">
        <v>2151</v>
      </c>
      <c r="F244" s="363" t="s">
        <v>2154</v>
      </c>
      <c r="G244" s="363" t="s">
        <v>2156</v>
      </c>
      <c r="H244" s="363" t="s">
        <v>2158</v>
      </c>
      <c r="I244" s="363" t="s">
        <v>2160</v>
      </c>
      <c r="J244" s="363" t="s">
        <v>2161</v>
      </c>
      <c r="K244" s="363"/>
      <c r="L244" s="365"/>
      <c r="M244" s="369"/>
      <c r="N244" s="363"/>
      <c r="O244" s="363"/>
      <c r="P244" s="370"/>
    </row>
    <row r="245">
      <c r="A245" s="363" t="s">
        <v>18</v>
      </c>
      <c r="B245" s="363" t="s">
        <v>225</v>
      </c>
      <c r="C245" s="363" t="s">
        <v>24</v>
      </c>
      <c r="D245" s="368">
        <v>46196.0</v>
      </c>
      <c r="E245" s="363" t="s">
        <v>2168</v>
      </c>
      <c r="F245" s="363" t="s">
        <v>2169</v>
      </c>
      <c r="G245" s="363" t="s">
        <v>2170</v>
      </c>
      <c r="H245" s="363" t="s">
        <v>2172</v>
      </c>
      <c r="I245" s="363" t="s">
        <v>1089</v>
      </c>
      <c r="J245" s="363" t="s">
        <v>2174</v>
      </c>
      <c r="K245" s="363"/>
      <c r="L245" s="365"/>
      <c r="M245" s="369"/>
      <c r="N245" s="363"/>
      <c r="O245" s="363"/>
      <c r="P245" s="370"/>
    </row>
    <row r="246">
      <c r="A246" s="363" t="s">
        <v>18</v>
      </c>
      <c r="B246" s="363" t="s">
        <v>225</v>
      </c>
      <c r="C246" s="363" t="s">
        <v>24</v>
      </c>
      <c r="D246" s="368">
        <v>46199.0</v>
      </c>
      <c r="E246" s="363" t="s">
        <v>2183</v>
      </c>
      <c r="F246" s="363" t="s">
        <v>2185</v>
      </c>
      <c r="G246" s="363" t="s">
        <v>2188</v>
      </c>
      <c r="H246" s="363" t="s">
        <v>2190</v>
      </c>
      <c r="I246" s="363" t="s">
        <v>2192</v>
      </c>
      <c r="J246" s="363" t="s">
        <v>2194</v>
      </c>
      <c r="K246" s="363" t="s">
        <v>2197</v>
      </c>
      <c r="L246" s="365"/>
      <c r="M246" s="369">
        <v>46202.793903206024</v>
      </c>
      <c r="N246" s="363"/>
      <c r="O246" s="363"/>
      <c r="P246" s="370"/>
    </row>
    <row r="247">
      <c r="A247" s="363" t="s">
        <v>17</v>
      </c>
      <c r="B247" s="363" t="s">
        <v>225</v>
      </c>
      <c r="C247" s="363" t="s">
        <v>24</v>
      </c>
      <c r="D247" s="368">
        <v>46037.0</v>
      </c>
      <c r="E247" s="363" t="s">
        <v>2199</v>
      </c>
      <c r="F247" s="363" t="s">
        <v>2200</v>
      </c>
      <c r="G247" s="363" t="s">
        <v>2202</v>
      </c>
      <c r="H247" s="363" t="s">
        <v>2203</v>
      </c>
      <c r="I247" s="363" t="s">
        <v>2204</v>
      </c>
      <c r="J247" s="363" t="s">
        <v>2205</v>
      </c>
      <c r="K247" s="363" t="s">
        <v>2206</v>
      </c>
      <c r="L247" s="365"/>
      <c r="M247" s="369">
        <v>46084.919616643514</v>
      </c>
      <c r="N247" s="363"/>
      <c r="O247" s="363" t="b">
        <v>0</v>
      </c>
      <c r="P247" s="370"/>
    </row>
    <row r="248">
      <c r="A248" s="363" t="s">
        <v>17</v>
      </c>
      <c r="B248" s="363" t="s">
        <v>53</v>
      </c>
      <c r="C248" s="363" t="s">
        <v>24</v>
      </c>
      <c r="D248" s="368">
        <v>46213.0</v>
      </c>
      <c r="E248" s="363" t="s">
        <v>2214</v>
      </c>
      <c r="F248" s="363" t="s">
        <v>2216</v>
      </c>
      <c r="G248" s="363" t="s">
        <v>2218</v>
      </c>
      <c r="H248" s="363" t="s">
        <v>2220</v>
      </c>
      <c r="I248" s="363" t="s">
        <v>106</v>
      </c>
      <c r="J248" s="363" t="s">
        <v>2221</v>
      </c>
      <c r="K248" s="363" t="s">
        <v>2222</v>
      </c>
      <c r="L248" s="365"/>
      <c r="M248" s="369">
        <v>46251.744833171295</v>
      </c>
      <c r="N248" s="363"/>
      <c r="O248" s="363"/>
      <c r="P248" s="370"/>
    </row>
    <row r="249">
      <c r="A249" s="363" t="s">
        <v>135</v>
      </c>
      <c r="B249" s="363" t="s">
        <v>25</v>
      </c>
      <c r="C249" s="363" t="s">
        <v>24</v>
      </c>
      <c r="D249" s="368">
        <v>46203.0</v>
      </c>
      <c r="E249" s="363" t="s">
        <v>2230</v>
      </c>
      <c r="F249" s="363" t="s">
        <v>2232</v>
      </c>
      <c r="G249" s="363" t="s">
        <v>2233</v>
      </c>
      <c r="H249" s="363" t="s">
        <v>2235</v>
      </c>
      <c r="I249" s="363" t="s">
        <v>2237</v>
      </c>
      <c r="J249" s="363" t="s">
        <v>2238</v>
      </c>
      <c r="K249" s="363" t="s">
        <v>2240</v>
      </c>
      <c r="L249" s="365"/>
      <c r="M249" s="369">
        <v>46210.95578164352</v>
      </c>
      <c r="N249" s="363"/>
      <c r="O249" s="363"/>
      <c r="P249" s="370"/>
    </row>
    <row r="250">
      <c r="A250" s="363" t="s">
        <v>410</v>
      </c>
      <c r="B250" s="363" t="s">
        <v>23</v>
      </c>
      <c r="C250" s="363" t="s">
        <v>24</v>
      </c>
      <c r="D250" s="368">
        <v>46203.0</v>
      </c>
      <c r="E250" s="363" t="s">
        <v>2250</v>
      </c>
      <c r="F250" s="363" t="s">
        <v>2252</v>
      </c>
      <c r="G250" s="363" t="s">
        <v>2254</v>
      </c>
      <c r="H250" s="363" t="s">
        <v>2256</v>
      </c>
      <c r="I250" s="363" t="s">
        <v>1174</v>
      </c>
      <c r="J250" s="363" t="s">
        <v>2257</v>
      </c>
      <c r="K250" s="363" t="s">
        <v>2258</v>
      </c>
      <c r="L250" s="365"/>
      <c r="M250" s="369">
        <v>46227.82234666667</v>
      </c>
      <c r="N250" s="363"/>
      <c r="O250" s="363"/>
      <c r="P250" s="370"/>
    </row>
    <row r="251">
      <c r="A251" s="363" t="s">
        <v>17</v>
      </c>
      <c r="B251" s="363" t="s">
        <v>23</v>
      </c>
      <c r="C251" s="363" t="s">
        <v>24</v>
      </c>
      <c r="D251" s="368">
        <v>46198.0</v>
      </c>
      <c r="E251" s="363" t="s">
        <v>433</v>
      </c>
      <c r="F251" s="363" t="s">
        <v>2268</v>
      </c>
      <c r="G251" s="363" t="s">
        <v>437</v>
      </c>
      <c r="H251" s="363" t="s">
        <v>2269</v>
      </c>
      <c r="I251" s="363" t="s">
        <v>140</v>
      </c>
      <c r="J251" s="363" t="s">
        <v>2270</v>
      </c>
      <c r="K251" s="363" t="s">
        <v>2271</v>
      </c>
      <c r="L251" s="365"/>
      <c r="M251" s="369">
        <v>46232.72600009259</v>
      </c>
      <c r="N251" s="363"/>
      <c r="O251" s="363"/>
      <c r="P251" s="370"/>
    </row>
    <row r="252">
      <c r="A252" s="363" t="s">
        <v>17</v>
      </c>
      <c r="B252" s="363" t="s">
        <v>23</v>
      </c>
      <c r="C252" s="363" t="s">
        <v>24</v>
      </c>
      <c r="D252" s="368">
        <v>46210.0</v>
      </c>
      <c r="E252" s="363" t="s">
        <v>2284</v>
      </c>
      <c r="F252" s="363" t="s">
        <v>2285</v>
      </c>
      <c r="G252" s="363" t="s">
        <v>2286</v>
      </c>
      <c r="H252" s="363" t="s">
        <v>2288</v>
      </c>
      <c r="I252" s="363" t="s">
        <v>317</v>
      </c>
      <c r="J252" s="363" t="s">
        <v>2292</v>
      </c>
      <c r="K252" s="363" t="s">
        <v>2293</v>
      </c>
      <c r="L252" s="365"/>
      <c r="M252" s="369">
        <v>46232.82878127314</v>
      </c>
      <c r="N252" s="363"/>
      <c r="O252" s="363"/>
      <c r="P252" s="370"/>
    </row>
    <row r="253">
      <c r="A253" s="363" t="s">
        <v>22</v>
      </c>
      <c r="B253" s="363" t="s">
        <v>23</v>
      </c>
      <c r="C253" s="363" t="s">
        <v>24</v>
      </c>
      <c r="D253" s="368">
        <v>46209.0</v>
      </c>
      <c r="E253" s="363" t="s">
        <v>2303</v>
      </c>
      <c r="F253" s="363" t="s">
        <v>2305</v>
      </c>
      <c r="G253" s="363" t="s">
        <v>2306</v>
      </c>
      <c r="H253" s="363" t="s">
        <v>2307</v>
      </c>
      <c r="I253" s="363" t="s">
        <v>115</v>
      </c>
      <c r="J253" s="363" t="s">
        <v>2308</v>
      </c>
      <c r="K253" s="363" t="s">
        <v>2309</v>
      </c>
      <c r="L253" s="365"/>
      <c r="M253" s="369">
        <v>46218.891536435185</v>
      </c>
      <c r="N253" s="363"/>
      <c r="O253" s="363"/>
      <c r="P253" s="370"/>
    </row>
    <row r="254">
      <c r="A254" s="363" t="s">
        <v>62</v>
      </c>
      <c r="B254" s="363" t="s">
        <v>53</v>
      </c>
      <c r="C254" s="363" t="s">
        <v>24</v>
      </c>
      <c r="D254" s="368">
        <v>46209.0</v>
      </c>
      <c r="E254" s="363" t="s">
        <v>2318</v>
      </c>
      <c r="F254" s="363" t="s">
        <v>2319</v>
      </c>
      <c r="G254" s="363" t="s">
        <v>2321</v>
      </c>
      <c r="H254" s="363" t="s">
        <v>2322</v>
      </c>
      <c r="I254" s="363" t="s">
        <v>2324</v>
      </c>
      <c r="J254" s="363" t="s">
        <v>2327</v>
      </c>
      <c r="K254" s="363" t="s">
        <v>2328</v>
      </c>
      <c r="L254" s="365"/>
      <c r="M254" s="369">
        <v>46233.73617491898</v>
      </c>
      <c r="N254" s="363"/>
      <c r="O254" s="363"/>
      <c r="P254" s="370"/>
    </row>
    <row r="255">
      <c r="A255" s="363" t="s">
        <v>62</v>
      </c>
      <c r="B255" s="363" t="s">
        <v>225</v>
      </c>
      <c r="C255" s="363" t="s">
        <v>24</v>
      </c>
      <c r="D255" s="368">
        <v>46202.0</v>
      </c>
      <c r="E255" s="363" t="s">
        <v>2339</v>
      </c>
      <c r="F255" s="363" t="s">
        <v>2341</v>
      </c>
      <c r="G255" s="363" t="s">
        <v>2343</v>
      </c>
      <c r="H255" s="363" t="s">
        <v>2345</v>
      </c>
      <c r="I255" s="363" t="s">
        <v>2317</v>
      </c>
      <c r="J255" s="363" t="s">
        <v>2346</v>
      </c>
      <c r="K255" s="363"/>
      <c r="L255" s="365"/>
      <c r="M255" s="369"/>
      <c r="N255" s="363"/>
      <c r="O255" s="363"/>
      <c r="P255" s="370"/>
    </row>
    <row r="256">
      <c r="A256" s="363" t="s">
        <v>62</v>
      </c>
      <c r="B256" s="363" t="s">
        <v>53</v>
      </c>
      <c r="C256" s="363" t="s">
        <v>24</v>
      </c>
      <c r="D256" s="368">
        <v>45993.0</v>
      </c>
      <c r="E256" s="363" t="s">
        <v>2359</v>
      </c>
      <c r="F256" s="363" t="s">
        <v>2360</v>
      </c>
      <c r="G256" s="363" t="s">
        <v>2361</v>
      </c>
      <c r="H256" s="363" t="s">
        <v>2362</v>
      </c>
      <c r="I256" s="363" t="s">
        <v>558</v>
      </c>
      <c r="J256" s="363" t="s">
        <v>2367</v>
      </c>
      <c r="K256" s="363" t="s">
        <v>2370</v>
      </c>
      <c r="L256" s="365"/>
      <c r="M256" s="369">
        <v>46066.89408398148</v>
      </c>
      <c r="N256" s="363"/>
      <c r="O256" s="363" t="b">
        <v>0</v>
      </c>
      <c r="P256" s="370"/>
    </row>
    <row r="257">
      <c r="A257" s="363" t="s">
        <v>62</v>
      </c>
      <c r="B257" s="363" t="s">
        <v>53</v>
      </c>
      <c r="C257" s="363" t="s">
        <v>24</v>
      </c>
      <c r="D257" s="368">
        <v>45943.0</v>
      </c>
      <c r="E257" s="363" t="s">
        <v>2381</v>
      </c>
      <c r="F257" s="363" t="s">
        <v>2382</v>
      </c>
      <c r="G257" s="363" t="s">
        <v>2384</v>
      </c>
      <c r="H257" s="363" t="s">
        <v>2386</v>
      </c>
      <c r="I257" s="363" t="s">
        <v>1963</v>
      </c>
      <c r="J257" s="363" t="s">
        <v>2387</v>
      </c>
      <c r="K257" s="363" t="s">
        <v>2388</v>
      </c>
      <c r="L257" s="365"/>
      <c r="M257" s="369">
        <v>46223.95105358797</v>
      </c>
      <c r="N257" s="363"/>
      <c r="O257" s="363" t="b">
        <v>0</v>
      </c>
      <c r="P257" s="370"/>
    </row>
    <row r="258">
      <c r="A258" s="363" t="s">
        <v>155</v>
      </c>
      <c r="B258" s="363" t="s">
        <v>25</v>
      </c>
      <c r="C258" s="363" t="s">
        <v>24</v>
      </c>
      <c r="D258" s="368">
        <v>46220.0</v>
      </c>
      <c r="E258" s="363" t="s">
        <v>2396</v>
      </c>
      <c r="F258" s="363" t="s">
        <v>2397</v>
      </c>
      <c r="G258" s="363" t="s">
        <v>2399</v>
      </c>
      <c r="H258" s="363" t="s">
        <v>2401</v>
      </c>
      <c r="I258" s="363" t="s">
        <v>872</v>
      </c>
      <c r="J258" s="363" t="s">
        <v>2409</v>
      </c>
      <c r="K258" s="363" t="s">
        <v>2411</v>
      </c>
      <c r="L258" s="365"/>
      <c r="M258" s="369">
        <v>46223.91957726852</v>
      </c>
      <c r="N258" s="363"/>
      <c r="O258" s="363"/>
      <c r="P258" s="370"/>
    </row>
    <row r="259">
      <c r="A259" s="363" t="s">
        <v>135</v>
      </c>
      <c r="B259" s="363" t="s">
        <v>53</v>
      </c>
      <c r="C259" s="363" t="s">
        <v>24</v>
      </c>
      <c r="D259" s="368">
        <v>46212.0</v>
      </c>
      <c r="E259" s="363" t="s">
        <v>2414</v>
      </c>
      <c r="F259" s="363" t="s">
        <v>2416</v>
      </c>
      <c r="G259" s="363" t="s">
        <v>2418</v>
      </c>
      <c r="H259" s="363" t="s">
        <v>2421</v>
      </c>
      <c r="I259" s="363" t="s">
        <v>1760</v>
      </c>
      <c r="J259" s="363" t="s">
        <v>2423</v>
      </c>
      <c r="K259" s="363" t="s">
        <v>2425</v>
      </c>
      <c r="L259" s="365"/>
      <c r="M259" s="369">
        <v>46245.73577303241</v>
      </c>
      <c r="N259" s="363"/>
      <c r="O259" s="363"/>
      <c r="P259" s="370"/>
    </row>
    <row r="260">
      <c r="A260" s="363" t="s">
        <v>155</v>
      </c>
      <c r="B260" s="363" t="s">
        <v>25</v>
      </c>
      <c r="C260" s="363" t="s">
        <v>24</v>
      </c>
      <c r="D260" s="368">
        <v>46232.0</v>
      </c>
      <c r="E260" s="363" t="s">
        <v>2430</v>
      </c>
      <c r="F260" s="363" t="s">
        <v>2432</v>
      </c>
      <c r="G260" s="363" t="s">
        <v>2434</v>
      </c>
      <c r="H260" s="363" t="s">
        <v>2435</v>
      </c>
      <c r="I260" s="363" t="s">
        <v>1170</v>
      </c>
      <c r="J260" s="363" t="s">
        <v>2436</v>
      </c>
      <c r="K260" s="363" t="s">
        <v>2438</v>
      </c>
      <c r="L260" s="365"/>
      <c r="M260" s="369">
        <v>46237.78468765046</v>
      </c>
      <c r="N260" s="363"/>
      <c r="O260" s="363"/>
      <c r="P260" s="370"/>
    </row>
    <row r="261">
      <c r="A261" s="363" t="s">
        <v>224</v>
      </c>
      <c r="B261" s="363" t="s">
        <v>225</v>
      </c>
      <c r="C261" s="363" t="s">
        <v>24</v>
      </c>
      <c r="D261" s="368">
        <v>46234.0</v>
      </c>
      <c r="E261" s="363" t="s">
        <v>2449</v>
      </c>
      <c r="F261" s="363" t="s">
        <v>2451</v>
      </c>
      <c r="G261" s="363" t="s">
        <v>2453</v>
      </c>
      <c r="H261" s="363" t="s">
        <v>2454</v>
      </c>
      <c r="I261" s="363" t="s">
        <v>2455</v>
      </c>
      <c r="J261" s="363" t="s">
        <v>2456</v>
      </c>
      <c r="K261" s="363"/>
      <c r="L261" s="365"/>
      <c r="M261" s="369"/>
      <c r="N261" s="363"/>
      <c r="O261" s="363"/>
      <c r="P261" s="370"/>
    </row>
    <row r="262">
      <c r="A262" s="363" t="s">
        <v>224</v>
      </c>
      <c r="B262" s="363" t="s">
        <v>225</v>
      </c>
      <c r="C262" s="363" t="s">
        <v>24</v>
      </c>
      <c r="D262" s="368">
        <v>46227.0</v>
      </c>
      <c r="E262" s="363" t="s">
        <v>2463</v>
      </c>
      <c r="F262" s="363" t="s">
        <v>2464</v>
      </c>
      <c r="G262" s="363">
        <v>2.629093636E9</v>
      </c>
      <c r="H262" s="363" t="s">
        <v>2465</v>
      </c>
      <c r="I262" s="363" t="s">
        <v>2466</v>
      </c>
      <c r="J262" s="363" t="s">
        <v>2467</v>
      </c>
      <c r="K262" s="363"/>
      <c r="L262" s="365"/>
      <c r="M262" s="369"/>
      <c r="N262" s="363"/>
      <c r="O262" s="363"/>
      <c r="P262" s="370"/>
    </row>
    <row r="263">
      <c r="A263" s="363" t="s">
        <v>224</v>
      </c>
      <c r="B263" s="363" t="s">
        <v>225</v>
      </c>
      <c r="C263" s="363" t="s">
        <v>24</v>
      </c>
      <c r="D263" s="368">
        <v>46230.0</v>
      </c>
      <c r="E263" s="363" t="s">
        <v>2475</v>
      </c>
      <c r="F263" s="363" t="s">
        <v>2476</v>
      </c>
      <c r="G263" s="363" t="s">
        <v>2477</v>
      </c>
      <c r="H263" s="363" t="s">
        <v>2478</v>
      </c>
      <c r="I263" s="363" t="s">
        <v>2479</v>
      </c>
      <c r="J263" s="363" t="s">
        <v>2480</v>
      </c>
      <c r="K263" s="363" t="s">
        <v>2482</v>
      </c>
      <c r="L263" s="365"/>
      <c r="M263" s="369">
        <v>46232.8603242824</v>
      </c>
      <c r="N263" s="363"/>
      <c r="O263" s="363"/>
      <c r="P263" s="370"/>
    </row>
    <row r="264">
      <c r="A264" s="363" t="s">
        <v>135</v>
      </c>
      <c r="B264" s="363" t="s">
        <v>53</v>
      </c>
      <c r="C264" s="363" t="s">
        <v>24</v>
      </c>
      <c r="D264" s="368">
        <v>46195.0</v>
      </c>
      <c r="E264" s="363" t="s">
        <v>2489</v>
      </c>
      <c r="F264" s="363" t="s">
        <v>2491</v>
      </c>
      <c r="G264" s="363" t="s">
        <v>2494</v>
      </c>
      <c r="H264" s="363" t="s">
        <v>2496</v>
      </c>
      <c r="I264" s="363" t="s">
        <v>2498</v>
      </c>
      <c r="J264" s="363" t="s">
        <v>2500</v>
      </c>
      <c r="K264" s="363" t="s">
        <v>2502</v>
      </c>
      <c r="L264" s="365"/>
      <c r="M264" s="369">
        <v>46223.935696782406</v>
      </c>
      <c r="N264" s="363"/>
      <c r="O264" s="363"/>
      <c r="P264" s="370"/>
    </row>
    <row r="265">
      <c r="A265" s="363" t="s">
        <v>18</v>
      </c>
      <c r="B265" s="363" t="s">
        <v>53</v>
      </c>
      <c r="C265" s="363" t="s">
        <v>24</v>
      </c>
      <c r="D265" s="368">
        <v>46203.0</v>
      </c>
      <c r="E265" s="363" t="s">
        <v>2512</v>
      </c>
      <c r="F265" s="363" t="s">
        <v>2514</v>
      </c>
      <c r="G265" s="363" t="s">
        <v>2517</v>
      </c>
      <c r="H265" s="363" t="s">
        <v>2518</v>
      </c>
      <c r="I265" s="363" t="s">
        <v>2519</v>
      </c>
      <c r="J265" s="363" t="s">
        <v>2520</v>
      </c>
      <c r="K265" s="363" t="s">
        <v>2521</v>
      </c>
      <c r="L265" s="365"/>
      <c r="M265" s="369">
        <v>46217.7987928588</v>
      </c>
      <c r="N265" s="363"/>
      <c r="O265" s="363"/>
      <c r="P265" s="370"/>
    </row>
    <row r="266">
      <c r="A266" s="363" t="s">
        <v>224</v>
      </c>
      <c r="B266" s="363" t="s">
        <v>225</v>
      </c>
      <c r="C266" s="363" t="s">
        <v>24</v>
      </c>
      <c r="D266" s="368">
        <v>46239.0</v>
      </c>
      <c r="E266" s="363" t="s">
        <v>2528</v>
      </c>
      <c r="F266" s="363" t="s">
        <v>2530</v>
      </c>
      <c r="G266" s="363" t="s">
        <v>2532</v>
      </c>
      <c r="H266" s="363" t="s">
        <v>2534</v>
      </c>
      <c r="I266" s="363" t="s">
        <v>2536</v>
      </c>
      <c r="J266" s="363" t="s">
        <v>2537</v>
      </c>
      <c r="K266" s="363" t="s">
        <v>2540</v>
      </c>
      <c r="L266" s="365"/>
      <c r="M266" s="369">
        <v>46240.72491777778</v>
      </c>
      <c r="N266" s="363"/>
      <c r="O266" s="363"/>
      <c r="P266" s="370"/>
    </row>
    <row r="267">
      <c r="A267" s="363" t="s">
        <v>224</v>
      </c>
      <c r="B267" s="363" t="s">
        <v>225</v>
      </c>
      <c r="C267" s="363" t="s">
        <v>24</v>
      </c>
      <c r="D267" s="368">
        <v>46240.0</v>
      </c>
      <c r="E267" s="363" t="s">
        <v>2549</v>
      </c>
      <c r="F267" s="363" t="s">
        <v>2550</v>
      </c>
      <c r="G267" s="363" t="s">
        <v>2552</v>
      </c>
      <c r="H267" s="363" t="s">
        <v>2553</v>
      </c>
      <c r="I267" s="363" t="s">
        <v>2554</v>
      </c>
      <c r="J267" s="363"/>
      <c r="K267" s="363" t="s">
        <v>2558</v>
      </c>
      <c r="L267" s="365"/>
      <c r="M267" s="369">
        <v>46240.88090564815</v>
      </c>
      <c r="N267" s="363"/>
      <c r="O267" s="363"/>
      <c r="P267" s="370"/>
    </row>
    <row r="268">
      <c r="A268" s="363" t="s">
        <v>224</v>
      </c>
      <c r="B268" s="363" t="s">
        <v>225</v>
      </c>
      <c r="C268" s="363" t="s">
        <v>24</v>
      </c>
      <c r="D268" s="368">
        <v>46240.0</v>
      </c>
      <c r="E268" s="363" t="s">
        <v>2567</v>
      </c>
      <c r="F268" s="363" t="s">
        <v>2568</v>
      </c>
      <c r="G268" s="363" t="s">
        <v>2569</v>
      </c>
      <c r="H268" s="363" t="s">
        <v>2570</v>
      </c>
      <c r="I268" s="363" t="s">
        <v>667</v>
      </c>
      <c r="J268" s="363" t="s">
        <v>2576</v>
      </c>
      <c r="K268" s="363"/>
      <c r="L268" s="365"/>
      <c r="M268" s="369"/>
      <c r="N268" s="363"/>
      <c r="O268" s="363"/>
      <c r="P268" s="370"/>
    </row>
    <row r="269">
      <c r="A269" s="363" t="s">
        <v>155</v>
      </c>
      <c r="B269" s="363" t="s">
        <v>25</v>
      </c>
      <c r="C269" s="363" t="s">
        <v>24</v>
      </c>
      <c r="D269" s="368">
        <v>46239.0</v>
      </c>
      <c r="E269" s="363" t="s">
        <v>2586</v>
      </c>
      <c r="F269" s="363" t="s">
        <v>2588</v>
      </c>
      <c r="G269" s="363" t="s">
        <v>2590</v>
      </c>
      <c r="H269" s="363" t="s">
        <v>2592</v>
      </c>
      <c r="I269" s="363" t="s">
        <v>497</v>
      </c>
      <c r="J269" s="363" t="s">
        <v>2598</v>
      </c>
      <c r="K269" s="363"/>
      <c r="L269" s="365"/>
      <c r="M269" s="369"/>
      <c r="N269" s="363"/>
      <c r="O269" s="363"/>
      <c r="P269" s="370"/>
    </row>
    <row r="270">
      <c r="A270" s="363" t="s">
        <v>62</v>
      </c>
      <c r="B270" s="363" t="s">
        <v>225</v>
      </c>
      <c r="C270" s="363" t="s">
        <v>24</v>
      </c>
      <c r="D270" s="368">
        <v>46206.0</v>
      </c>
      <c r="E270" s="363" t="s">
        <v>2606</v>
      </c>
      <c r="F270" s="363" t="s">
        <v>2607</v>
      </c>
      <c r="G270" s="363" t="s">
        <v>2608</v>
      </c>
      <c r="H270" s="363" t="s">
        <v>2609</v>
      </c>
      <c r="I270" s="363" t="s">
        <v>2612</v>
      </c>
      <c r="J270" s="363" t="s">
        <v>2614</v>
      </c>
      <c r="K270" s="363" t="s">
        <v>2617</v>
      </c>
      <c r="L270" s="365"/>
      <c r="M270" s="369">
        <v>46244.77523460648</v>
      </c>
      <c r="N270" s="363"/>
      <c r="O270" s="363"/>
      <c r="P270" s="370"/>
    </row>
    <row r="271">
      <c r="A271" s="363" t="s">
        <v>17</v>
      </c>
      <c r="B271" s="363" t="s">
        <v>251</v>
      </c>
      <c r="C271" s="363" t="s">
        <v>24</v>
      </c>
      <c r="D271" s="368">
        <v>46246.0</v>
      </c>
      <c r="E271" s="363" t="s">
        <v>2629</v>
      </c>
      <c r="F271" s="363" t="s">
        <v>2630</v>
      </c>
      <c r="G271" s="363" t="s">
        <v>2631</v>
      </c>
      <c r="H271" s="363" t="s">
        <v>2632</v>
      </c>
      <c r="I271" s="363" t="s">
        <v>268</v>
      </c>
      <c r="J271" s="363" t="s">
        <v>2638</v>
      </c>
      <c r="K271" s="363" t="s">
        <v>2641</v>
      </c>
      <c r="L271" s="365"/>
      <c r="M271" s="369">
        <v>46251.81616019676</v>
      </c>
      <c r="N271" s="363"/>
      <c r="O271" s="363"/>
      <c r="P271" s="370"/>
    </row>
    <row r="272">
      <c r="A272" s="363" t="s">
        <v>18</v>
      </c>
      <c r="B272" s="363" t="s">
        <v>251</v>
      </c>
      <c r="C272" s="363" t="s">
        <v>24</v>
      </c>
      <c r="D272" s="368">
        <v>46244.0</v>
      </c>
      <c r="E272" s="363" t="s">
        <v>2648</v>
      </c>
      <c r="F272" s="363" t="s">
        <v>2650</v>
      </c>
      <c r="G272" s="363" t="s">
        <v>2653</v>
      </c>
      <c r="H272" s="363" t="s">
        <v>2656</v>
      </c>
      <c r="I272" s="363" t="s">
        <v>2020</v>
      </c>
      <c r="J272" s="363" t="s">
        <v>2660</v>
      </c>
      <c r="K272" s="363" t="s">
        <v>2662</v>
      </c>
      <c r="L272" s="365"/>
      <c r="M272" s="368">
        <v>46245.0</v>
      </c>
      <c r="N272" s="363"/>
      <c r="O272" s="363"/>
      <c r="P272" s="370"/>
    </row>
    <row r="492">
      <c r="A492" s="363" t="str">
        <f t="array" ref="A492:Q520">'Contract Sent'!A:Q</f>
        <v>SUB</v>
      </c>
      <c r="B492" s="363" t="s">
        <v>1</v>
      </c>
      <c r="C492" s="363" t="s">
        <v>2</v>
      </c>
      <c r="D492" s="363" t="s">
        <v>3</v>
      </c>
      <c r="E492" s="363" t="s">
        <v>4</v>
      </c>
      <c r="F492" s="363" t="s">
        <v>5</v>
      </c>
      <c r="G492" s="364" t="s">
        <v>6</v>
      </c>
      <c r="H492" s="363" t="s">
        <v>7</v>
      </c>
      <c r="I492" s="363" t="s">
        <v>8</v>
      </c>
      <c r="J492" s="363" t="s">
        <v>9</v>
      </c>
      <c r="K492" s="363" t="s">
        <v>10</v>
      </c>
      <c r="L492" s="365" t="s">
        <v>11</v>
      </c>
      <c r="M492" s="363" t="s">
        <v>12</v>
      </c>
      <c r="N492" s="363" t="s">
        <v>13</v>
      </c>
      <c r="O492" s="363" t="s">
        <v>14</v>
      </c>
      <c r="P492" s="363" t="s">
        <v>15</v>
      </c>
      <c r="Q492" s="363" t="s">
        <v>16</v>
      </c>
    </row>
    <row r="493">
      <c r="A493" s="363" t="s">
        <v>22</v>
      </c>
      <c r="B493" s="363" t="s">
        <v>19</v>
      </c>
      <c r="C493" s="363" t="s">
        <v>34</v>
      </c>
      <c r="D493" s="368">
        <v>45554.0</v>
      </c>
      <c r="E493" s="363" t="s">
        <v>43</v>
      </c>
      <c r="F493" s="363" t="s">
        <v>44</v>
      </c>
      <c r="G493" s="363" t="s">
        <v>45</v>
      </c>
      <c r="H493" s="363" t="s">
        <v>47</v>
      </c>
      <c r="I493" s="363"/>
      <c r="J493" s="363"/>
      <c r="K493" s="363" t="s">
        <v>52</v>
      </c>
      <c r="L493" s="365"/>
      <c r="M493" s="423">
        <v>46183.842294953705</v>
      </c>
      <c r="N493" s="363"/>
      <c r="O493" s="363" t="b">
        <v>0</v>
      </c>
      <c r="P493" s="363" t="s">
        <v>63</v>
      </c>
      <c r="Q493" s="363">
        <v>1.053817924E9</v>
      </c>
    </row>
    <row r="494">
      <c r="A494" s="363" t="s">
        <v>62</v>
      </c>
      <c r="B494" s="363" t="s">
        <v>23</v>
      </c>
      <c r="C494" s="363" t="s">
        <v>34</v>
      </c>
      <c r="D494" s="368">
        <v>45944.0</v>
      </c>
      <c r="E494" s="363" t="s">
        <v>70</v>
      </c>
      <c r="F494" s="363" t="s">
        <v>71</v>
      </c>
      <c r="G494" s="363" t="s">
        <v>73</v>
      </c>
      <c r="H494" s="363" t="s">
        <v>74</v>
      </c>
      <c r="I494" s="363" t="s">
        <v>75</v>
      </c>
      <c r="J494" s="363" t="s">
        <v>77</v>
      </c>
      <c r="K494" s="363" t="s">
        <v>78</v>
      </c>
      <c r="L494" s="363"/>
      <c r="M494" s="423">
        <v>46183.843811597224</v>
      </c>
      <c r="N494" s="363"/>
      <c r="O494" s="363" t="b">
        <v>0</v>
      </c>
      <c r="P494" s="363" t="s">
        <v>86</v>
      </c>
      <c r="Q494" s="363">
        <v>1.396419933E9</v>
      </c>
    </row>
    <row r="495">
      <c r="A495" s="363" t="s">
        <v>17</v>
      </c>
      <c r="B495" s="363" t="s">
        <v>23</v>
      </c>
      <c r="C495" s="363" t="s">
        <v>34</v>
      </c>
      <c r="D495" s="368">
        <v>46008.0</v>
      </c>
      <c r="E495" s="363" t="s">
        <v>93</v>
      </c>
      <c r="F495" s="363" t="s">
        <v>94</v>
      </c>
      <c r="G495" s="363" t="s">
        <v>95</v>
      </c>
      <c r="H495" s="363" t="s">
        <v>96</v>
      </c>
      <c r="I495" s="363" t="s">
        <v>97</v>
      </c>
      <c r="J495" s="363" t="s">
        <v>99</v>
      </c>
      <c r="K495" s="363" t="s">
        <v>101</v>
      </c>
      <c r="L495" s="369"/>
      <c r="M495" s="423">
        <v>46232.74375071759</v>
      </c>
      <c r="N495" s="363"/>
      <c r="O495" s="363" t="b">
        <v>0</v>
      </c>
      <c r="P495" s="363" t="s">
        <v>86</v>
      </c>
      <c r="Q495" s="363">
        <v>1.518216126E9</v>
      </c>
    </row>
    <row r="496">
      <c r="A496" s="363" t="s">
        <v>117</v>
      </c>
      <c r="B496" s="363" t="s">
        <v>23</v>
      </c>
      <c r="C496" s="363" t="s">
        <v>34</v>
      </c>
      <c r="D496" s="368">
        <v>45979.0</v>
      </c>
      <c r="E496" s="363" t="s">
        <v>119</v>
      </c>
      <c r="F496" s="363" t="s">
        <v>120</v>
      </c>
      <c r="G496" s="363" t="s">
        <v>121</v>
      </c>
      <c r="H496" s="363" t="s">
        <v>122</v>
      </c>
      <c r="I496" s="363" t="s">
        <v>123</v>
      </c>
      <c r="J496" s="363" t="s">
        <v>124</v>
      </c>
      <c r="K496" s="363" t="s">
        <v>125</v>
      </c>
      <c r="L496" s="368"/>
      <c r="M496" s="423">
        <v>46227.92656849537</v>
      </c>
      <c r="N496" s="363"/>
      <c r="O496" s="363" t="b">
        <v>0</v>
      </c>
      <c r="P496" s="363" t="s">
        <v>134</v>
      </c>
      <c r="Q496" s="363">
        <v>1.750183372E9</v>
      </c>
    </row>
    <row r="497">
      <c r="A497" s="363" t="s">
        <v>135</v>
      </c>
      <c r="B497" s="363" t="s">
        <v>53</v>
      </c>
      <c r="C497" s="363" t="s">
        <v>34</v>
      </c>
      <c r="D497" s="368">
        <v>46009.0</v>
      </c>
      <c r="E497" s="363" t="s">
        <v>136</v>
      </c>
      <c r="F497" s="363" t="s">
        <v>137</v>
      </c>
      <c r="G497" s="363" t="s">
        <v>138</v>
      </c>
      <c r="H497" s="363" t="s">
        <v>139</v>
      </c>
      <c r="I497" s="363" t="s">
        <v>140</v>
      </c>
      <c r="J497" s="363" t="s">
        <v>141</v>
      </c>
      <c r="K497" s="363" t="s">
        <v>142</v>
      </c>
      <c r="L497" s="363"/>
      <c r="M497" s="423">
        <v>46183.857099166664</v>
      </c>
      <c r="N497" s="363"/>
      <c r="O497" s="363" t="b">
        <v>0</v>
      </c>
      <c r="P497" s="363" t="s">
        <v>147</v>
      </c>
      <c r="Q497" s="363">
        <v>1.851139034E9</v>
      </c>
    </row>
    <row r="498">
      <c r="A498" s="363" t="s">
        <v>17</v>
      </c>
      <c r="B498" s="363" t="s">
        <v>53</v>
      </c>
      <c r="C498" s="363" t="s">
        <v>34</v>
      </c>
      <c r="D498" s="368">
        <v>46027.0</v>
      </c>
      <c r="E498" s="363" t="s">
        <v>151</v>
      </c>
      <c r="F498" s="363" t="s">
        <v>152</v>
      </c>
      <c r="G498" s="363" t="s">
        <v>153</v>
      </c>
      <c r="H498" s="363" t="s">
        <v>154</v>
      </c>
      <c r="I498" s="363" t="s">
        <v>156</v>
      </c>
      <c r="J498" s="363" t="s">
        <v>157</v>
      </c>
      <c r="K498" s="363" t="s">
        <v>158</v>
      </c>
      <c r="L498" s="369"/>
      <c r="M498" s="423">
        <v>46084.81958239584</v>
      </c>
      <c r="N498" s="363"/>
      <c r="O498" s="363" t="b">
        <v>0</v>
      </c>
      <c r="P498" s="363"/>
      <c r="Q498" s="363">
        <v>1.669236436E9</v>
      </c>
    </row>
    <row r="499">
      <c r="A499" s="363" t="s">
        <v>18</v>
      </c>
      <c r="B499" s="363" t="s">
        <v>19</v>
      </c>
      <c r="C499" s="363" t="s">
        <v>34</v>
      </c>
      <c r="D499" s="368">
        <v>46031.0</v>
      </c>
      <c r="E499" s="363" t="s">
        <v>170</v>
      </c>
      <c r="F499" s="363" t="s">
        <v>171</v>
      </c>
      <c r="G499" s="363" t="s">
        <v>172</v>
      </c>
      <c r="H499" s="363" t="s">
        <v>173</v>
      </c>
      <c r="I499" s="363" t="s">
        <v>174</v>
      </c>
      <c r="J499" s="363" t="s">
        <v>176</v>
      </c>
      <c r="K499" s="363" t="s">
        <v>178</v>
      </c>
      <c r="L499" s="363"/>
      <c r="M499" s="423">
        <v>46183.8666265162</v>
      </c>
      <c r="N499" s="363"/>
      <c r="O499" s="363" t="b">
        <v>0</v>
      </c>
      <c r="P499" s="363" t="s">
        <v>179</v>
      </c>
      <c r="Q499" s="363">
        <v>1.396414199E9</v>
      </c>
    </row>
    <row r="500">
      <c r="A500" s="363" t="s">
        <v>17</v>
      </c>
      <c r="B500" s="363" t="s">
        <v>23</v>
      </c>
      <c r="C500" s="363" t="s">
        <v>34</v>
      </c>
      <c r="D500" s="368">
        <v>46041.0</v>
      </c>
      <c r="E500" s="363" t="s">
        <v>186</v>
      </c>
      <c r="F500" s="363" t="s">
        <v>187</v>
      </c>
      <c r="G500" s="363" t="s">
        <v>189</v>
      </c>
      <c r="H500" s="363" t="s">
        <v>190</v>
      </c>
      <c r="I500" s="363" t="s">
        <v>191</v>
      </c>
      <c r="J500" s="363" t="s">
        <v>193</v>
      </c>
      <c r="K500" s="363" t="s">
        <v>195</v>
      </c>
      <c r="L500" s="368"/>
      <c r="M500" s="423">
        <v>46183.86937354167</v>
      </c>
      <c r="N500" s="363"/>
      <c r="O500" s="363" t="b">
        <v>0</v>
      </c>
      <c r="P500" s="363" t="s">
        <v>86</v>
      </c>
      <c r="Q500" s="363">
        <v>1.78032483E9</v>
      </c>
    </row>
    <row r="501">
      <c r="A501" s="363" t="s">
        <v>22</v>
      </c>
      <c r="B501" s="363" t="s">
        <v>198</v>
      </c>
      <c r="C501" s="363" t="s">
        <v>34</v>
      </c>
      <c r="D501" s="368">
        <v>46052.0</v>
      </c>
      <c r="E501" s="363" t="s">
        <v>202</v>
      </c>
      <c r="F501" s="363" t="s">
        <v>204</v>
      </c>
      <c r="G501" s="363" t="s">
        <v>206</v>
      </c>
      <c r="H501" s="363" t="s">
        <v>208</v>
      </c>
      <c r="I501" s="363" t="s">
        <v>210</v>
      </c>
      <c r="J501" s="363"/>
      <c r="K501" s="363" t="s">
        <v>211</v>
      </c>
      <c r="L501" s="363"/>
      <c r="M501" s="423">
        <v>46183.87214122685</v>
      </c>
      <c r="N501" s="363"/>
      <c r="O501" s="363" t="b">
        <v>0</v>
      </c>
      <c r="P501" s="363"/>
      <c r="Q501" s="363">
        <v>1.64991901E9</v>
      </c>
    </row>
    <row r="502">
      <c r="A502" s="363" t="s">
        <v>17</v>
      </c>
      <c r="B502" s="363" t="s">
        <v>23</v>
      </c>
      <c r="C502" s="363" t="s">
        <v>34</v>
      </c>
      <c r="D502" s="368">
        <v>46006.0</v>
      </c>
      <c r="E502" s="363" t="s">
        <v>213</v>
      </c>
      <c r="F502" s="363" t="s">
        <v>214</v>
      </c>
      <c r="G502" s="363" t="s">
        <v>215</v>
      </c>
      <c r="H502" s="363" t="s">
        <v>217</v>
      </c>
      <c r="I502" s="363" t="s">
        <v>218</v>
      </c>
      <c r="J502" s="363" t="s">
        <v>221</v>
      </c>
      <c r="K502" s="363" t="s">
        <v>223</v>
      </c>
      <c r="L502" s="398"/>
      <c r="M502" s="423">
        <v>46183.89567846065</v>
      </c>
      <c r="N502" s="363"/>
      <c r="O502" s="363" t="b">
        <v>0</v>
      </c>
      <c r="P502" s="363" t="s">
        <v>231</v>
      </c>
      <c r="Q502" s="363">
        <v>1.184352965E9</v>
      </c>
    </row>
    <row r="503">
      <c r="A503" s="363" t="s">
        <v>22</v>
      </c>
      <c r="B503" s="363" t="s">
        <v>19</v>
      </c>
      <c r="C503" s="363" t="s">
        <v>34</v>
      </c>
      <c r="D503" s="368">
        <v>46077.0</v>
      </c>
      <c r="E503" s="363" t="s">
        <v>245</v>
      </c>
      <c r="F503" s="363" t="s">
        <v>246</v>
      </c>
      <c r="G503" s="363" t="s">
        <v>247</v>
      </c>
      <c r="H503" s="363" t="s">
        <v>248</v>
      </c>
      <c r="I503" s="363" t="s">
        <v>210</v>
      </c>
      <c r="J503" s="363" t="s">
        <v>249</v>
      </c>
      <c r="K503" s="363" t="s">
        <v>250</v>
      </c>
      <c r="L503" s="368"/>
      <c r="M503" s="423">
        <v>46240.8884172338</v>
      </c>
      <c r="N503" s="363"/>
      <c r="O503" s="363" t="b">
        <v>0</v>
      </c>
      <c r="P503" s="363" t="s">
        <v>255</v>
      </c>
      <c r="Q503" s="363">
        <v>1.578352183E9</v>
      </c>
    </row>
    <row r="504">
      <c r="A504" s="363" t="s">
        <v>17</v>
      </c>
      <c r="B504" s="363" t="s">
        <v>23</v>
      </c>
      <c r="C504" s="363" t="s">
        <v>34</v>
      </c>
      <c r="D504" s="368">
        <v>46084.0</v>
      </c>
      <c r="E504" s="363" t="s">
        <v>261</v>
      </c>
      <c r="F504" s="363" t="s">
        <v>263</v>
      </c>
      <c r="G504" s="363" t="s">
        <v>264</v>
      </c>
      <c r="H504" s="363" t="s">
        <v>266</v>
      </c>
      <c r="I504" s="363" t="s">
        <v>269</v>
      </c>
      <c r="J504" s="363" t="s">
        <v>272</v>
      </c>
      <c r="K504" s="363" t="s">
        <v>275</v>
      </c>
      <c r="L504" s="368"/>
      <c r="M504" s="423">
        <v>46198.75648576389</v>
      </c>
      <c r="N504" s="363"/>
      <c r="O504" s="363" t="b">
        <v>0</v>
      </c>
      <c r="P504" s="363" t="s">
        <v>86</v>
      </c>
      <c r="Q504" s="363">
        <v>1.619088796E9</v>
      </c>
    </row>
    <row r="505">
      <c r="A505" s="363" t="s">
        <v>22</v>
      </c>
      <c r="B505" s="363" t="s">
        <v>53</v>
      </c>
      <c r="C505" s="363" t="s">
        <v>34</v>
      </c>
      <c r="D505" s="368">
        <v>46086.0</v>
      </c>
      <c r="E505" s="363" t="s">
        <v>285</v>
      </c>
      <c r="F505" s="363" t="s">
        <v>286</v>
      </c>
      <c r="G505" s="363" t="s">
        <v>287</v>
      </c>
      <c r="H505" s="363" t="s">
        <v>288</v>
      </c>
      <c r="I505" s="363" t="s">
        <v>290</v>
      </c>
      <c r="J505" s="363" t="s">
        <v>292</v>
      </c>
      <c r="K505" s="363" t="s">
        <v>295</v>
      </c>
      <c r="L505" s="368"/>
      <c r="M505" s="369">
        <v>46203.79244605324</v>
      </c>
      <c r="N505" s="363"/>
      <c r="O505" s="363" t="b">
        <v>0</v>
      </c>
      <c r="P505" s="363" t="s">
        <v>86</v>
      </c>
      <c r="Q505" s="363">
        <v>1.326912833E9</v>
      </c>
    </row>
    <row r="506">
      <c r="A506" s="363" t="s">
        <v>135</v>
      </c>
      <c r="B506" s="363" t="s">
        <v>225</v>
      </c>
      <c r="C506" s="363" t="s">
        <v>34</v>
      </c>
      <c r="D506" s="368">
        <v>46043.0</v>
      </c>
      <c r="E506" s="363" t="s">
        <v>311</v>
      </c>
      <c r="F506" s="363" t="s">
        <v>312</v>
      </c>
      <c r="G506" s="363" t="s">
        <v>314</v>
      </c>
      <c r="H506" s="363" t="s">
        <v>316</v>
      </c>
      <c r="I506" s="363" t="s">
        <v>317</v>
      </c>
      <c r="J506" s="363" t="s">
        <v>318</v>
      </c>
      <c r="K506" s="363" t="s">
        <v>319</v>
      </c>
      <c r="L506" s="368"/>
      <c r="M506" s="369">
        <v>46183.94622319445</v>
      </c>
      <c r="N506" s="363"/>
      <c r="O506" s="363"/>
      <c r="P506" s="363" t="s">
        <v>86</v>
      </c>
      <c r="Q506" s="363">
        <v>1.912706565E9</v>
      </c>
    </row>
    <row r="507">
      <c r="A507" s="363" t="s">
        <v>62</v>
      </c>
      <c r="B507" s="363" t="s">
        <v>53</v>
      </c>
      <c r="C507" s="363" t="s">
        <v>34</v>
      </c>
      <c r="D507" s="368">
        <v>46147.0</v>
      </c>
      <c r="E507" s="363" t="s">
        <v>326</v>
      </c>
      <c r="F507" s="363" t="s">
        <v>328</v>
      </c>
      <c r="G507" s="363" t="s">
        <v>331</v>
      </c>
      <c r="H507" s="363" t="s">
        <v>333</v>
      </c>
      <c r="I507" s="363" t="s">
        <v>317</v>
      </c>
      <c r="J507" s="363" t="s">
        <v>341</v>
      </c>
      <c r="K507" s="363" t="s">
        <v>343</v>
      </c>
      <c r="L507" s="368"/>
      <c r="M507" s="369">
        <v>46177.81869770834</v>
      </c>
      <c r="N507" s="363"/>
      <c r="O507" s="363" t="b">
        <v>0</v>
      </c>
      <c r="P507" s="370"/>
      <c r="Q507" s="363">
        <v>1.225729312E9</v>
      </c>
    </row>
    <row r="508">
      <c r="A508" s="363" t="s">
        <v>22</v>
      </c>
      <c r="B508" s="363" t="s">
        <v>53</v>
      </c>
      <c r="C508" s="363" t="s">
        <v>34</v>
      </c>
      <c r="D508" s="368">
        <v>46161.0</v>
      </c>
      <c r="E508" s="363" t="s">
        <v>355</v>
      </c>
      <c r="F508" s="363" t="s">
        <v>356</v>
      </c>
      <c r="G508" s="363" t="s">
        <v>357</v>
      </c>
      <c r="H508" s="363" t="s">
        <v>358</v>
      </c>
      <c r="I508" s="363" t="s">
        <v>359</v>
      </c>
      <c r="J508" s="363" t="s">
        <v>361</v>
      </c>
      <c r="K508" s="363" t="s">
        <v>364</v>
      </c>
      <c r="L508" s="368"/>
      <c r="M508" s="369">
        <v>46163.969041585646</v>
      </c>
      <c r="N508" s="363"/>
      <c r="O508" s="363"/>
      <c r="P508" s="370"/>
      <c r="Q508" s="363">
        <v>1.972926012E9</v>
      </c>
    </row>
    <row r="509">
      <c r="A509" s="363" t="s">
        <v>117</v>
      </c>
      <c r="B509" s="363" t="s">
        <v>23</v>
      </c>
      <c r="C509" s="363" t="s">
        <v>34</v>
      </c>
      <c r="D509" s="368">
        <v>46175.0</v>
      </c>
      <c r="E509" s="363" t="s">
        <v>376</v>
      </c>
      <c r="F509" s="363" t="s">
        <v>377</v>
      </c>
      <c r="G509" s="363" t="s">
        <v>379</v>
      </c>
      <c r="H509" s="363" t="s">
        <v>380</v>
      </c>
      <c r="I509" s="363" t="s">
        <v>381</v>
      </c>
      <c r="J509" s="363" t="s">
        <v>383</v>
      </c>
      <c r="K509" s="363" t="s">
        <v>385</v>
      </c>
      <c r="L509" s="368"/>
      <c r="M509" s="369">
        <v>46181.86722806713</v>
      </c>
      <c r="N509" s="363"/>
      <c r="O509" s="363"/>
      <c r="P509" s="370"/>
      <c r="Q509" s="363">
        <v>1.821935933E9</v>
      </c>
    </row>
    <row r="510">
      <c r="A510" s="363" t="s">
        <v>22</v>
      </c>
      <c r="B510" s="363" t="s">
        <v>23</v>
      </c>
      <c r="C510" s="363" t="s">
        <v>34</v>
      </c>
      <c r="D510" s="368">
        <v>46189.0</v>
      </c>
      <c r="E510" s="363" t="s">
        <v>395</v>
      </c>
      <c r="F510" s="363" t="s">
        <v>397</v>
      </c>
      <c r="G510" s="363" t="s">
        <v>398</v>
      </c>
      <c r="H510" s="363" t="s">
        <v>399</v>
      </c>
      <c r="I510" s="363" t="s">
        <v>401</v>
      </c>
      <c r="J510" s="363" t="s">
        <v>402</v>
      </c>
      <c r="K510" s="363" t="s">
        <v>405</v>
      </c>
      <c r="L510" s="368"/>
      <c r="M510" s="369">
        <v>46237.939418379625</v>
      </c>
      <c r="N510" s="363"/>
      <c r="O510" s="363"/>
      <c r="P510" s="370"/>
      <c r="Q510" s="363">
        <v>1.952136806E9</v>
      </c>
    </row>
    <row r="511">
      <c r="A511" s="363" t="s">
        <v>410</v>
      </c>
      <c r="B511" s="363" t="s">
        <v>23</v>
      </c>
      <c r="C511" s="363" t="s">
        <v>34</v>
      </c>
      <c r="D511" s="368">
        <v>46182.0</v>
      </c>
      <c r="E511" s="363" t="s">
        <v>417</v>
      </c>
      <c r="F511" s="363" t="s">
        <v>419</v>
      </c>
      <c r="G511" s="363" t="s">
        <v>420</v>
      </c>
      <c r="H511" s="363" t="s">
        <v>423</v>
      </c>
      <c r="I511" s="363" t="s">
        <v>425</v>
      </c>
      <c r="J511" s="363" t="s">
        <v>427</v>
      </c>
      <c r="K511" s="363" t="s">
        <v>428</v>
      </c>
      <c r="L511" s="368"/>
      <c r="M511" s="369">
        <v>46232.784824201386</v>
      </c>
      <c r="N511" s="363"/>
      <c r="O511" s="363"/>
      <c r="P511" s="370"/>
      <c r="Q511" s="363">
        <v>1.427679182E9</v>
      </c>
    </row>
    <row r="512">
      <c r="A512" s="363" t="s">
        <v>155</v>
      </c>
      <c r="B512" s="363" t="s">
        <v>53</v>
      </c>
      <c r="C512" s="363" t="s">
        <v>34</v>
      </c>
      <c r="D512" s="368">
        <v>46234.0</v>
      </c>
      <c r="E512" s="363" t="s">
        <v>441</v>
      </c>
      <c r="F512" s="363" t="s">
        <v>442</v>
      </c>
      <c r="G512" s="363" t="s">
        <v>443</v>
      </c>
      <c r="H512" s="363" t="s">
        <v>444</v>
      </c>
      <c r="I512" s="363" t="s">
        <v>445</v>
      </c>
      <c r="J512" s="363" t="s">
        <v>446</v>
      </c>
      <c r="K512" s="363" t="s">
        <v>447</v>
      </c>
      <c r="L512" s="368"/>
      <c r="M512" s="369">
        <v>46251.88428945602</v>
      </c>
      <c r="N512" s="363"/>
      <c r="O512" s="363"/>
      <c r="P512" s="370"/>
      <c r="Q512" s="363"/>
    </row>
    <row r="513">
      <c r="A513" s="363" t="s">
        <v>62</v>
      </c>
      <c r="B513" s="363" t="s">
        <v>53</v>
      </c>
      <c r="C513" s="363" t="s">
        <v>34</v>
      </c>
      <c r="D513" s="368">
        <v>46230.0</v>
      </c>
      <c r="E513" s="363" t="s">
        <v>457</v>
      </c>
      <c r="F513" s="363" t="s">
        <v>459</v>
      </c>
      <c r="G513" s="363" t="s">
        <v>461</v>
      </c>
      <c r="H513" s="363" t="s">
        <v>464</v>
      </c>
      <c r="I513" s="363" t="s">
        <v>468</v>
      </c>
      <c r="J513" s="363" t="s">
        <v>471</v>
      </c>
      <c r="K513" s="363" t="s">
        <v>474</v>
      </c>
      <c r="L513" s="368"/>
      <c r="M513" s="369">
        <v>46251.88369180556</v>
      </c>
      <c r="N513" s="363"/>
      <c r="O513" s="363"/>
      <c r="P513" s="370"/>
      <c r="Q513" s="363"/>
    </row>
    <row r="514">
      <c r="A514" s="363" t="s">
        <v>62</v>
      </c>
      <c r="B514" s="363" t="s">
        <v>53</v>
      </c>
      <c r="C514" s="363" t="s">
        <v>34</v>
      </c>
      <c r="D514" s="368">
        <v>46120.0</v>
      </c>
      <c r="E514" s="363" t="s">
        <v>488</v>
      </c>
      <c r="F514" s="363" t="s">
        <v>491</v>
      </c>
      <c r="G514" s="363" t="s">
        <v>494</v>
      </c>
      <c r="H514" s="363" t="s">
        <v>495</v>
      </c>
      <c r="I514" s="363" t="s">
        <v>497</v>
      </c>
      <c r="J514" s="363" t="s">
        <v>498</v>
      </c>
      <c r="K514" s="363" t="s">
        <v>499</v>
      </c>
      <c r="L514" s="368"/>
      <c r="M514" s="369">
        <v>46237.79650271991</v>
      </c>
      <c r="N514" s="363"/>
      <c r="O514" s="363" t="b">
        <v>0</v>
      </c>
      <c r="P514" s="370"/>
      <c r="Q514" s="363">
        <v>1.467346718E9</v>
      </c>
    </row>
    <row r="515">
      <c r="A515" s="363" t="s">
        <v>22</v>
      </c>
      <c r="B515" s="363" t="s">
        <v>23</v>
      </c>
      <c r="C515" s="363" t="s">
        <v>34</v>
      </c>
      <c r="D515" s="368">
        <v>46205.0</v>
      </c>
      <c r="E515" s="363" t="s">
        <v>506</v>
      </c>
      <c r="F515" s="363" t="s">
        <v>508</v>
      </c>
      <c r="G515" s="363" t="s">
        <v>510</v>
      </c>
      <c r="H515" s="363" t="s">
        <v>512</v>
      </c>
      <c r="I515" s="363" t="s">
        <v>513</v>
      </c>
      <c r="J515" s="363" t="s">
        <v>515</v>
      </c>
      <c r="K515" s="363" t="s">
        <v>517</v>
      </c>
      <c r="L515" s="368"/>
      <c r="M515" s="369">
        <v>46251.719430763886</v>
      </c>
      <c r="N515" s="363"/>
      <c r="O515" s="363"/>
      <c r="P515" s="370"/>
      <c r="Q515" s="363">
        <v>1.336087469E9</v>
      </c>
    </row>
    <row r="516">
      <c r="A516" s="363" t="s">
        <v>62</v>
      </c>
      <c r="B516" s="363" t="s">
        <v>23</v>
      </c>
      <c r="C516" s="363" t="s">
        <v>34</v>
      </c>
      <c r="D516" s="368">
        <v>46043.0</v>
      </c>
      <c r="E516" s="363" t="s">
        <v>526</v>
      </c>
      <c r="F516" s="363" t="s">
        <v>527</v>
      </c>
      <c r="G516" s="363" t="s">
        <v>528</v>
      </c>
      <c r="H516" s="363" t="s">
        <v>530</v>
      </c>
      <c r="I516" s="363" t="s">
        <v>534</v>
      </c>
      <c r="J516" s="363" t="s">
        <v>539</v>
      </c>
      <c r="K516" s="363" t="s">
        <v>547</v>
      </c>
      <c r="L516" s="368"/>
      <c r="M516" s="369">
        <v>46246.89751859954</v>
      </c>
      <c r="N516" s="363"/>
      <c r="O516" s="363" t="b">
        <v>0</v>
      </c>
      <c r="P516" s="370"/>
      <c r="Q516" s="363">
        <v>1.912529157E9</v>
      </c>
    </row>
    <row r="517">
      <c r="A517" s="363" t="s">
        <v>62</v>
      </c>
      <c r="B517" s="363" t="s">
        <v>23</v>
      </c>
      <c r="C517" s="363" t="s">
        <v>34</v>
      </c>
      <c r="D517" s="368">
        <v>45943.0</v>
      </c>
      <c r="E517" s="363" t="s">
        <v>559</v>
      </c>
      <c r="F517" s="363" t="s">
        <v>563</v>
      </c>
      <c r="G517" s="363" t="s">
        <v>567</v>
      </c>
      <c r="H517" s="363" t="s">
        <v>569</v>
      </c>
      <c r="I517" s="363" t="s">
        <v>572</v>
      </c>
      <c r="J517" s="363" t="s">
        <v>575</v>
      </c>
      <c r="K517" s="363" t="s">
        <v>576</v>
      </c>
      <c r="L517" s="368"/>
      <c r="M517" s="369">
        <v>46239.90908856482</v>
      </c>
      <c r="N517" s="363"/>
      <c r="O517" s="363" t="b">
        <v>0</v>
      </c>
      <c r="P517" s="370"/>
      <c r="Q517" s="363">
        <v>1.952156622E9</v>
      </c>
    </row>
    <row r="518">
      <c r="A518" s="363" t="s">
        <v>22</v>
      </c>
      <c r="B518" s="363" t="s">
        <v>23</v>
      </c>
      <c r="C518" s="363" t="s">
        <v>34</v>
      </c>
      <c r="D518" s="368">
        <v>46234.0</v>
      </c>
      <c r="E518" s="363" t="s">
        <v>584</v>
      </c>
      <c r="F518" s="363" t="s">
        <v>585</v>
      </c>
      <c r="G518" s="363" t="s">
        <v>586</v>
      </c>
      <c r="H518" s="363" t="s">
        <v>589</v>
      </c>
      <c r="I518" s="363" t="s">
        <v>590</v>
      </c>
      <c r="J518" s="363" t="s">
        <v>592</v>
      </c>
      <c r="K518" s="363" t="s">
        <v>595</v>
      </c>
      <c r="L518" s="368"/>
      <c r="M518" s="369">
        <v>46248.89091158565</v>
      </c>
      <c r="N518" s="363"/>
      <c r="O518" s="363"/>
      <c r="P518" s="370"/>
      <c r="Q518" s="363">
        <v>1.22599583E9</v>
      </c>
    </row>
    <row r="519">
      <c r="A519" s="363" t="s">
        <v>22</v>
      </c>
      <c r="B519" s="363" t="s">
        <v>23</v>
      </c>
      <c r="C519" s="363" t="s">
        <v>34</v>
      </c>
      <c r="D519" s="368">
        <v>46245.0</v>
      </c>
      <c r="E519" s="363" t="s">
        <v>602</v>
      </c>
      <c r="F519" s="363" t="s">
        <v>604</v>
      </c>
      <c r="G519" s="363" t="s">
        <v>606</v>
      </c>
      <c r="H519" s="363" t="s">
        <v>609</v>
      </c>
      <c r="I519" s="363" t="s">
        <v>612</v>
      </c>
      <c r="J519" s="363" t="s">
        <v>615</v>
      </c>
      <c r="K519" s="363" t="s">
        <v>618</v>
      </c>
      <c r="L519" s="368"/>
      <c r="M519" s="369">
        <v>46248.902431967595</v>
      </c>
      <c r="N519" s="363"/>
      <c r="O519" s="363"/>
      <c r="P519" s="370"/>
      <c r="Q519" s="363">
        <v>1.306788872E9</v>
      </c>
    </row>
    <row r="520">
      <c r="A520" s="363" t="s">
        <v>155</v>
      </c>
      <c r="B520" s="363" t="s">
        <v>23</v>
      </c>
      <c r="C520" s="363" t="s">
        <v>34</v>
      </c>
      <c r="D520" s="368">
        <v>46241.0</v>
      </c>
      <c r="E520" s="363" t="s">
        <v>632</v>
      </c>
      <c r="F520" s="363" t="s">
        <v>634</v>
      </c>
      <c r="G520" s="363" t="s">
        <v>635</v>
      </c>
      <c r="H520" s="363" t="s">
        <v>636</v>
      </c>
      <c r="I520" s="363" t="s">
        <v>240</v>
      </c>
      <c r="J520" s="363" t="s">
        <v>641</v>
      </c>
      <c r="K520" s="363" t="s">
        <v>644</v>
      </c>
      <c r="L520" s="368"/>
      <c r="M520" s="369">
        <v>46253.78175476852</v>
      </c>
      <c r="N520" s="363"/>
      <c r="O520" s="363"/>
      <c r="P520" s="370"/>
      <c r="Q520" s="363">
        <v>1.891511309E9</v>
      </c>
    </row>
    <row r="532">
      <c r="A532" s="363" t="str">
        <f t="array" ref="A532:S591">Onboarded!A:T</f>
        <v>SUB</v>
      </c>
      <c r="B532" s="363" t="s">
        <v>1</v>
      </c>
      <c r="C532" s="363" t="s">
        <v>2</v>
      </c>
      <c r="D532" s="363" t="s">
        <v>3</v>
      </c>
      <c r="E532" s="363" t="s">
        <v>4</v>
      </c>
      <c r="F532" s="363" t="s">
        <v>5</v>
      </c>
      <c r="G532" s="364" t="s">
        <v>6</v>
      </c>
      <c r="H532" s="363" t="s">
        <v>7</v>
      </c>
      <c r="I532" s="363" t="s">
        <v>8</v>
      </c>
      <c r="J532" s="363" t="s">
        <v>9</v>
      </c>
      <c r="K532" s="363" t="s">
        <v>10</v>
      </c>
      <c r="L532" s="365" t="s">
        <v>11</v>
      </c>
      <c r="M532" s="363" t="s">
        <v>12</v>
      </c>
      <c r="N532" s="363" t="s">
        <v>13</v>
      </c>
      <c r="O532" s="363" t="s">
        <v>14</v>
      </c>
      <c r="P532" s="363" t="s">
        <v>15</v>
      </c>
      <c r="Q532" s="363" t="s">
        <v>16</v>
      </c>
      <c r="R532" s="363"/>
      <c r="S532" s="363"/>
    </row>
    <row r="533">
      <c r="A533" s="363" t="s">
        <v>17</v>
      </c>
      <c r="B533" s="363" t="s">
        <v>53</v>
      </c>
      <c r="C533" s="363" t="s">
        <v>876</v>
      </c>
      <c r="D533" s="366">
        <v>45701.0</v>
      </c>
      <c r="E533" s="363" t="s">
        <v>880</v>
      </c>
      <c r="F533" s="363" t="s">
        <v>881</v>
      </c>
      <c r="G533" s="363" t="s">
        <v>882</v>
      </c>
      <c r="H533" s="363"/>
      <c r="I533" s="363" t="s">
        <v>268</v>
      </c>
      <c r="J533" s="363" t="s">
        <v>884</v>
      </c>
      <c r="K533" s="363" t="s">
        <v>885</v>
      </c>
      <c r="L533" s="398"/>
      <c r="M533" s="398"/>
      <c r="N533" s="363"/>
      <c r="O533" s="370"/>
      <c r="P533" s="363"/>
      <c r="Q533" s="363">
        <v>1.013790195E9</v>
      </c>
      <c r="R533" s="363"/>
      <c r="S533" s="363"/>
    </row>
    <row r="534">
      <c r="A534" s="363" t="s">
        <v>17</v>
      </c>
      <c r="B534" s="363"/>
      <c r="C534" s="363" t="s">
        <v>876</v>
      </c>
      <c r="D534" s="366"/>
      <c r="E534" s="363" t="s">
        <v>893</v>
      </c>
      <c r="F534" s="363" t="s">
        <v>895</v>
      </c>
      <c r="G534" s="363"/>
      <c r="H534" s="363"/>
      <c r="I534" s="363"/>
      <c r="J534" s="363"/>
      <c r="K534" s="363"/>
      <c r="L534" s="398"/>
      <c r="M534" s="363"/>
      <c r="N534" s="363"/>
      <c r="O534" s="370"/>
      <c r="P534" s="363"/>
      <c r="Q534" s="363">
        <v>1.114282688E9</v>
      </c>
      <c r="R534" s="363"/>
      <c r="S534" s="363"/>
    </row>
    <row r="535">
      <c r="A535" s="363" t="s">
        <v>17</v>
      </c>
      <c r="B535" s="363"/>
      <c r="C535" s="363" t="s">
        <v>876</v>
      </c>
      <c r="D535" s="366"/>
      <c r="E535" s="363" t="s">
        <v>902</v>
      </c>
      <c r="F535" s="363" t="s">
        <v>903</v>
      </c>
      <c r="G535" s="363"/>
      <c r="H535" s="363"/>
      <c r="I535" s="363"/>
      <c r="J535" s="363"/>
      <c r="K535" s="363"/>
      <c r="L535" s="398"/>
      <c r="M535" s="363"/>
      <c r="N535" s="363"/>
      <c r="O535" s="370"/>
      <c r="P535" s="363"/>
      <c r="Q535" s="363">
        <v>1.134620537E9</v>
      </c>
      <c r="R535" s="363"/>
      <c r="S535" s="363"/>
    </row>
    <row r="536">
      <c r="A536" s="363" t="s">
        <v>22</v>
      </c>
      <c r="B536" s="363" t="s">
        <v>19</v>
      </c>
      <c r="C536" s="363" t="s">
        <v>876</v>
      </c>
      <c r="D536" s="366">
        <v>45707.0</v>
      </c>
      <c r="E536" s="363" t="s">
        <v>915</v>
      </c>
      <c r="F536" s="363" t="s">
        <v>916</v>
      </c>
      <c r="G536" s="363" t="s">
        <v>917</v>
      </c>
      <c r="H536" s="363">
        <v>9.493397142E9</v>
      </c>
      <c r="I536" s="363" t="s">
        <v>918</v>
      </c>
      <c r="J536" s="363" t="s">
        <v>919</v>
      </c>
      <c r="K536" s="363" t="s">
        <v>920</v>
      </c>
      <c r="L536" s="398"/>
      <c r="M536" s="398"/>
      <c r="N536" s="363"/>
      <c r="O536" s="370"/>
      <c r="P536" s="363"/>
      <c r="Q536" s="363">
        <v>1.13472239E9</v>
      </c>
      <c r="R536" s="363"/>
      <c r="S536" s="363"/>
    </row>
    <row r="537">
      <c r="A537" s="363" t="s">
        <v>22</v>
      </c>
      <c r="B537" s="363" t="s">
        <v>19</v>
      </c>
      <c r="C537" s="363" t="s">
        <v>876</v>
      </c>
      <c r="D537" s="366">
        <v>45736.0</v>
      </c>
      <c r="E537" s="363" t="s">
        <v>929</v>
      </c>
      <c r="F537" s="363" t="s">
        <v>930</v>
      </c>
      <c r="G537" s="363" t="s">
        <v>932</v>
      </c>
      <c r="H537" s="363" t="s">
        <v>934</v>
      </c>
      <c r="I537" s="363" t="s">
        <v>936</v>
      </c>
      <c r="J537" s="363" t="s">
        <v>938</v>
      </c>
      <c r="K537" s="363" t="s">
        <v>940</v>
      </c>
      <c r="L537" s="398"/>
      <c r="M537" s="398">
        <v>0.85</v>
      </c>
      <c r="N537" s="363"/>
      <c r="O537" s="370"/>
      <c r="P537" s="363"/>
      <c r="Q537" s="363">
        <v>1.184202699E9</v>
      </c>
      <c r="R537" s="363"/>
      <c r="S537" s="363"/>
    </row>
    <row r="538">
      <c r="A538" s="363" t="s">
        <v>17</v>
      </c>
      <c r="B538" s="363" t="s">
        <v>23</v>
      </c>
      <c r="C538" s="363" t="s">
        <v>876</v>
      </c>
      <c r="D538" s="366">
        <v>46009.0</v>
      </c>
      <c r="E538" s="363" t="s">
        <v>950</v>
      </c>
      <c r="F538" s="363" t="s">
        <v>951</v>
      </c>
      <c r="G538" s="363" t="s">
        <v>952</v>
      </c>
      <c r="H538" s="363" t="s">
        <v>953</v>
      </c>
      <c r="I538" s="363" t="s">
        <v>883</v>
      </c>
      <c r="J538" s="363" t="s">
        <v>955</v>
      </c>
      <c r="K538" s="363" t="s">
        <v>956</v>
      </c>
      <c r="L538" s="398"/>
      <c r="M538" s="363"/>
      <c r="N538" s="363"/>
      <c r="O538" s="370"/>
      <c r="P538" s="363"/>
      <c r="Q538" s="363">
        <v>1.184412082E9</v>
      </c>
      <c r="R538" s="363"/>
      <c r="S538" s="363"/>
    </row>
    <row r="539">
      <c r="A539" s="363" t="s">
        <v>17</v>
      </c>
      <c r="B539" s="363" t="s">
        <v>23</v>
      </c>
      <c r="C539" s="363" t="s">
        <v>876</v>
      </c>
      <c r="D539" s="366">
        <v>45708.0</v>
      </c>
      <c r="E539" s="363" t="s">
        <v>967</v>
      </c>
      <c r="F539" s="363" t="s">
        <v>969</v>
      </c>
      <c r="G539" s="363" t="s">
        <v>970</v>
      </c>
      <c r="H539" s="363" t="s">
        <v>972</v>
      </c>
      <c r="I539" s="363" t="s">
        <v>973</v>
      </c>
      <c r="J539" s="363" t="s">
        <v>975</v>
      </c>
      <c r="K539" s="363" t="s">
        <v>979</v>
      </c>
      <c r="L539" s="398"/>
      <c r="M539" s="398">
        <v>0.85</v>
      </c>
      <c r="N539" s="363"/>
      <c r="O539" s="370"/>
      <c r="P539" s="363"/>
      <c r="Q539" s="363">
        <v>1.225656291E9</v>
      </c>
      <c r="R539" s="363"/>
      <c r="S539" s="363"/>
    </row>
    <row r="540">
      <c r="A540" s="363" t="s">
        <v>410</v>
      </c>
      <c r="B540" s="363" t="s">
        <v>19</v>
      </c>
      <c r="C540" s="363" t="s">
        <v>876</v>
      </c>
      <c r="D540" s="366">
        <v>45658.0</v>
      </c>
      <c r="E540" s="363" t="s">
        <v>986</v>
      </c>
      <c r="F540" s="363" t="s">
        <v>988</v>
      </c>
      <c r="G540" s="363" t="s">
        <v>990</v>
      </c>
      <c r="H540" s="363" t="s">
        <v>994</v>
      </c>
      <c r="I540" s="363" t="s">
        <v>997</v>
      </c>
      <c r="J540" s="363" t="s">
        <v>999</v>
      </c>
      <c r="K540" s="363" t="s">
        <v>1000</v>
      </c>
      <c r="L540" s="398"/>
      <c r="M540" s="398"/>
      <c r="N540" s="363"/>
      <c r="O540" s="370"/>
      <c r="P540" s="363"/>
      <c r="Q540" s="363">
        <v>1.235990193E9</v>
      </c>
      <c r="R540" s="363"/>
      <c r="S540" s="363"/>
    </row>
    <row r="541">
      <c r="A541" s="363" t="s">
        <v>17</v>
      </c>
      <c r="B541" s="363" t="s">
        <v>19</v>
      </c>
      <c r="C541" s="363" t="s">
        <v>876</v>
      </c>
      <c r="D541" s="366">
        <v>45572.0</v>
      </c>
      <c r="E541" s="363" t="s">
        <v>1015</v>
      </c>
      <c r="F541" s="363" t="s">
        <v>1017</v>
      </c>
      <c r="G541" s="363" t="s">
        <v>1019</v>
      </c>
      <c r="H541" s="363"/>
      <c r="I541" s="363" t="s">
        <v>1023</v>
      </c>
      <c r="J541" s="363" t="s">
        <v>1024</v>
      </c>
      <c r="K541" s="363" t="s">
        <v>876</v>
      </c>
      <c r="L541" s="398"/>
      <c r="M541" s="363"/>
      <c r="N541" s="363"/>
      <c r="O541" s="370"/>
      <c r="P541" s="363"/>
      <c r="Q541" s="363">
        <v>1.255067385E9</v>
      </c>
      <c r="R541" s="363"/>
      <c r="S541" s="363"/>
    </row>
    <row r="542">
      <c r="A542" s="363" t="s">
        <v>410</v>
      </c>
      <c r="B542" s="363" t="s">
        <v>23</v>
      </c>
      <c r="C542" s="363" t="s">
        <v>876</v>
      </c>
      <c r="D542" s="366">
        <v>45792.0</v>
      </c>
      <c r="E542" s="363" t="s">
        <v>1038</v>
      </c>
      <c r="F542" s="363" t="s">
        <v>1039</v>
      </c>
      <c r="G542" s="363" t="s">
        <v>1040</v>
      </c>
      <c r="H542" s="363" t="s">
        <v>1041</v>
      </c>
      <c r="I542" s="363" t="s">
        <v>1042</v>
      </c>
      <c r="J542" s="363" t="s">
        <v>1043</v>
      </c>
      <c r="K542" s="363" t="s">
        <v>1044</v>
      </c>
      <c r="L542" s="398"/>
      <c r="M542" s="398">
        <v>0.9</v>
      </c>
      <c r="N542" s="363"/>
      <c r="O542" s="370"/>
      <c r="P542" s="363"/>
      <c r="Q542" s="363">
        <v>1.316554942E9</v>
      </c>
      <c r="R542" s="363"/>
      <c r="S542" s="363"/>
    </row>
    <row r="543">
      <c r="A543" s="363" t="s">
        <v>18</v>
      </c>
      <c r="B543" s="363" t="s">
        <v>225</v>
      </c>
      <c r="C543" s="363" t="s">
        <v>876</v>
      </c>
      <c r="D543" s="366">
        <v>46034.0</v>
      </c>
      <c r="E543" s="363" t="s">
        <v>1063</v>
      </c>
      <c r="F543" s="363" t="s">
        <v>1064</v>
      </c>
      <c r="G543" s="363" t="s">
        <v>1065</v>
      </c>
      <c r="H543" s="363" t="s">
        <v>1067</v>
      </c>
      <c r="I543" s="363" t="s">
        <v>1070</v>
      </c>
      <c r="J543" s="363" t="s">
        <v>1074</v>
      </c>
      <c r="K543" s="363"/>
      <c r="L543" s="365"/>
      <c r="M543" s="398"/>
      <c r="N543" s="363"/>
      <c r="O543" s="363" t="b">
        <v>0</v>
      </c>
      <c r="P543" s="370"/>
      <c r="Q543" s="363">
        <v>1.356024087E9</v>
      </c>
      <c r="R543" s="363"/>
      <c r="S543" s="363"/>
    </row>
    <row r="544">
      <c r="A544" s="363" t="s">
        <v>22</v>
      </c>
      <c r="B544" s="363" t="s">
        <v>23</v>
      </c>
      <c r="C544" s="363" t="s">
        <v>876</v>
      </c>
      <c r="D544" s="366">
        <v>45755.0</v>
      </c>
      <c r="E544" s="363" t="s">
        <v>1099</v>
      </c>
      <c r="F544" s="363" t="s">
        <v>1101</v>
      </c>
      <c r="G544" s="363" t="s">
        <v>1103</v>
      </c>
      <c r="H544" s="363" t="s">
        <v>1105</v>
      </c>
      <c r="I544" s="363" t="s">
        <v>1106</v>
      </c>
      <c r="J544" s="363" t="s">
        <v>1107</v>
      </c>
      <c r="K544" s="363" t="s">
        <v>1108</v>
      </c>
      <c r="L544" s="398"/>
      <c r="M544" s="398">
        <v>0.9</v>
      </c>
      <c r="N544" s="363"/>
      <c r="O544" s="370"/>
      <c r="P544" s="363"/>
      <c r="Q544" s="363">
        <v>1.366260788E9</v>
      </c>
      <c r="R544" s="363"/>
      <c r="S544" s="363"/>
    </row>
    <row r="545">
      <c r="A545" s="363" t="s">
        <v>17</v>
      </c>
      <c r="B545" s="363"/>
      <c r="C545" s="363" t="s">
        <v>876</v>
      </c>
      <c r="D545" s="366"/>
      <c r="E545" s="363" t="s">
        <v>1122</v>
      </c>
      <c r="F545" s="363" t="s">
        <v>1123</v>
      </c>
      <c r="G545" s="363"/>
      <c r="H545" s="363"/>
      <c r="I545" s="363"/>
      <c r="J545" s="363"/>
      <c r="K545" s="363"/>
      <c r="L545" s="398"/>
      <c r="M545" s="363"/>
      <c r="N545" s="363"/>
      <c r="O545" s="370"/>
      <c r="P545" s="363"/>
      <c r="Q545" s="363">
        <v>1.396208633E9</v>
      </c>
      <c r="R545" s="363"/>
      <c r="S545" s="363"/>
    </row>
    <row r="546">
      <c r="A546" s="363" t="s">
        <v>117</v>
      </c>
      <c r="B546" s="363" t="s">
        <v>19</v>
      </c>
      <c r="C546" s="363" t="s">
        <v>876</v>
      </c>
      <c r="D546" s="366">
        <v>45979.0</v>
      </c>
      <c r="E546" s="363" t="s">
        <v>1137</v>
      </c>
      <c r="F546" s="363" t="s">
        <v>1138</v>
      </c>
      <c r="G546" s="363" t="s">
        <v>1139</v>
      </c>
      <c r="H546" s="363" t="s">
        <v>1141</v>
      </c>
      <c r="I546" s="363" t="s">
        <v>191</v>
      </c>
      <c r="J546" s="363" t="s">
        <v>1145</v>
      </c>
      <c r="K546" s="363" t="s">
        <v>1147</v>
      </c>
      <c r="L546" s="398"/>
      <c r="M546" s="363"/>
      <c r="N546" s="363"/>
      <c r="O546" s="370"/>
      <c r="P546" s="363"/>
      <c r="Q546" s="363">
        <v>1.407691694E9</v>
      </c>
      <c r="R546" s="363"/>
      <c r="S546" s="363"/>
    </row>
    <row r="547">
      <c r="A547" s="363" t="s">
        <v>17</v>
      </c>
      <c r="B547" s="363"/>
      <c r="C547" s="363" t="s">
        <v>876</v>
      </c>
      <c r="D547" s="366"/>
      <c r="E547" s="363" t="s">
        <v>1149</v>
      </c>
      <c r="F547" s="363" t="s">
        <v>1150</v>
      </c>
      <c r="G547" s="363"/>
      <c r="H547" s="363"/>
      <c r="I547" s="363"/>
      <c r="J547" s="363"/>
      <c r="K547" s="363"/>
      <c r="L547" s="398"/>
      <c r="M547" s="363"/>
      <c r="N547" s="363"/>
      <c r="O547" s="370"/>
      <c r="P547" s="363"/>
      <c r="Q547" s="363">
        <v>1.417731795E9</v>
      </c>
      <c r="R547" s="363"/>
      <c r="S547" s="363"/>
    </row>
    <row r="548">
      <c r="A548" s="363" t="s">
        <v>117</v>
      </c>
      <c r="B548" s="363" t="s">
        <v>53</v>
      </c>
      <c r="C548" s="363" t="s">
        <v>876</v>
      </c>
      <c r="D548" s="366">
        <v>45973.0</v>
      </c>
      <c r="E548" s="363" t="s">
        <v>1165</v>
      </c>
      <c r="F548" s="363" t="s">
        <v>1166</v>
      </c>
      <c r="G548" s="363" t="s">
        <v>1167</v>
      </c>
      <c r="H548" s="363" t="s">
        <v>1168</v>
      </c>
      <c r="I548" s="363" t="s">
        <v>1170</v>
      </c>
      <c r="J548" s="363" t="s">
        <v>1171</v>
      </c>
      <c r="K548" s="363" t="s">
        <v>1172</v>
      </c>
      <c r="L548" s="365"/>
      <c r="M548" s="398"/>
      <c r="N548" s="363"/>
      <c r="O548" s="363" t="b">
        <v>0</v>
      </c>
      <c r="P548" s="370"/>
      <c r="Q548" s="363">
        <v>1.457139768E9</v>
      </c>
      <c r="R548" s="363"/>
      <c r="S548" s="363"/>
    </row>
    <row r="549">
      <c r="A549" s="363" t="s">
        <v>17</v>
      </c>
      <c r="B549" s="363" t="s">
        <v>1182</v>
      </c>
      <c r="C549" s="363" t="s">
        <v>876</v>
      </c>
      <c r="D549" s="366">
        <v>45694.0</v>
      </c>
      <c r="E549" s="363" t="s">
        <v>1183</v>
      </c>
      <c r="F549" s="363" t="s">
        <v>1184</v>
      </c>
      <c r="G549" s="363" t="s">
        <v>1186</v>
      </c>
      <c r="H549" s="363"/>
      <c r="I549" s="363"/>
      <c r="J549" s="363" t="s">
        <v>1188</v>
      </c>
      <c r="K549" s="363"/>
      <c r="L549" s="398"/>
      <c r="M549" s="398">
        <v>1.0</v>
      </c>
      <c r="N549" s="363"/>
      <c r="O549" s="370"/>
      <c r="P549" s="363"/>
      <c r="Q549" s="363">
        <v>1.467205401E9</v>
      </c>
      <c r="R549" s="363"/>
      <c r="S549" s="363"/>
    </row>
    <row r="550">
      <c r="A550" s="363" t="s">
        <v>22</v>
      </c>
      <c r="B550" s="363" t="s">
        <v>19</v>
      </c>
      <c r="C550" s="363" t="s">
        <v>876</v>
      </c>
      <c r="D550" s="366">
        <v>45817.0</v>
      </c>
      <c r="E550" s="363" t="s">
        <v>1201</v>
      </c>
      <c r="F550" s="363" t="s">
        <v>1202</v>
      </c>
      <c r="G550" s="363" t="s">
        <v>1203</v>
      </c>
      <c r="H550" s="363" t="s">
        <v>1204</v>
      </c>
      <c r="I550" s="363" t="s">
        <v>1092</v>
      </c>
      <c r="J550" s="363" t="s">
        <v>1205</v>
      </c>
      <c r="K550" s="363" t="s">
        <v>1206</v>
      </c>
      <c r="L550" s="398"/>
      <c r="M550" s="398">
        <v>0.75</v>
      </c>
      <c r="N550" s="363"/>
      <c r="O550" s="370"/>
      <c r="P550" s="363"/>
      <c r="Q550" s="363">
        <v>1.497529606E9</v>
      </c>
      <c r="R550" s="363"/>
      <c r="S550" s="363"/>
    </row>
    <row r="551">
      <c r="A551" s="363" t="s">
        <v>17</v>
      </c>
      <c r="B551" s="363" t="s">
        <v>53</v>
      </c>
      <c r="C551" s="363" t="s">
        <v>876</v>
      </c>
      <c r="D551" s="366">
        <v>45701.0</v>
      </c>
      <c r="E551" s="363" t="s">
        <v>1214</v>
      </c>
      <c r="F551" s="363" t="s">
        <v>1215</v>
      </c>
      <c r="G551" s="363" t="s">
        <v>1217</v>
      </c>
      <c r="H551" s="363"/>
      <c r="I551" s="363" t="s">
        <v>359</v>
      </c>
      <c r="J551" s="363" t="s">
        <v>1219</v>
      </c>
      <c r="K551" s="363" t="s">
        <v>1222</v>
      </c>
      <c r="L551" s="398"/>
      <c r="M551" s="398"/>
      <c r="N551" s="363"/>
      <c r="O551" s="370"/>
      <c r="P551" s="363"/>
      <c r="Q551" s="363">
        <v>1.53894652E9</v>
      </c>
      <c r="R551" s="363"/>
      <c r="S551" s="363"/>
    </row>
    <row r="552">
      <c r="A552" s="363" t="s">
        <v>17</v>
      </c>
      <c r="B552" s="363" t="s">
        <v>23</v>
      </c>
      <c r="C552" s="363" t="s">
        <v>876</v>
      </c>
      <c r="D552" s="366">
        <v>45838.0</v>
      </c>
      <c r="E552" s="363" t="s">
        <v>1232</v>
      </c>
      <c r="F552" s="363" t="s">
        <v>1234</v>
      </c>
      <c r="G552" s="363" t="s">
        <v>1237</v>
      </c>
      <c r="H552" s="363" t="s">
        <v>1239</v>
      </c>
      <c r="I552" s="363" t="s">
        <v>1241</v>
      </c>
      <c r="J552" s="363" t="s">
        <v>1243</v>
      </c>
      <c r="K552" s="363" t="s">
        <v>1245</v>
      </c>
      <c r="L552" s="398"/>
      <c r="M552" s="363"/>
      <c r="N552" s="363"/>
      <c r="O552" s="370"/>
      <c r="P552" s="363"/>
      <c r="Q552" s="363">
        <v>1.63999253E9</v>
      </c>
      <c r="R552" s="363"/>
      <c r="S552" s="363"/>
    </row>
    <row r="553">
      <c r="A553" s="363" t="s">
        <v>17</v>
      </c>
      <c r="B553" s="363"/>
      <c r="C553" s="363" t="s">
        <v>876</v>
      </c>
      <c r="D553" s="366"/>
      <c r="E553" s="363" t="s">
        <v>1254</v>
      </c>
      <c r="F553" s="363" t="s">
        <v>1257</v>
      </c>
      <c r="G553" s="363"/>
      <c r="H553" s="363"/>
      <c r="I553" s="363"/>
      <c r="J553" s="363"/>
      <c r="K553" s="363"/>
      <c r="L553" s="398"/>
      <c r="M553" s="363"/>
      <c r="N553" s="363"/>
      <c r="O553" s="370"/>
      <c r="P553" s="363"/>
      <c r="Q553" s="363">
        <v>1.679248447E9</v>
      </c>
      <c r="R553" s="363"/>
      <c r="S553" s="363"/>
    </row>
    <row r="554">
      <c r="A554" s="363" t="s">
        <v>410</v>
      </c>
      <c r="B554" s="363" t="s">
        <v>19</v>
      </c>
      <c r="C554" s="363" t="s">
        <v>876</v>
      </c>
      <c r="D554" s="366">
        <v>45689.0</v>
      </c>
      <c r="E554" s="363" t="s">
        <v>1271</v>
      </c>
      <c r="F554" s="363" t="s">
        <v>1273</v>
      </c>
      <c r="G554" s="363" t="s">
        <v>1275</v>
      </c>
      <c r="H554" s="363" t="s">
        <v>1276</v>
      </c>
      <c r="I554" s="363" t="s">
        <v>1277</v>
      </c>
      <c r="J554" s="363" t="s">
        <v>1278</v>
      </c>
      <c r="K554" s="363" t="s">
        <v>1279</v>
      </c>
      <c r="L554" s="398"/>
      <c r="M554" s="398">
        <v>0.8</v>
      </c>
      <c r="N554" s="363"/>
      <c r="O554" s="370"/>
      <c r="P554" s="363"/>
      <c r="Q554" s="363">
        <v>1.710524962E9</v>
      </c>
      <c r="R554" s="363"/>
      <c r="S554" s="363"/>
    </row>
    <row r="555">
      <c r="A555" s="363" t="s">
        <v>22</v>
      </c>
      <c r="B555" s="363" t="s">
        <v>19</v>
      </c>
      <c r="C555" s="363" t="s">
        <v>876</v>
      </c>
      <c r="D555" s="366">
        <v>45590.0</v>
      </c>
      <c r="E555" s="363" t="s">
        <v>1289</v>
      </c>
      <c r="F555" s="363" t="s">
        <v>1292</v>
      </c>
      <c r="G555" s="363" t="s">
        <v>1294</v>
      </c>
      <c r="H555" s="363"/>
      <c r="I555" s="363" t="s">
        <v>918</v>
      </c>
      <c r="J555" s="363" t="s">
        <v>1296</v>
      </c>
      <c r="K555" s="363" t="s">
        <v>1297</v>
      </c>
      <c r="L555" s="398"/>
      <c r="M555" s="363"/>
      <c r="N555" s="363"/>
      <c r="O555" s="370"/>
      <c r="P555" s="363"/>
      <c r="Q555" s="363">
        <v>1.760247704E9</v>
      </c>
      <c r="R555" s="363"/>
      <c r="S555" s="363"/>
    </row>
    <row r="556">
      <c r="A556" s="363" t="s">
        <v>410</v>
      </c>
      <c r="B556" s="363" t="s">
        <v>1182</v>
      </c>
      <c r="C556" s="363" t="s">
        <v>876</v>
      </c>
      <c r="D556" s="366">
        <v>45855.0</v>
      </c>
      <c r="E556" s="363" t="s">
        <v>1299</v>
      </c>
      <c r="F556" s="363" t="s">
        <v>1300</v>
      </c>
      <c r="G556" s="363" t="s">
        <v>1302</v>
      </c>
      <c r="H556" s="363" t="s">
        <v>1304</v>
      </c>
      <c r="I556" s="363" t="s">
        <v>1306</v>
      </c>
      <c r="J556" s="363" t="s">
        <v>1307</v>
      </c>
      <c r="K556" s="363" t="s">
        <v>1309</v>
      </c>
      <c r="L556" s="398"/>
      <c r="M556" s="398"/>
      <c r="N556" s="363"/>
      <c r="O556" s="370"/>
      <c r="P556" s="363"/>
      <c r="Q556" s="363">
        <v>1.85144812E9</v>
      </c>
      <c r="R556" s="363"/>
      <c r="S556" s="363"/>
    </row>
    <row r="557">
      <c r="A557" s="363" t="s">
        <v>17</v>
      </c>
      <c r="B557" s="363" t="s">
        <v>587</v>
      </c>
      <c r="C557" s="363" t="s">
        <v>876</v>
      </c>
      <c r="D557" s="366"/>
      <c r="E557" s="363" t="s">
        <v>1316</v>
      </c>
      <c r="F557" s="363" t="s">
        <v>1317</v>
      </c>
      <c r="G557" s="363"/>
      <c r="H557" s="363"/>
      <c r="I557" s="363"/>
      <c r="J557" s="363"/>
      <c r="K557" s="363"/>
      <c r="L557" s="398"/>
      <c r="M557" s="363"/>
      <c r="N557" s="363"/>
      <c r="O557" s="370"/>
      <c r="P557" s="363"/>
      <c r="Q557" s="363">
        <v>1.881123271E9</v>
      </c>
      <c r="R557" s="363"/>
      <c r="S557" s="363"/>
    </row>
    <row r="558">
      <c r="A558" s="363" t="s">
        <v>22</v>
      </c>
      <c r="B558" s="363" t="s">
        <v>23</v>
      </c>
      <c r="C558" s="363" t="s">
        <v>876</v>
      </c>
      <c r="D558" s="366">
        <v>45890.0</v>
      </c>
      <c r="E558" s="363" t="s">
        <v>1324</v>
      </c>
      <c r="F558" s="363" t="s">
        <v>1325</v>
      </c>
      <c r="G558" s="363" t="s">
        <v>1326</v>
      </c>
      <c r="H558" s="363" t="s">
        <v>1327</v>
      </c>
      <c r="I558" s="363" t="s">
        <v>1328</v>
      </c>
      <c r="J558" s="363" t="s">
        <v>1329</v>
      </c>
      <c r="K558" s="363" t="s">
        <v>1330</v>
      </c>
      <c r="L558" s="398"/>
      <c r="M558" s="363"/>
      <c r="N558" s="363"/>
      <c r="O558" s="370"/>
      <c r="P558" s="363"/>
      <c r="Q558" s="363">
        <v>1.932885985E9</v>
      </c>
      <c r="R558" s="363"/>
      <c r="S558" s="363"/>
    </row>
    <row r="559">
      <c r="A559" s="363" t="s">
        <v>22</v>
      </c>
      <c r="B559" s="363" t="s">
        <v>23</v>
      </c>
      <c r="C559" s="363" t="s">
        <v>876</v>
      </c>
      <c r="D559" s="366">
        <v>45785.0</v>
      </c>
      <c r="E559" s="363" t="s">
        <v>1339</v>
      </c>
      <c r="F559" s="363" t="s">
        <v>1341</v>
      </c>
      <c r="G559" s="363" t="s">
        <v>1343</v>
      </c>
      <c r="H559" s="363" t="s">
        <v>1345</v>
      </c>
      <c r="I559" s="363" t="s">
        <v>1347</v>
      </c>
      <c r="J559" s="363" t="s">
        <v>1349</v>
      </c>
      <c r="K559" s="363" t="s">
        <v>1351</v>
      </c>
      <c r="L559" s="398"/>
      <c r="M559" s="398">
        <v>0.9</v>
      </c>
      <c r="N559" s="363"/>
      <c r="O559" s="370"/>
      <c r="P559" s="363"/>
      <c r="Q559" s="363">
        <v>1.982001384E9</v>
      </c>
      <c r="R559" s="363"/>
      <c r="S559" s="363"/>
    </row>
    <row r="560">
      <c r="A560" s="363" t="s">
        <v>1356</v>
      </c>
      <c r="B560" s="363"/>
      <c r="C560" s="363"/>
      <c r="D560" s="363"/>
      <c r="E560" s="363"/>
      <c r="F560" s="363"/>
      <c r="G560" s="363"/>
      <c r="H560" s="363"/>
      <c r="I560" s="363"/>
      <c r="J560" s="363"/>
      <c r="K560" s="363"/>
      <c r="L560" s="363"/>
      <c r="M560" s="363"/>
      <c r="N560" s="363"/>
      <c r="O560" s="363"/>
      <c r="P560" s="363"/>
      <c r="Q560" s="363"/>
      <c r="R560" s="363"/>
      <c r="S560" s="363"/>
    </row>
    <row r="561">
      <c r="A561" s="363" t="s">
        <v>1386</v>
      </c>
      <c r="B561" s="363"/>
      <c r="C561" s="363"/>
      <c r="D561" s="363"/>
      <c r="E561" s="363"/>
      <c r="F561" s="363"/>
      <c r="G561" s="363"/>
      <c r="H561" s="363"/>
      <c r="I561" s="363"/>
      <c r="J561" s="363"/>
      <c r="K561" s="363"/>
      <c r="L561" s="363"/>
      <c r="M561" s="363"/>
      <c r="N561" s="363"/>
      <c r="O561" s="363"/>
      <c r="P561" s="363"/>
      <c r="Q561" s="363"/>
      <c r="R561" s="363"/>
      <c r="S561" s="363"/>
    </row>
    <row r="562">
      <c r="A562" s="363" t="s">
        <v>17</v>
      </c>
      <c r="B562" s="363"/>
      <c r="C562" s="363" t="s">
        <v>876</v>
      </c>
      <c r="D562" s="366"/>
      <c r="E562" s="363" t="s">
        <v>1406</v>
      </c>
      <c r="F562" s="363" t="s">
        <v>1408</v>
      </c>
      <c r="G562" s="363"/>
      <c r="H562" s="363"/>
      <c r="I562" s="363"/>
      <c r="J562" s="363"/>
      <c r="K562" s="363"/>
      <c r="L562" s="398"/>
      <c r="M562" s="363"/>
      <c r="N562" s="363"/>
      <c r="O562" s="370"/>
      <c r="P562" s="363"/>
      <c r="Q562" s="363">
        <v>1.174356141E9</v>
      </c>
      <c r="R562" s="363"/>
      <c r="S562" s="363"/>
    </row>
    <row r="563">
      <c r="A563" s="363" t="s">
        <v>17</v>
      </c>
      <c r="B563" s="363"/>
      <c r="C563" s="363" t="s">
        <v>876</v>
      </c>
      <c r="D563" s="366"/>
      <c r="E563" s="363"/>
      <c r="F563" s="363" t="s">
        <v>1418</v>
      </c>
      <c r="G563" s="363"/>
      <c r="H563" s="363"/>
      <c r="I563" s="363"/>
      <c r="J563" s="363"/>
      <c r="K563" s="363"/>
      <c r="L563" s="398"/>
      <c r="M563" s="363"/>
      <c r="N563" s="363"/>
      <c r="O563" s="370"/>
      <c r="P563" s="363"/>
      <c r="Q563" s="363"/>
      <c r="R563" s="363"/>
      <c r="S563" s="363"/>
    </row>
    <row r="564">
      <c r="A564" s="363" t="s">
        <v>17</v>
      </c>
      <c r="B564" s="363"/>
      <c r="C564" s="363" t="s">
        <v>876</v>
      </c>
      <c r="D564" s="366"/>
      <c r="E564" s="363"/>
      <c r="F564" s="363" t="s">
        <v>1426</v>
      </c>
      <c r="G564" s="363"/>
      <c r="H564" s="363"/>
      <c r="I564" s="363"/>
      <c r="J564" s="363"/>
      <c r="K564" s="363"/>
      <c r="L564" s="398"/>
      <c r="M564" s="363"/>
      <c r="N564" s="363"/>
      <c r="O564" s="370"/>
      <c r="P564" s="363"/>
      <c r="Q564" s="363"/>
      <c r="R564" s="363"/>
      <c r="S564" s="363"/>
    </row>
    <row r="565">
      <c r="A565" s="363" t="s">
        <v>17</v>
      </c>
      <c r="B565" s="363"/>
      <c r="C565" s="363" t="s">
        <v>876</v>
      </c>
      <c r="D565" s="366"/>
      <c r="E565" s="363"/>
      <c r="F565" s="363" t="s">
        <v>1434</v>
      </c>
      <c r="G565" s="363"/>
      <c r="H565" s="363"/>
      <c r="I565" s="363"/>
      <c r="J565" s="363"/>
      <c r="K565" s="363"/>
      <c r="L565" s="398"/>
      <c r="M565" s="363"/>
      <c r="N565" s="363"/>
      <c r="O565" s="370"/>
      <c r="P565" s="363"/>
      <c r="Q565" s="363"/>
      <c r="R565" s="363"/>
      <c r="S565" s="363"/>
    </row>
    <row r="566">
      <c r="A566" s="363" t="s">
        <v>17</v>
      </c>
      <c r="B566" s="363"/>
      <c r="C566" s="363" t="s">
        <v>876</v>
      </c>
      <c r="D566" s="366"/>
      <c r="E566" s="363" t="s">
        <v>1406</v>
      </c>
      <c r="F566" s="363" t="s">
        <v>1257</v>
      </c>
      <c r="G566" s="363"/>
      <c r="H566" s="363"/>
      <c r="I566" s="363"/>
      <c r="J566" s="363"/>
      <c r="K566" s="363"/>
      <c r="L566" s="398"/>
      <c r="M566" s="363"/>
      <c r="N566" s="363"/>
      <c r="O566" s="370"/>
      <c r="P566" s="363"/>
      <c r="Q566" s="363"/>
      <c r="R566" s="363"/>
      <c r="S566" s="363"/>
    </row>
    <row r="567">
      <c r="A567" s="363" t="s">
        <v>17</v>
      </c>
      <c r="B567" s="363"/>
      <c r="C567" s="363" t="s">
        <v>876</v>
      </c>
      <c r="D567" s="366"/>
      <c r="E567" s="363" t="s">
        <v>1484</v>
      </c>
      <c r="F567" s="363" t="s">
        <v>1486</v>
      </c>
      <c r="G567" s="363"/>
      <c r="H567" s="363"/>
      <c r="I567" s="363"/>
      <c r="J567" s="363"/>
      <c r="K567" s="363"/>
      <c r="L567" s="398"/>
      <c r="M567" s="363"/>
      <c r="N567" s="363"/>
      <c r="O567" s="370"/>
      <c r="P567" s="363"/>
      <c r="Q567" s="363"/>
      <c r="R567" s="363"/>
      <c r="S567" s="363"/>
    </row>
    <row r="568">
      <c r="A568" s="363" t="s">
        <v>17</v>
      </c>
      <c r="B568" s="363" t="s">
        <v>19</v>
      </c>
      <c r="C568" s="363" t="s">
        <v>876</v>
      </c>
      <c r="D568" s="366"/>
      <c r="E568" s="363" t="s">
        <v>1502</v>
      </c>
      <c r="F568" s="363" t="s">
        <v>1504</v>
      </c>
      <c r="G568" s="363"/>
      <c r="H568" s="363"/>
      <c r="I568" s="363"/>
      <c r="J568" s="363"/>
      <c r="K568" s="363"/>
      <c r="L568" s="398"/>
      <c r="M568" s="363"/>
      <c r="N568" s="363"/>
      <c r="O568" s="370"/>
      <c r="P568" s="363"/>
      <c r="Q568" s="363"/>
      <c r="R568" s="363"/>
      <c r="S568" s="363"/>
    </row>
    <row r="569">
      <c r="A569" s="363" t="s">
        <v>17</v>
      </c>
      <c r="B569" s="363" t="s">
        <v>53</v>
      </c>
      <c r="C569" s="363" t="s">
        <v>876</v>
      </c>
      <c r="D569" s="366">
        <v>45720.0</v>
      </c>
      <c r="E569" s="363" t="s">
        <v>1517</v>
      </c>
      <c r="F569" s="363" t="s">
        <v>1518</v>
      </c>
      <c r="G569" s="363" t="s">
        <v>1519</v>
      </c>
      <c r="H569" s="363"/>
      <c r="I569" s="363" t="s">
        <v>1346</v>
      </c>
      <c r="J569" s="363" t="s">
        <v>1521</v>
      </c>
      <c r="K569" s="363" t="s">
        <v>1524</v>
      </c>
      <c r="L569" s="398"/>
      <c r="M569" s="398">
        <v>0.9</v>
      </c>
      <c r="N569" s="363"/>
      <c r="O569" s="370"/>
      <c r="P569" s="363"/>
      <c r="Q569" s="363"/>
      <c r="R569" s="363"/>
      <c r="S569" s="363"/>
    </row>
    <row r="570">
      <c r="A570" s="363" t="s">
        <v>410</v>
      </c>
      <c r="B570" s="363" t="s">
        <v>23</v>
      </c>
      <c r="C570" s="363" t="s">
        <v>876</v>
      </c>
      <c r="D570" s="366">
        <v>45757.0</v>
      </c>
      <c r="E570" s="363" t="s">
        <v>1559</v>
      </c>
      <c r="F570" s="363" t="s">
        <v>1563</v>
      </c>
      <c r="G570" s="363" t="s">
        <v>1565</v>
      </c>
      <c r="H570" s="363" t="s">
        <v>1566</v>
      </c>
      <c r="I570" s="363" t="s">
        <v>762</v>
      </c>
      <c r="J570" s="363" t="s">
        <v>1567</v>
      </c>
      <c r="K570" s="363" t="s">
        <v>1570</v>
      </c>
      <c r="L570" s="398"/>
      <c r="M570" s="398">
        <v>0.75</v>
      </c>
      <c r="N570" s="363"/>
      <c r="O570" s="370"/>
      <c r="P570" s="363"/>
      <c r="Q570" s="363">
        <v>1.679327365E9</v>
      </c>
      <c r="R570" s="363"/>
      <c r="S570" s="363"/>
    </row>
    <row r="571">
      <c r="A571" s="363" t="s">
        <v>22</v>
      </c>
      <c r="B571" s="363" t="s">
        <v>53</v>
      </c>
      <c r="C571" s="363" t="s">
        <v>876</v>
      </c>
      <c r="D571" s="366">
        <v>45761.0</v>
      </c>
      <c r="E571" s="363" t="s">
        <v>1594</v>
      </c>
      <c r="F571" s="363" t="s">
        <v>1597</v>
      </c>
      <c r="G571" s="363" t="s">
        <v>1599</v>
      </c>
      <c r="H571" s="363" t="s">
        <v>1603</v>
      </c>
      <c r="I571" s="363" t="s">
        <v>1605</v>
      </c>
      <c r="J571" s="363" t="s">
        <v>1609</v>
      </c>
      <c r="K571" s="363" t="s">
        <v>1610</v>
      </c>
      <c r="L571" s="398"/>
      <c r="M571" s="398">
        <v>0.95</v>
      </c>
      <c r="N571" s="363"/>
      <c r="O571" s="370"/>
      <c r="P571" s="363"/>
      <c r="Q571" s="363"/>
      <c r="R571" s="363"/>
      <c r="S571" s="363"/>
    </row>
    <row r="572">
      <c r="A572" s="363" t="s">
        <v>621</v>
      </c>
      <c r="B572" s="363" t="s">
        <v>23</v>
      </c>
      <c r="C572" s="363" t="s">
        <v>876</v>
      </c>
      <c r="D572" s="366">
        <v>45798.0</v>
      </c>
      <c r="E572" s="363" t="s">
        <v>1618</v>
      </c>
      <c r="F572" s="363" t="s">
        <v>1619</v>
      </c>
      <c r="G572" s="363" t="s">
        <v>1620</v>
      </c>
      <c r="H572" s="363" t="s">
        <v>1621</v>
      </c>
      <c r="I572" s="363" t="s">
        <v>1622</v>
      </c>
      <c r="J572" s="363" t="s">
        <v>1623</v>
      </c>
      <c r="K572" s="363" t="s">
        <v>1624</v>
      </c>
      <c r="L572" s="398"/>
      <c r="M572" s="398">
        <v>0.9</v>
      </c>
      <c r="N572" s="363"/>
      <c r="O572" s="370"/>
      <c r="P572" s="363"/>
      <c r="Q572" s="363"/>
      <c r="R572" s="363"/>
      <c r="S572" s="363"/>
    </row>
    <row r="573">
      <c r="A573" s="363" t="s">
        <v>621</v>
      </c>
      <c r="B573" s="363" t="s">
        <v>53</v>
      </c>
      <c r="C573" s="363" t="s">
        <v>876</v>
      </c>
      <c r="D573" s="366">
        <v>45807.0</v>
      </c>
      <c r="E573" s="363" t="s">
        <v>1634</v>
      </c>
      <c r="F573" s="363" t="s">
        <v>1635</v>
      </c>
      <c r="G573" s="363" t="s">
        <v>1636</v>
      </c>
      <c r="H573" s="363" t="s">
        <v>1637</v>
      </c>
      <c r="I573" s="363"/>
      <c r="J573" s="363" t="s">
        <v>1638</v>
      </c>
      <c r="K573" s="363" t="s">
        <v>1639</v>
      </c>
      <c r="L573" s="398"/>
      <c r="M573" s="398">
        <v>0.9</v>
      </c>
      <c r="N573" s="363"/>
      <c r="O573" s="370"/>
      <c r="P573" s="363"/>
      <c r="Q573" s="363"/>
      <c r="R573" s="363"/>
      <c r="S573" s="363"/>
    </row>
    <row r="574">
      <c r="A574" s="363" t="s">
        <v>621</v>
      </c>
      <c r="B574" s="363" t="s">
        <v>53</v>
      </c>
      <c r="C574" s="363" t="s">
        <v>876</v>
      </c>
      <c r="D574" s="366">
        <v>45810.0</v>
      </c>
      <c r="E574" s="363" t="s">
        <v>1645</v>
      </c>
      <c r="F574" s="363" t="s">
        <v>1647</v>
      </c>
      <c r="G574" s="363" t="s">
        <v>1649</v>
      </c>
      <c r="H574" s="363" t="s">
        <v>1651</v>
      </c>
      <c r="I574" s="363"/>
      <c r="J574" s="363" t="s">
        <v>1653</v>
      </c>
      <c r="K574" s="363" t="s">
        <v>1656</v>
      </c>
      <c r="L574" s="398"/>
      <c r="M574" s="398">
        <v>0.9</v>
      </c>
      <c r="N574" s="363"/>
      <c r="O574" s="370"/>
      <c r="P574" s="363"/>
      <c r="Q574" s="363"/>
      <c r="R574" s="363"/>
      <c r="S574" s="363"/>
    </row>
    <row r="575">
      <c r="A575" s="363" t="s">
        <v>410</v>
      </c>
      <c r="B575" s="363" t="s">
        <v>587</v>
      </c>
      <c r="C575" s="363" t="s">
        <v>876</v>
      </c>
      <c r="D575" s="366">
        <v>45835.0</v>
      </c>
      <c r="E575" s="363" t="s">
        <v>1662</v>
      </c>
      <c r="F575" s="363" t="s">
        <v>1663</v>
      </c>
      <c r="G575" s="363"/>
      <c r="H575" s="363" t="s">
        <v>1666</v>
      </c>
      <c r="I575" s="363"/>
      <c r="J575" s="363"/>
      <c r="K575" s="363"/>
      <c r="L575" s="398"/>
      <c r="M575" s="398"/>
      <c r="N575" s="363"/>
      <c r="O575" s="370"/>
      <c r="P575" s="363"/>
      <c r="Q575" s="363"/>
      <c r="R575" s="363"/>
      <c r="S575" s="363"/>
    </row>
    <row r="576">
      <c r="A576" s="363" t="s">
        <v>410</v>
      </c>
      <c r="B576" s="363" t="s">
        <v>53</v>
      </c>
      <c r="C576" s="363" t="s">
        <v>876</v>
      </c>
      <c r="D576" s="366">
        <v>45874.0</v>
      </c>
      <c r="E576" s="363" t="s">
        <v>1676</v>
      </c>
      <c r="F576" s="363" t="s">
        <v>1679</v>
      </c>
      <c r="G576" s="363" t="s">
        <v>1681</v>
      </c>
      <c r="H576" s="363" t="s">
        <v>1682</v>
      </c>
      <c r="I576" s="363" t="s">
        <v>167</v>
      </c>
      <c r="J576" s="363" t="s">
        <v>1685</v>
      </c>
      <c r="K576" s="363" t="s">
        <v>1686</v>
      </c>
      <c r="L576" s="398"/>
      <c r="M576" s="363"/>
      <c r="N576" s="363"/>
      <c r="O576" s="370"/>
      <c r="P576" s="363"/>
      <c r="Q576" s="363">
        <v>1.487129714E9</v>
      </c>
      <c r="R576" s="363"/>
      <c r="S576" s="363"/>
    </row>
    <row r="577">
      <c r="A577" s="363" t="s">
        <v>117</v>
      </c>
      <c r="B577" s="363" t="s">
        <v>23</v>
      </c>
      <c r="C577" s="363" t="s">
        <v>876</v>
      </c>
      <c r="D577" s="366">
        <v>45973.0</v>
      </c>
      <c r="E577" s="363" t="s">
        <v>1701</v>
      </c>
      <c r="F577" s="363" t="s">
        <v>1702</v>
      </c>
      <c r="G577" s="363" t="s">
        <v>1703</v>
      </c>
      <c r="H577" s="363" t="s">
        <v>1704</v>
      </c>
      <c r="I577" s="363" t="s">
        <v>140</v>
      </c>
      <c r="J577" s="363" t="s">
        <v>1706</v>
      </c>
      <c r="K577" s="363" t="s">
        <v>1709</v>
      </c>
      <c r="L577" s="398"/>
      <c r="M577" s="363"/>
      <c r="N577" s="363"/>
      <c r="O577" s="370"/>
      <c r="P577" s="363"/>
      <c r="Q577" s="363">
        <v>1.164831053E9</v>
      </c>
      <c r="R577" s="363"/>
      <c r="S577" s="363"/>
    </row>
    <row r="578">
      <c r="A578" s="363" t="s">
        <v>117</v>
      </c>
      <c r="B578" s="363" t="s">
        <v>53</v>
      </c>
      <c r="C578" s="363" t="s">
        <v>876</v>
      </c>
      <c r="D578" s="366">
        <v>45973.0</v>
      </c>
      <c r="E578" s="363" t="s">
        <v>1726</v>
      </c>
      <c r="F578" s="363" t="s">
        <v>1727</v>
      </c>
      <c r="G578" s="363" t="s">
        <v>1728</v>
      </c>
      <c r="H578" s="363" t="s">
        <v>1730</v>
      </c>
      <c r="I578" s="363" t="s">
        <v>1733</v>
      </c>
      <c r="J578" s="363" t="s">
        <v>1735</v>
      </c>
      <c r="K578" s="363" t="s">
        <v>1738</v>
      </c>
      <c r="L578" s="398"/>
      <c r="M578" s="363"/>
      <c r="N578" s="363"/>
      <c r="O578" s="370"/>
      <c r="P578" s="363"/>
      <c r="Q578" s="363">
        <v>1.942060702E9</v>
      </c>
      <c r="R578" s="363"/>
      <c r="S578" s="363"/>
    </row>
    <row r="579">
      <c r="A579" s="363" t="s">
        <v>22</v>
      </c>
      <c r="B579" s="363" t="s">
        <v>23</v>
      </c>
      <c r="C579" s="363" t="s">
        <v>876</v>
      </c>
      <c r="D579" s="366">
        <v>45876.0</v>
      </c>
      <c r="E579" s="363" t="s">
        <v>1753</v>
      </c>
      <c r="F579" s="363" t="s">
        <v>1758</v>
      </c>
      <c r="G579" s="363" t="s">
        <v>1765</v>
      </c>
      <c r="H579" s="363" t="s">
        <v>1768</v>
      </c>
      <c r="I579" s="363" t="s">
        <v>1769</v>
      </c>
      <c r="J579" s="363" t="s">
        <v>1770</v>
      </c>
      <c r="K579" s="363" t="s">
        <v>1772</v>
      </c>
      <c r="L579" s="363"/>
      <c r="M579" s="368">
        <v>46059.78052596065</v>
      </c>
      <c r="N579" s="363"/>
      <c r="O579" s="363" t="b">
        <v>0</v>
      </c>
      <c r="P579" s="370"/>
      <c r="Q579" s="363">
        <v>1.710871637E9</v>
      </c>
      <c r="R579" s="363"/>
      <c r="S579" s="363"/>
    </row>
    <row r="580">
      <c r="A580" s="363" t="s">
        <v>410</v>
      </c>
      <c r="B580" s="363" t="s">
        <v>53</v>
      </c>
      <c r="C580" s="363" t="s">
        <v>876</v>
      </c>
      <c r="D580" s="368">
        <v>46037.0</v>
      </c>
      <c r="E580" s="363" t="s">
        <v>1801</v>
      </c>
      <c r="F580" s="363" t="s">
        <v>1803</v>
      </c>
      <c r="G580" s="363" t="s">
        <v>1804</v>
      </c>
      <c r="H580" s="363" t="s">
        <v>1805</v>
      </c>
      <c r="I580" s="363" t="s">
        <v>1807</v>
      </c>
      <c r="J580" s="363" t="s">
        <v>1810</v>
      </c>
      <c r="K580" s="363" t="s">
        <v>1812</v>
      </c>
      <c r="L580" s="363"/>
      <c r="M580" s="365">
        <v>46087.84935134259</v>
      </c>
      <c r="N580" s="363"/>
      <c r="O580" s="363" t="b">
        <v>0</v>
      </c>
      <c r="P580" s="370"/>
      <c r="Q580" s="363">
        <v>1.619465689E9</v>
      </c>
      <c r="R580" s="363"/>
      <c r="S580" s="363"/>
    </row>
    <row r="581">
      <c r="A581" s="363" t="s">
        <v>17</v>
      </c>
      <c r="B581" s="363" t="s">
        <v>23</v>
      </c>
      <c r="C581" s="363" t="s">
        <v>876</v>
      </c>
      <c r="D581" s="368">
        <v>46043.0</v>
      </c>
      <c r="E581" s="363" t="s">
        <v>1837</v>
      </c>
      <c r="F581" s="363" t="s">
        <v>1838</v>
      </c>
      <c r="G581" s="363" t="s">
        <v>1839</v>
      </c>
      <c r="H581" s="363" t="s">
        <v>1840</v>
      </c>
      <c r="I581" s="363" t="s">
        <v>1843</v>
      </c>
      <c r="J581" s="363" t="s">
        <v>1848</v>
      </c>
      <c r="K581" s="363" t="s">
        <v>1859</v>
      </c>
      <c r="L581" s="365"/>
      <c r="M581" s="369">
        <v>46223.96622615741</v>
      </c>
      <c r="N581" s="363"/>
      <c r="O581" s="363" t="b">
        <v>0</v>
      </c>
      <c r="P581" s="370"/>
      <c r="Q581" s="363">
        <v>1.316800741E9</v>
      </c>
      <c r="R581" s="363"/>
      <c r="S581" s="363"/>
    </row>
    <row r="582">
      <c r="A582" s="363" t="s">
        <v>22</v>
      </c>
      <c r="B582" s="363" t="s">
        <v>19</v>
      </c>
      <c r="C582" s="363" t="s">
        <v>876</v>
      </c>
      <c r="D582" s="366">
        <v>46070.0</v>
      </c>
      <c r="E582" s="363" t="s">
        <v>1411</v>
      </c>
      <c r="F582" s="363" t="s">
        <v>1882</v>
      </c>
      <c r="G582" s="363" t="s">
        <v>1413</v>
      </c>
      <c r="H582" s="363" t="s">
        <v>1414</v>
      </c>
      <c r="I582" s="371" t="s">
        <v>4816</v>
      </c>
      <c r="J582" s="363" t="s">
        <v>1904</v>
      </c>
      <c r="K582" s="363" t="s">
        <v>1911</v>
      </c>
      <c r="L582" s="365"/>
      <c r="M582" s="365">
        <v>46139.51228256944</v>
      </c>
      <c r="N582" s="363"/>
      <c r="O582" s="363" t="b">
        <v>0</v>
      </c>
      <c r="P582" s="370"/>
      <c r="Q582" s="363">
        <v>1.972383388E9</v>
      </c>
      <c r="R582" s="363"/>
      <c r="S582" s="363"/>
    </row>
    <row r="583">
      <c r="A583" s="363" t="s">
        <v>17</v>
      </c>
      <c r="B583" s="363" t="s">
        <v>587</v>
      </c>
      <c r="C583" s="363" t="s">
        <v>876</v>
      </c>
      <c r="D583" s="368">
        <v>46008.0</v>
      </c>
      <c r="E583" s="363" t="s">
        <v>1948</v>
      </c>
      <c r="F583" s="363" t="s">
        <v>1951</v>
      </c>
      <c r="G583" s="363" t="s">
        <v>1952</v>
      </c>
      <c r="H583" s="363"/>
      <c r="I583" s="363"/>
      <c r="J583" s="363"/>
      <c r="K583" s="363"/>
      <c r="L583" s="368"/>
      <c r="M583" s="369"/>
      <c r="N583" s="363"/>
      <c r="O583" s="363" t="b">
        <v>0</v>
      </c>
      <c r="P583" s="370"/>
      <c r="Q583" s="363">
        <v>1.376472001E9</v>
      </c>
      <c r="R583" s="363"/>
      <c r="S583" s="363"/>
    </row>
    <row r="584">
      <c r="A584" s="363" t="s">
        <v>17</v>
      </c>
      <c r="B584" s="363" t="s">
        <v>225</v>
      </c>
      <c r="C584" s="363" t="s">
        <v>876</v>
      </c>
      <c r="D584" s="368">
        <v>46080.0</v>
      </c>
      <c r="E584" s="363" t="s">
        <v>2007</v>
      </c>
      <c r="F584" s="363" t="s">
        <v>2009</v>
      </c>
      <c r="G584" s="363" t="s">
        <v>2010</v>
      </c>
      <c r="H584" s="363" t="s">
        <v>2013</v>
      </c>
      <c r="I584" s="363" t="s">
        <v>2020</v>
      </c>
      <c r="J584" s="363" t="s">
        <v>2025</v>
      </c>
      <c r="K584" s="363" t="s">
        <v>2031</v>
      </c>
      <c r="L584" s="368"/>
      <c r="M584" s="369">
        <v>46132.86794521991</v>
      </c>
      <c r="N584" s="363"/>
      <c r="O584" s="363" t="b">
        <v>0</v>
      </c>
      <c r="P584" s="370"/>
      <c r="Q584" s="363">
        <v>1.841989019E9</v>
      </c>
      <c r="R584" s="363"/>
      <c r="S584" s="363"/>
    </row>
    <row r="585">
      <c r="A585" s="363" t="s">
        <v>22</v>
      </c>
      <c r="B585" s="363" t="s">
        <v>23</v>
      </c>
      <c r="C585" s="363" t="s">
        <v>876</v>
      </c>
      <c r="D585" s="368">
        <v>46196.0</v>
      </c>
      <c r="E585" s="363" t="s">
        <v>2081</v>
      </c>
      <c r="F585" s="363" t="s">
        <v>2082</v>
      </c>
      <c r="G585" s="363" t="s">
        <v>2083</v>
      </c>
      <c r="H585" s="363" t="s">
        <v>2084</v>
      </c>
      <c r="I585" s="363" t="s">
        <v>2088</v>
      </c>
      <c r="J585" s="363" t="s">
        <v>2094</v>
      </c>
      <c r="K585" s="363" t="s">
        <v>2099</v>
      </c>
      <c r="L585" s="365"/>
      <c r="M585" s="369">
        <v>46202.848503402776</v>
      </c>
      <c r="N585" s="363"/>
      <c r="O585" s="363"/>
      <c r="P585" s="370"/>
      <c r="Q585" s="363">
        <v>1.56839662E9</v>
      </c>
      <c r="R585" s="370"/>
      <c r="S585" s="370"/>
    </row>
    <row r="586">
      <c r="A586" s="363" t="s">
        <v>22</v>
      </c>
      <c r="B586" s="363" t="s">
        <v>225</v>
      </c>
      <c r="C586" s="363" t="s">
        <v>876</v>
      </c>
      <c r="D586" s="368"/>
      <c r="E586" s="363" t="s">
        <v>2126</v>
      </c>
      <c r="F586" s="363" t="s">
        <v>2128</v>
      </c>
      <c r="G586" s="363" t="s">
        <v>2130</v>
      </c>
      <c r="H586" s="363" t="s">
        <v>2131</v>
      </c>
      <c r="I586" s="363" t="s">
        <v>2133</v>
      </c>
      <c r="J586" s="363" t="s">
        <v>2134</v>
      </c>
      <c r="K586" s="363" t="s">
        <v>2138</v>
      </c>
      <c r="L586" s="365"/>
      <c r="M586" s="369">
        <v>46198.94841391203</v>
      </c>
      <c r="N586" s="363"/>
      <c r="O586" s="363"/>
      <c r="P586" s="370"/>
      <c r="Q586" s="363">
        <v>1.457288326E9</v>
      </c>
      <c r="R586" s="370"/>
      <c r="S586" s="370"/>
    </row>
    <row r="587">
      <c r="A587" s="363"/>
      <c r="B587" s="363"/>
      <c r="C587" s="363"/>
      <c r="D587" s="368"/>
      <c r="E587" s="363"/>
      <c r="F587" s="363"/>
      <c r="G587" s="363"/>
      <c r="H587" s="363"/>
      <c r="I587" s="363"/>
      <c r="J587" s="363"/>
      <c r="K587" s="363"/>
      <c r="L587" s="365"/>
      <c r="M587" s="369"/>
      <c r="N587" s="363"/>
      <c r="O587" s="363"/>
      <c r="P587" s="370"/>
      <c r="Q587" s="363"/>
      <c r="R587" s="363"/>
      <c r="S587" s="363"/>
    </row>
    <row r="588">
      <c r="A588" s="363"/>
      <c r="B588" s="363"/>
      <c r="C588" s="363"/>
      <c r="D588" s="368"/>
      <c r="E588" s="363"/>
      <c r="F588" s="363"/>
      <c r="G588" s="363"/>
      <c r="H588" s="363"/>
      <c r="I588" s="363"/>
      <c r="J588" s="363"/>
      <c r="K588" s="363"/>
      <c r="L588" s="365"/>
      <c r="M588" s="369"/>
      <c r="N588" s="363"/>
      <c r="O588" s="363"/>
      <c r="P588" s="370"/>
      <c r="Q588" s="363"/>
      <c r="R588" s="363"/>
      <c r="S588" s="363"/>
    </row>
    <row r="589">
      <c r="A589" s="363"/>
      <c r="B589" s="363"/>
      <c r="C589" s="363"/>
      <c r="D589" s="368"/>
      <c r="E589" s="363"/>
      <c r="F589" s="363"/>
      <c r="G589" s="363"/>
      <c r="H589" s="363"/>
      <c r="I589" s="363"/>
      <c r="J589" s="363"/>
      <c r="K589" s="363"/>
      <c r="L589" s="365"/>
      <c r="M589" s="369"/>
      <c r="N589" s="363"/>
      <c r="O589" s="363"/>
      <c r="P589" s="370"/>
      <c r="Q589" s="363"/>
      <c r="R589" s="363"/>
      <c r="S589" s="363"/>
    </row>
    <row r="590">
      <c r="A590" s="363"/>
      <c r="B590" s="363"/>
      <c r="C590" s="363"/>
      <c r="D590" s="368"/>
      <c r="E590" s="363"/>
      <c r="F590" s="363"/>
      <c r="G590" s="363"/>
      <c r="H590" s="363"/>
      <c r="I590" s="363"/>
      <c r="J590" s="363"/>
      <c r="K590" s="363"/>
      <c r="L590" s="365"/>
      <c r="M590" s="369"/>
      <c r="N590" s="363"/>
      <c r="O590" s="363"/>
      <c r="P590" s="370"/>
      <c r="Q590" s="363"/>
      <c r="R590" s="363"/>
      <c r="S590" s="363"/>
    </row>
    <row r="591">
      <c r="A591" s="363"/>
      <c r="B591" s="363"/>
      <c r="C591" s="363"/>
      <c r="D591" s="368"/>
      <c r="E591" s="363"/>
      <c r="F591" s="363"/>
      <c r="G591" s="363"/>
      <c r="H591" s="363"/>
      <c r="I591" s="363"/>
      <c r="J591" s="363"/>
      <c r="K591" s="363"/>
      <c r="L591" s="365"/>
      <c r="M591" s="369"/>
      <c r="N591" s="363"/>
      <c r="O591" s="363"/>
      <c r="P591" s="370"/>
      <c r="Q591" s="363"/>
      <c r="R591" s="363"/>
      <c r="S591" s="363"/>
    </row>
    <row r="615">
      <c r="A615" s="363" t="str">
        <f t="array" ref="A615:Q701">'No-Show'!A:Q</f>
        <v>SUB</v>
      </c>
      <c r="B615" s="363" t="s">
        <v>1</v>
      </c>
      <c r="C615" s="363" t="s">
        <v>2</v>
      </c>
      <c r="D615" s="363" t="s">
        <v>3</v>
      </c>
      <c r="E615" s="363" t="s">
        <v>4</v>
      </c>
      <c r="F615" s="363" t="s">
        <v>5</v>
      </c>
      <c r="G615" s="364" t="s">
        <v>6</v>
      </c>
      <c r="H615" s="363" t="s">
        <v>7</v>
      </c>
      <c r="I615" s="363" t="s">
        <v>8</v>
      </c>
      <c r="J615" s="363" t="s">
        <v>9</v>
      </c>
      <c r="K615" s="363" t="s">
        <v>10</v>
      </c>
      <c r="L615" s="365" t="s">
        <v>11</v>
      </c>
      <c r="M615" s="363" t="s">
        <v>12</v>
      </c>
      <c r="N615" s="363" t="s">
        <v>13</v>
      </c>
      <c r="O615" s="363" t="s">
        <v>14</v>
      </c>
      <c r="P615" s="363" t="s">
        <v>15</v>
      </c>
      <c r="Q615" s="363" t="s">
        <v>16</v>
      </c>
    </row>
    <row r="616">
      <c r="A616" s="363" t="s">
        <v>22</v>
      </c>
      <c r="B616" s="363" t="s">
        <v>225</v>
      </c>
      <c r="C616" s="363" t="s">
        <v>867</v>
      </c>
      <c r="D616" s="366">
        <v>46008.0</v>
      </c>
      <c r="E616" s="363" t="s">
        <v>1007</v>
      </c>
      <c r="F616" s="363" t="s">
        <v>1009</v>
      </c>
      <c r="G616" s="363" t="s">
        <v>1011</v>
      </c>
      <c r="H616" s="363" t="s">
        <v>1013</v>
      </c>
      <c r="I616" s="371" t="s">
        <v>1244</v>
      </c>
      <c r="J616" s="363" t="s">
        <v>1054</v>
      </c>
      <c r="K616" s="365"/>
      <c r="L616" s="398"/>
      <c r="M616" s="363"/>
      <c r="N616" s="363" t="b">
        <v>0</v>
      </c>
      <c r="O616" s="370"/>
      <c r="P616" s="363"/>
      <c r="Q616" s="363"/>
    </row>
    <row r="617">
      <c r="A617" s="363" t="s">
        <v>22</v>
      </c>
      <c r="B617" s="363" t="s">
        <v>53</v>
      </c>
      <c r="C617" s="363" t="s">
        <v>867</v>
      </c>
      <c r="D617" s="366">
        <v>46052.0</v>
      </c>
      <c r="E617" s="363" t="s">
        <v>1081</v>
      </c>
      <c r="F617" s="363" t="s">
        <v>1085</v>
      </c>
      <c r="G617" s="363" t="s">
        <v>1088</v>
      </c>
      <c r="H617" s="363" t="s">
        <v>1090</v>
      </c>
      <c r="I617" s="363" t="s">
        <v>1092</v>
      </c>
      <c r="J617" s="363" t="s">
        <v>1093</v>
      </c>
      <c r="K617" s="363" t="s">
        <v>1094</v>
      </c>
      <c r="L617" s="398"/>
      <c r="M617" s="368">
        <v>46063.69090973379</v>
      </c>
      <c r="N617" s="363" t="b">
        <v>0</v>
      </c>
      <c r="O617" s="370"/>
      <c r="P617" s="363"/>
      <c r="Q617" s="363"/>
    </row>
    <row r="618">
      <c r="A618" s="363" t="s">
        <v>18</v>
      </c>
      <c r="B618" s="363" t="s">
        <v>23</v>
      </c>
      <c r="C618" s="363" t="s">
        <v>867</v>
      </c>
      <c r="D618" s="366">
        <v>46049.0</v>
      </c>
      <c r="E618" s="363" t="s">
        <v>1112</v>
      </c>
      <c r="F618" s="363" t="s">
        <v>1114</v>
      </c>
      <c r="G618" s="363" t="s">
        <v>1115</v>
      </c>
      <c r="H618" s="363" t="s">
        <v>1118</v>
      </c>
      <c r="I618" s="363" t="s">
        <v>1119</v>
      </c>
      <c r="J618" s="363" t="s">
        <v>1121</v>
      </c>
      <c r="K618" s="363"/>
      <c r="L618" s="398"/>
      <c r="M618" s="363"/>
      <c r="N618" s="363" t="b">
        <v>0</v>
      </c>
      <c r="O618" s="370"/>
      <c r="P618" s="363"/>
      <c r="Q618" s="363">
        <v>1.851124671E9</v>
      </c>
    </row>
    <row r="619">
      <c r="A619" s="363" t="s">
        <v>17</v>
      </c>
      <c r="B619" s="363" t="s">
        <v>23</v>
      </c>
      <c r="C619" s="363" t="s">
        <v>867</v>
      </c>
      <c r="D619" s="366">
        <v>46045.0</v>
      </c>
      <c r="E619" s="363" t="s">
        <v>1140</v>
      </c>
      <c r="F619" s="363" t="s">
        <v>1142</v>
      </c>
      <c r="G619" s="363" t="s">
        <v>1143</v>
      </c>
      <c r="H619" s="363" t="s">
        <v>1144</v>
      </c>
      <c r="I619" s="363" t="s">
        <v>1146</v>
      </c>
      <c r="J619" s="363" t="s">
        <v>1148</v>
      </c>
      <c r="K619" s="363"/>
      <c r="L619" s="398"/>
      <c r="M619" s="363"/>
      <c r="N619" s="363" t="b">
        <v>0</v>
      </c>
      <c r="O619" s="370"/>
      <c r="P619" s="363"/>
      <c r="Q619" s="363">
        <v>1.821897471E9</v>
      </c>
    </row>
    <row r="620">
      <c r="A620" s="363" t="s">
        <v>17</v>
      </c>
      <c r="B620" s="363" t="s">
        <v>23</v>
      </c>
      <c r="C620" s="363" t="s">
        <v>867</v>
      </c>
      <c r="D620" s="366">
        <v>46041.0</v>
      </c>
      <c r="E620" s="363" t="s">
        <v>1151</v>
      </c>
      <c r="F620" s="363" t="s">
        <v>1152</v>
      </c>
      <c r="G620" s="363" t="s">
        <v>1153</v>
      </c>
      <c r="H620" s="363" t="s">
        <v>1154</v>
      </c>
      <c r="I620" s="363" t="s">
        <v>1155</v>
      </c>
      <c r="J620" s="363" t="s">
        <v>1156</v>
      </c>
      <c r="K620" s="363" t="s">
        <v>1157</v>
      </c>
      <c r="L620" s="398"/>
      <c r="M620" s="363"/>
      <c r="N620" s="363" t="b">
        <v>0</v>
      </c>
      <c r="O620" s="370"/>
      <c r="P620" s="363"/>
      <c r="Q620" s="363">
        <v>1.649807454E9</v>
      </c>
    </row>
    <row r="621">
      <c r="A621" s="363" t="s">
        <v>17</v>
      </c>
      <c r="B621" s="363" t="s">
        <v>23</v>
      </c>
      <c r="C621" s="363" t="s">
        <v>867</v>
      </c>
      <c r="D621" s="366">
        <v>46035.0</v>
      </c>
      <c r="E621" s="363" t="s">
        <v>1161</v>
      </c>
      <c r="F621" s="363" t="s">
        <v>1163</v>
      </c>
      <c r="G621" s="363" t="s">
        <v>1164</v>
      </c>
      <c r="H621" s="363" t="s">
        <v>1173</v>
      </c>
      <c r="I621" s="363" t="s">
        <v>1174</v>
      </c>
      <c r="J621" s="363" t="s">
        <v>1175</v>
      </c>
      <c r="K621" s="363" t="s">
        <v>1176</v>
      </c>
      <c r="L621" s="398"/>
      <c r="M621" s="363"/>
      <c r="N621" s="363" t="b">
        <v>0</v>
      </c>
      <c r="O621" s="370"/>
      <c r="P621" s="363"/>
      <c r="Q621" s="363">
        <v>1.922683069E9</v>
      </c>
    </row>
    <row r="622">
      <c r="A622" s="363" t="s">
        <v>22</v>
      </c>
      <c r="B622" s="363" t="s">
        <v>53</v>
      </c>
      <c r="C622" s="363" t="s">
        <v>867</v>
      </c>
      <c r="D622" s="366">
        <v>46034.0</v>
      </c>
      <c r="E622" s="363" t="s">
        <v>1189</v>
      </c>
      <c r="F622" s="363" t="s">
        <v>1191</v>
      </c>
      <c r="G622" s="363" t="s">
        <v>1194</v>
      </c>
      <c r="H622" s="363" t="s">
        <v>1196</v>
      </c>
      <c r="I622" s="363" t="s">
        <v>850</v>
      </c>
      <c r="J622" s="363" t="s">
        <v>1199</v>
      </c>
      <c r="K622" s="363" t="s">
        <v>1200</v>
      </c>
      <c r="L622" s="398"/>
      <c r="M622" s="363"/>
      <c r="N622" s="363" t="b">
        <v>0</v>
      </c>
      <c r="O622" s="370"/>
      <c r="P622" s="363"/>
      <c r="Q622" s="363"/>
    </row>
    <row r="623">
      <c r="A623" s="363" t="s">
        <v>62</v>
      </c>
      <c r="B623" s="363" t="s">
        <v>23</v>
      </c>
      <c r="C623" s="363" t="s">
        <v>867</v>
      </c>
      <c r="D623" s="366">
        <v>46028.0</v>
      </c>
      <c r="E623" s="363" t="s">
        <v>1187</v>
      </c>
      <c r="F623" s="363" t="s">
        <v>1211</v>
      </c>
      <c r="G623" s="363" t="s">
        <v>1212</v>
      </c>
      <c r="H623" s="363" t="s">
        <v>1216</v>
      </c>
      <c r="I623" s="363" t="s">
        <v>774</v>
      </c>
      <c r="J623" s="363" t="s">
        <v>1218</v>
      </c>
      <c r="K623" s="363" t="s">
        <v>1221</v>
      </c>
      <c r="L623" s="398"/>
      <c r="M623" s="368">
        <v>46224.883796458336</v>
      </c>
      <c r="N623" s="363" t="b">
        <v>0</v>
      </c>
      <c r="O623" s="370"/>
      <c r="P623" s="363"/>
      <c r="Q623" s="363">
        <v>1.053122267E9</v>
      </c>
    </row>
    <row r="624">
      <c r="A624" s="363" t="s">
        <v>22</v>
      </c>
      <c r="B624" s="363" t="s">
        <v>53</v>
      </c>
      <c r="C624" s="363" t="s">
        <v>867</v>
      </c>
      <c r="D624" s="366">
        <v>46027.0</v>
      </c>
      <c r="E624" s="363" t="s">
        <v>1236</v>
      </c>
      <c r="F624" s="363" t="s">
        <v>1238</v>
      </c>
      <c r="G624" s="363" t="s">
        <v>1240</v>
      </c>
      <c r="H624" s="363" t="s">
        <v>1242</v>
      </c>
      <c r="I624" s="363" t="s">
        <v>1244</v>
      </c>
      <c r="J624" s="363" t="s">
        <v>1246</v>
      </c>
      <c r="K624" s="363"/>
      <c r="L624" s="398"/>
      <c r="M624" s="363"/>
      <c r="N624" s="363" t="b">
        <v>0</v>
      </c>
      <c r="O624" s="370"/>
      <c r="P624" s="363"/>
      <c r="Q624" s="363"/>
    </row>
    <row r="625">
      <c r="A625" s="363" t="s">
        <v>17</v>
      </c>
      <c r="B625" s="363" t="s">
        <v>23</v>
      </c>
      <c r="C625" s="363" t="s">
        <v>867</v>
      </c>
      <c r="D625" s="366">
        <v>46007.0</v>
      </c>
      <c r="E625" s="363" t="s">
        <v>1261</v>
      </c>
      <c r="F625" s="363" t="s">
        <v>1262</v>
      </c>
      <c r="G625" s="363" t="s">
        <v>1263</v>
      </c>
      <c r="H625" s="363" t="s">
        <v>1264</v>
      </c>
      <c r="I625" s="363" t="s">
        <v>340</v>
      </c>
      <c r="J625" s="363" t="s">
        <v>1265</v>
      </c>
      <c r="K625" s="363" t="s">
        <v>1266</v>
      </c>
      <c r="L625" s="398"/>
      <c r="M625" s="363"/>
      <c r="N625" s="363" t="b">
        <v>0</v>
      </c>
      <c r="O625" s="370"/>
      <c r="P625" s="363"/>
      <c r="Q625" s="363">
        <v>1.386412153E9</v>
      </c>
    </row>
    <row r="626">
      <c r="A626" s="363" t="s">
        <v>18</v>
      </c>
      <c r="B626" s="363" t="s">
        <v>19</v>
      </c>
      <c r="C626" s="363" t="s">
        <v>867</v>
      </c>
      <c r="D626" s="366">
        <v>45985.0</v>
      </c>
      <c r="E626" s="363" t="s">
        <v>1280</v>
      </c>
      <c r="F626" s="363" t="s">
        <v>1282</v>
      </c>
      <c r="G626" s="363" t="s">
        <v>1284</v>
      </c>
      <c r="H626" s="363" t="s">
        <v>1287</v>
      </c>
      <c r="I626" s="363" t="s">
        <v>1288</v>
      </c>
      <c r="J626" s="363" t="s">
        <v>1291</v>
      </c>
      <c r="K626" s="363" t="s">
        <v>1295</v>
      </c>
      <c r="L626" s="398"/>
      <c r="M626" s="368">
        <v>46155.97873336806</v>
      </c>
      <c r="N626" s="363" t="b">
        <v>0</v>
      </c>
      <c r="O626" s="370"/>
      <c r="P626" s="363"/>
      <c r="Q626" s="363"/>
    </row>
    <row r="627">
      <c r="A627" s="363" t="s">
        <v>117</v>
      </c>
      <c r="B627" s="363" t="s">
        <v>53</v>
      </c>
      <c r="C627" s="363" t="s">
        <v>867</v>
      </c>
      <c r="D627" s="368">
        <v>45973.0</v>
      </c>
      <c r="E627" s="363" t="s">
        <v>1310</v>
      </c>
      <c r="F627" s="363" t="s">
        <v>1311</v>
      </c>
      <c r="G627" s="363" t="s">
        <v>1313</v>
      </c>
      <c r="H627" s="363" t="s">
        <v>1314</v>
      </c>
      <c r="I627" s="363" t="s">
        <v>996</v>
      </c>
      <c r="J627" s="363" t="s">
        <v>1315</v>
      </c>
      <c r="K627" s="363"/>
      <c r="L627" s="398"/>
      <c r="M627" s="363"/>
      <c r="N627" s="363" t="b">
        <v>0</v>
      </c>
      <c r="O627" s="370"/>
      <c r="P627" s="363"/>
      <c r="Q627" s="363"/>
    </row>
    <row r="628">
      <c r="A628" s="363" t="s">
        <v>633</v>
      </c>
      <c r="B628" s="363" t="s">
        <v>23</v>
      </c>
      <c r="C628" s="363" t="s">
        <v>867</v>
      </c>
      <c r="D628" s="368">
        <v>45958.0</v>
      </c>
      <c r="E628" s="363" t="s">
        <v>1318</v>
      </c>
      <c r="F628" s="363" t="s">
        <v>1319</v>
      </c>
      <c r="G628" s="363" t="s">
        <v>1320</v>
      </c>
      <c r="H628" s="363" t="s">
        <v>1321</v>
      </c>
      <c r="I628" s="363" t="s">
        <v>1322</v>
      </c>
      <c r="J628" s="363" t="s">
        <v>1323</v>
      </c>
      <c r="K628" s="363"/>
      <c r="L628" s="398"/>
      <c r="M628" s="363"/>
      <c r="N628" s="363" t="b">
        <v>0</v>
      </c>
      <c r="O628" s="370"/>
      <c r="P628" s="363"/>
      <c r="Q628" s="363"/>
    </row>
    <row r="629">
      <c r="A629" s="363" t="s">
        <v>22</v>
      </c>
      <c r="B629" s="363" t="s">
        <v>19</v>
      </c>
      <c r="C629" s="363" t="s">
        <v>867</v>
      </c>
      <c r="D629" s="368">
        <v>45897.0</v>
      </c>
      <c r="E629" s="363" t="s">
        <v>1331</v>
      </c>
      <c r="F629" s="363" t="s">
        <v>1332</v>
      </c>
      <c r="G629" s="363" t="s">
        <v>1333</v>
      </c>
      <c r="H629" s="363" t="s">
        <v>1334</v>
      </c>
      <c r="I629" s="363" t="s">
        <v>1335</v>
      </c>
      <c r="J629" s="363" t="s">
        <v>1336</v>
      </c>
      <c r="K629" s="363" t="s">
        <v>1337</v>
      </c>
      <c r="L629" s="398"/>
      <c r="M629" s="363"/>
      <c r="N629" s="363" t="b">
        <v>0</v>
      </c>
      <c r="O629" s="370"/>
      <c r="P629" s="363"/>
      <c r="Q629" s="363"/>
    </row>
    <row r="630">
      <c r="A630" s="363" t="s">
        <v>22</v>
      </c>
      <c r="B630" s="363" t="s">
        <v>23</v>
      </c>
      <c r="C630" s="363" t="s">
        <v>867</v>
      </c>
      <c r="D630" s="368">
        <v>45925.0</v>
      </c>
      <c r="E630" s="363" t="s">
        <v>1352</v>
      </c>
      <c r="F630" s="363" t="s">
        <v>1353</v>
      </c>
      <c r="G630" s="363" t="s">
        <v>1354</v>
      </c>
      <c r="H630" s="363" t="s">
        <v>1355</v>
      </c>
      <c r="I630" s="363" t="s">
        <v>655</v>
      </c>
      <c r="J630" s="363" t="s">
        <v>1357</v>
      </c>
      <c r="K630" s="363" t="s">
        <v>1358</v>
      </c>
      <c r="L630" s="398"/>
      <c r="M630" s="368">
        <v>46058.802077430555</v>
      </c>
      <c r="N630" s="363" t="b">
        <v>0</v>
      </c>
      <c r="O630" s="370"/>
      <c r="P630" s="363"/>
      <c r="Q630" s="363">
        <v>1.396635629E9</v>
      </c>
    </row>
    <row r="631">
      <c r="A631" s="363" t="s">
        <v>22</v>
      </c>
      <c r="B631" s="363" t="s">
        <v>53</v>
      </c>
      <c r="C631" s="363" t="s">
        <v>867</v>
      </c>
      <c r="D631" s="368">
        <v>45919.0</v>
      </c>
      <c r="E631" s="363" t="s">
        <v>1363</v>
      </c>
      <c r="F631" s="363" t="s">
        <v>1365</v>
      </c>
      <c r="G631" s="363" t="s">
        <v>1366</v>
      </c>
      <c r="H631" s="363" t="s">
        <v>1368</v>
      </c>
      <c r="I631" s="363" t="s">
        <v>1369</v>
      </c>
      <c r="J631" s="363" t="s">
        <v>1370</v>
      </c>
      <c r="K631" s="363" t="s">
        <v>1371</v>
      </c>
      <c r="L631" s="398"/>
      <c r="M631" s="363"/>
      <c r="N631" s="363" t="b">
        <v>0</v>
      </c>
      <c r="O631" s="370"/>
      <c r="P631" s="363"/>
      <c r="Q631" s="363"/>
    </row>
    <row r="632">
      <c r="A632" s="363" t="s">
        <v>646</v>
      </c>
      <c r="B632" s="363" t="s">
        <v>53</v>
      </c>
      <c r="C632" s="363" t="s">
        <v>867</v>
      </c>
      <c r="D632" s="368">
        <v>45916.0</v>
      </c>
      <c r="E632" s="363" t="s">
        <v>1375</v>
      </c>
      <c r="F632" s="363" t="s">
        <v>1377</v>
      </c>
      <c r="G632" s="363" t="s">
        <v>1379</v>
      </c>
      <c r="H632" s="363" t="s">
        <v>1380</v>
      </c>
      <c r="I632" s="363" t="s">
        <v>1382</v>
      </c>
      <c r="J632" s="363" t="s">
        <v>1384</v>
      </c>
      <c r="K632" s="363" t="s">
        <v>1385</v>
      </c>
      <c r="L632" s="398"/>
      <c r="M632" s="363"/>
      <c r="N632" s="363" t="b">
        <v>0</v>
      </c>
      <c r="O632" s="370"/>
      <c r="P632" s="363"/>
      <c r="Q632" s="363"/>
    </row>
    <row r="633">
      <c r="A633" s="363" t="s">
        <v>1387</v>
      </c>
      <c r="B633" s="363" t="s">
        <v>23</v>
      </c>
      <c r="C633" s="363" t="s">
        <v>867</v>
      </c>
      <c r="D633" s="368">
        <v>45882.0</v>
      </c>
      <c r="E633" s="363" t="s">
        <v>1388</v>
      </c>
      <c r="F633" s="363" t="s">
        <v>1390</v>
      </c>
      <c r="G633" s="363" t="s">
        <v>1392</v>
      </c>
      <c r="H633" s="363" t="s">
        <v>1395</v>
      </c>
      <c r="I633" s="363" t="s">
        <v>1396</v>
      </c>
      <c r="J633" s="363" t="s">
        <v>1398</v>
      </c>
      <c r="K633" s="363" t="s">
        <v>1400</v>
      </c>
      <c r="L633" s="398"/>
      <c r="M633" s="363"/>
      <c r="N633" s="363" t="b">
        <v>0</v>
      </c>
      <c r="O633" s="370"/>
      <c r="P633" s="363"/>
      <c r="Q633" s="363"/>
    </row>
    <row r="634">
      <c r="A634" s="363" t="s">
        <v>22</v>
      </c>
      <c r="B634" s="363" t="s">
        <v>23</v>
      </c>
      <c r="C634" s="363" t="s">
        <v>1410</v>
      </c>
      <c r="D634" s="368">
        <v>45897.0</v>
      </c>
      <c r="E634" s="363" t="s">
        <v>1411</v>
      </c>
      <c r="F634" s="363" t="s">
        <v>1412</v>
      </c>
      <c r="G634" s="363" t="s">
        <v>1413</v>
      </c>
      <c r="H634" s="363" t="s">
        <v>1414</v>
      </c>
      <c r="I634" s="363" t="s">
        <v>1415</v>
      </c>
      <c r="J634" s="363" t="s">
        <v>1421</v>
      </c>
      <c r="K634" s="363" t="s">
        <v>1423</v>
      </c>
      <c r="L634" s="363"/>
      <c r="M634" s="398"/>
      <c r="N634" s="363"/>
      <c r="O634" s="363" t="b">
        <v>0</v>
      </c>
      <c r="P634" s="370"/>
      <c r="Q634" s="363"/>
    </row>
    <row r="635">
      <c r="A635" s="363" t="s">
        <v>22</v>
      </c>
      <c r="B635" s="363" t="s">
        <v>53</v>
      </c>
      <c r="C635" s="363" t="s">
        <v>867</v>
      </c>
      <c r="D635" s="368">
        <v>45895.0</v>
      </c>
      <c r="E635" s="363" t="s">
        <v>1441</v>
      </c>
      <c r="F635" s="363" t="s">
        <v>1444</v>
      </c>
      <c r="G635" s="363" t="s">
        <v>1446</v>
      </c>
      <c r="H635" s="363" t="s">
        <v>1448</v>
      </c>
      <c r="I635" s="363" t="s">
        <v>1382</v>
      </c>
      <c r="J635" s="363" t="s">
        <v>1449</v>
      </c>
      <c r="K635" s="363" t="s">
        <v>1450</v>
      </c>
      <c r="L635" s="363"/>
      <c r="M635" s="398"/>
      <c r="N635" s="363"/>
      <c r="O635" s="363" t="b">
        <v>0</v>
      </c>
      <c r="P635" s="370"/>
      <c r="Q635" s="363"/>
    </row>
    <row r="636">
      <c r="A636" s="363" t="s">
        <v>22</v>
      </c>
      <c r="B636" s="363" t="s">
        <v>19</v>
      </c>
      <c r="C636" s="363" t="s">
        <v>867</v>
      </c>
      <c r="D636" s="368">
        <v>45888.0</v>
      </c>
      <c r="E636" s="363" t="s">
        <v>1452</v>
      </c>
      <c r="F636" s="363" t="s">
        <v>1453</v>
      </c>
      <c r="G636" s="363" t="s">
        <v>1455</v>
      </c>
      <c r="H636" s="363" t="s">
        <v>1457</v>
      </c>
      <c r="I636" s="363" t="s">
        <v>1459</v>
      </c>
      <c r="J636" s="363" t="s">
        <v>1460</v>
      </c>
      <c r="K636" s="363" t="s">
        <v>1000</v>
      </c>
      <c r="L636" s="363"/>
      <c r="M636" s="398"/>
      <c r="N636" s="363"/>
      <c r="O636" s="363" t="b">
        <v>0</v>
      </c>
      <c r="P636" s="370"/>
      <c r="Q636" s="363"/>
    </row>
    <row r="637">
      <c r="A637" s="363" t="s">
        <v>17</v>
      </c>
      <c r="B637" s="363" t="s">
        <v>23</v>
      </c>
      <c r="C637" s="363" t="s">
        <v>867</v>
      </c>
      <c r="D637" s="368">
        <v>45891.0</v>
      </c>
      <c r="E637" s="363" t="s">
        <v>1463</v>
      </c>
      <c r="F637" s="363" t="s">
        <v>1464</v>
      </c>
      <c r="G637" s="363" t="s">
        <v>1465</v>
      </c>
      <c r="H637" s="363" t="s">
        <v>1466</v>
      </c>
      <c r="I637" s="363" t="s">
        <v>1467</v>
      </c>
      <c r="J637" s="363" t="s">
        <v>1468</v>
      </c>
      <c r="K637" s="363" t="s">
        <v>1469</v>
      </c>
      <c r="L637" s="363"/>
      <c r="M637" s="398"/>
      <c r="N637" s="363"/>
      <c r="O637" s="363" t="b">
        <v>0</v>
      </c>
      <c r="P637" s="370"/>
      <c r="Q637" s="363">
        <v>1.033116447E9</v>
      </c>
    </row>
    <row r="638">
      <c r="A638" s="363" t="s">
        <v>17</v>
      </c>
      <c r="B638" s="363" t="s">
        <v>53</v>
      </c>
      <c r="C638" s="363" t="s">
        <v>867</v>
      </c>
      <c r="D638" s="368">
        <v>45891.0</v>
      </c>
      <c r="E638" s="363" t="s">
        <v>1472</v>
      </c>
      <c r="F638" s="363" t="s">
        <v>1474</v>
      </c>
      <c r="G638" s="363" t="s">
        <v>1476</v>
      </c>
      <c r="H638" s="363" t="s">
        <v>1477</v>
      </c>
      <c r="I638" s="363" t="s">
        <v>1478</v>
      </c>
      <c r="J638" s="363" t="s">
        <v>1480</v>
      </c>
      <c r="K638" s="363" t="s">
        <v>1483</v>
      </c>
      <c r="L638" s="363"/>
      <c r="M638" s="398"/>
      <c r="N638" s="363"/>
      <c r="O638" s="363" t="b">
        <v>0</v>
      </c>
      <c r="P638" s="370"/>
      <c r="Q638" s="363"/>
    </row>
    <row r="639">
      <c r="A639" s="363" t="s">
        <v>1387</v>
      </c>
      <c r="B639" s="363" t="s">
        <v>587</v>
      </c>
      <c r="C639" s="363" t="s">
        <v>867</v>
      </c>
      <c r="D639" s="368">
        <v>45880.0</v>
      </c>
      <c r="E639" s="363" t="s">
        <v>1487</v>
      </c>
      <c r="F639" s="363" t="s">
        <v>1488</v>
      </c>
      <c r="G639" s="363" t="s">
        <v>1489</v>
      </c>
      <c r="H639" s="363" t="s">
        <v>1491</v>
      </c>
      <c r="I639" s="363" t="s">
        <v>1494</v>
      </c>
      <c r="J639" s="363" t="s">
        <v>1495</v>
      </c>
      <c r="K639" s="363" t="s">
        <v>1496</v>
      </c>
      <c r="L639" s="363"/>
      <c r="M639" s="398"/>
      <c r="N639" s="363"/>
      <c r="O639" s="363" t="b">
        <v>0</v>
      </c>
      <c r="P639" s="370"/>
      <c r="Q639" s="363"/>
    </row>
    <row r="640">
      <c r="A640" s="363" t="s">
        <v>0</v>
      </c>
      <c r="B640" s="363" t="s">
        <v>23</v>
      </c>
      <c r="C640" s="363" t="s">
        <v>867</v>
      </c>
      <c r="D640" s="368">
        <v>45859.0</v>
      </c>
      <c r="E640" s="363" t="s">
        <v>1520</v>
      </c>
      <c r="F640" s="363" t="s">
        <v>1522</v>
      </c>
      <c r="G640" s="363"/>
      <c r="H640" s="363" t="s">
        <v>1526</v>
      </c>
      <c r="I640" s="363" t="s">
        <v>1528</v>
      </c>
      <c r="J640" s="363" t="s">
        <v>1530</v>
      </c>
      <c r="K640" s="363" t="s">
        <v>1533</v>
      </c>
      <c r="L640" s="363"/>
      <c r="M640" s="398"/>
      <c r="N640" s="363"/>
      <c r="O640" s="363" t="b">
        <v>0</v>
      </c>
      <c r="P640" s="370"/>
      <c r="Q640" s="363"/>
    </row>
    <row r="641">
      <c r="A641" s="363" t="s">
        <v>22</v>
      </c>
      <c r="B641" s="363" t="s">
        <v>19</v>
      </c>
      <c r="C641" s="363" t="s">
        <v>867</v>
      </c>
      <c r="D641" s="368">
        <v>45925.0</v>
      </c>
      <c r="E641" s="363" t="s">
        <v>1586</v>
      </c>
      <c r="F641" s="363" t="s">
        <v>1589</v>
      </c>
      <c r="G641" s="363" t="s">
        <v>1593</v>
      </c>
      <c r="H641" s="363" t="s">
        <v>1596</v>
      </c>
      <c r="I641" s="363" t="s">
        <v>1601</v>
      </c>
      <c r="J641" s="363" t="s">
        <v>1606</v>
      </c>
      <c r="K641" s="363"/>
      <c r="L641" s="363"/>
      <c r="M641" s="398"/>
      <c r="N641" s="363"/>
      <c r="O641" s="363" t="b">
        <v>0</v>
      </c>
      <c r="P641" s="370"/>
      <c r="Q641" s="363"/>
    </row>
    <row r="642">
      <c r="A642" s="363" t="s">
        <v>22</v>
      </c>
      <c r="B642" s="363" t="s">
        <v>53</v>
      </c>
      <c r="C642" s="363" t="s">
        <v>867</v>
      </c>
      <c r="D642" s="368">
        <v>45847.0</v>
      </c>
      <c r="E642" s="363" t="s">
        <v>1646</v>
      </c>
      <c r="F642" s="363" t="s">
        <v>1648</v>
      </c>
      <c r="G642" s="363" t="s">
        <v>1650</v>
      </c>
      <c r="H642" s="363" t="s">
        <v>1652</v>
      </c>
      <c r="I642" s="363" t="s">
        <v>1654</v>
      </c>
      <c r="J642" s="363" t="s">
        <v>1658</v>
      </c>
      <c r="K642" s="363" t="s">
        <v>1000</v>
      </c>
      <c r="L642" s="363"/>
      <c r="M642" s="398">
        <v>0.75</v>
      </c>
      <c r="N642" s="363"/>
      <c r="O642" s="363" t="b">
        <v>0</v>
      </c>
      <c r="P642" s="370"/>
      <c r="Q642" s="363"/>
    </row>
    <row r="643">
      <c r="A643" s="363" t="s">
        <v>646</v>
      </c>
      <c r="B643" s="363" t="s">
        <v>23</v>
      </c>
      <c r="C643" s="363" t="s">
        <v>867</v>
      </c>
      <c r="D643" s="368">
        <v>45909.0</v>
      </c>
      <c r="E643" s="363" t="s">
        <v>1669</v>
      </c>
      <c r="F643" s="363" t="s">
        <v>1670</v>
      </c>
      <c r="G643" s="363" t="s">
        <v>1671</v>
      </c>
      <c r="H643" s="363" t="s">
        <v>1672</v>
      </c>
      <c r="I643" s="363" t="s">
        <v>1673</v>
      </c>
      <c r="J643" s="363" t="s">
        <v>1674</v>
      </c>
      <c r="K643" s="363" t="s">
        <v>1675</v>
      </c>
      <c r="L643" s="363"/>
      <c r="M643" s="398"/>
      <c r="N643" s="363"/>
      <c r="O643" s="363" t="b">
        <v>0</v>
      </c>
      <c r="P643" s="370"/>
      <c r="Q643" s="363"/>
    </row>
    <row r="644">
      <c r="A644" s="363" t="s">
        <v>633</v>
      </c>
      <c r="B644" s="363" t="s">
        <v>23</v>
      </c>
      <c r="C644" s="363" t="s">
        <v>867</v>
      </c>
      <c r="D644" s="368">
        <v>45722.0</v>
      </c>
      <c r="E644" s="363" t="s">
        <v>1687</v>
      </c>
      <c r="F644" s="363" t="s">
        <v>1688</v>
      </c>
      <c r="G644" s="363" t="s">
        <v>1689</v>
      </c>
      <c r="H644" s="363"/>
      <c r="I644" s="363" t="s">
        <v>997</v>
      </c>
      <c r="J644" s="363"/>
      <c r="K644" s="363" t="s">
        <v>1690</v>
      </c>
      <c r="L644" s="363"/>
      <c r="M644" s="398"/>
      <c r="N644" s="363"/>
      <c r="O644" s="363" t="b">
        <v>0</v>
      </c>
      <c r="P644" s="370"/>
      <c r="Q644" s="363"/>
    </row>
    <row r="645">
      <c r="A645" s="363" t="s">
        <v>117</v>
      </c>
      <c r="B645" s="363" t="s">
        <v>23</v>
      </c>
      <c r="C645" s="363" t="s">
        <v>867</v>
      </c>
      <c r="D645" s="368">
        <v>45973.0</v>
      </c>
      <c r="E645" s="363" t="s">
        <v>1705</v>
      </c>
      <c r="F645" s="363" t="s">
        <v>1707</v>
      </c>
      <c r="G645" s="363" t="s">
        <v>1708</v>
      </c>
      <c r="H645" s="363" t="s">
        <v>1710</v>
      </c>
      <c r="I645" s="363" t="s">
        <v>883</v>
      </c>
      <c r="J645" s="363" t="s">
        <v>1717</v>
      </c>
      <c r="K645" s="363" t="s">
        <v>1720</v>
      </c>
      <c r="L645" s="363"/>
      <c r="M645" s="398"/>
      <c r="N645" s="363"/>
      <c r="O645" s="363" t="b">
        <v>0</v>
      </c>
      <c r="P645" s="370"/>
      <c r="Q645" s="363">
        <v>1.083367015E9</v>
      </c>
    </row>
    <row r="646">
      <c r="A646" s="363" t="s">
        <v>62</v>
      </c>
      <c r="B646" s="363" t="s">
        <v>23</v>
      </c>
      <c r="C646" s="363" t="s">
        <v>867</v>
      </c>
      <c r="D646" s="366">
        <v>45982.0</v>
      </c>
      <c r="E646" s="363" t="s">
        <v>1749</v>
      </c>
      <c r="F646" s="363" t="s">
        <v>1750</v>
      </c>
      <c r="G646" s="363" t="s">
        <v>1751</v>
      </c>
      <c r="H646" s="363" t="s">
        <v>1752</v>
      </c>
      <c r="I646" s="363" t="s">
        <v>597</v>
      </c>
      <c r="J646" s="363" t="s">
        <v>1767</v>
      </c>
      <c r="K646" s="363" t="s">
        <v>1771</v>
      </c>
      <c r="L646" s="365"/>
      <c r="M646" s="398"/>
      <c r="N646" s="363"/>
      <c r="O646" s="363" t="b">
        <v>0</v>
      </c>
      <c r="P646" s="370"/>
      <c r="Q646" s="363">
        <v>1.609692128E9</v>
      </c>
    </row>
    <row r="647">
      <c r="A647" s="363" t="s">
        <v>22</v>
      </c>
      <c r="B647" s="363" t="s">
        <v>19</v>
      </c>
      <c r="C647" s="363" t="s">
        <v>867</v>
      </c>
      <c r="D647" s="368">
        <v>45784.0</v>
      </c>
      <c r="E647" s="363" t="s">
        <v>1815</v>
      </c>
      <c r="F647" s="363" t="s">
        <v>1816</v>
      </c>
      <c r="G647" s="363" t="s">
        <v>1817</v>
      </c>
      <c r="H647" s="363" t="s">
        <v>1818</v>
      </c>
      <c r="I647" s="363" t="s">
        <v>59</v>
      </c>
      <c r="J647" s="363" t="s">
        <v>1822</v>
      </c>
      <c r="K647" s="363" t="s">
        <v>1825</v>
      </c>
      <c r="L647" s="363"/>
      <c r="M647" s="368"/>
      <c r="N647" s="363"/>
      <c r="O647" s="363" t="b">
        <v>0</v>
      </c>
      <c r="P647" s="370"/>
      <c r="Q647" s="363"/>
    </row>
    <row r="648">
      <c r="A648" s="363" t="s">
        <v>62</v>
      </c>
      <c r="B648" s="363" t="s">
        <v>23</v>
      </c>
      <c r="C648" s="363" t="s">
        <v>867</v>
      </c>
      <c r="D648" s="366">
        <v>46066.0</v>
      </c>
      <c r="E648" s="363" t="s">
        <v>1847</v>
      </c>
      <c r="F648" s="363" t="s">
        <v>1852</v>
      </c>
      <c r="G648" s="363" t="s">
        <v>1854</v>
      </c>
      <c r="H648" s="363" t="s">
        <v>1857</v>
      </c>
      <c r="I648" s="371" t="s">
        <v>5008</v>
      </c>
      <c r="J648" s="363" t="s">
        <v>1873</v>
      </c>
      <c r="K648" s="363"/>
      <c r="L648" s="365"/>
      <c r="M648" s="368"/>
      <c r="N648" s="363"/>
      <c r="O648" s="363" t="b">
        <v>0</v>
      </c>
      <c r="P648" s="370"/>
      <c r="Q648" s="363">
        <v>1.376371294E9</v>
      </c>
    </row>
    <row r="649">
      <c r="A649" s="363" t="s">
        <v>1387</v>
      </c>
      <c r="B649" s="363" t="s">
        <v>23</v>
      </c>
      <c r="C649" s="363" t="s">
        <v>867</v>
      </c>
      <c r="D649" s="366">
        <v>45882.0</v>
      </c>
      <c r="E649" s="363" t="s">
        <v>1388</v>
      </c>
      <c r="F649" s="363" t="s">
        <v>1390</v>
      </c>
      <c r="G649" s="363" t="s">
        <v>1392</v>
      </c>
      <c r="H649" s="363" t="s">
        <v>1395</v>
      </c>
      <c r="I649" s="363" t="s">
        <v>1396</v>
      </c>
      <c r="J649" s="363" t="s">
        <v>1398</v>
      </c>
      <c r="K649" s="363" t="s">
        <v>1400</v>
      </c>
      <c r="L649" s="365"/>
      <c r="M649" s="398"/>
      <c r="N649" s="363"/>
      <c r="O649" s="363" t="b">
        <v>0</v>
      </c>
      <c r="P649" s="370"/>
      <c r="Q649" s="363"/>
    </row>
    <row r="650">
      <c r="A650" s="363" t="s">
        <v>62</v>
      </c>
      <c r="B650" s="363" t="s">
        <v>225</v>
      </c>
      <c r="C650" s="363" t="s">
        <v>867</v>
      </c>
      <c r="D650" s="368">
        <v>46080.0</v>
      </c>
      <c r="E650" s="363" t="s">
        <v>1919</v>
      </c>
      <c r="F650" s="363" t="s">
        <v>1920</v>
      </c>
      <c r="G650" s="363" t="s">
        <v>1923</v>
      </c>
      <c r="H650" s="363" t="s">
        <v>1924</v>
      </c>
      <c r="I650" s="363" t="s">
        <v>548</v>
      </c>
      <c r="J650" s="363"/>
      <c r="K650" s="363"/>
      <c r="L650" s="365"/>
      <c r="M650" s="369"/>
      <c r="N650" s="363"/>
      <c r="O650" s="363" t="b">
        <v>0</v>
      </c>
      <c r="P650" s="370"/>
      <c r="Q650" s="363"/>
    </row>
    <row r="651">
      <c r="A651" s="363" t="s">
        <v>22</v>
      </c>
      <c r="B651" s="363" t="s">
        <v>225</v>
      </c>
      <c r="C651" s="363" t="s">
        <v>867</v>
      </c>
      <c r="D651" s="368">
        <v>46066.0</v>
      </c>
      <c r="E651" s="363" t="s">
        <v>1936</v>
      </c>
      <c r="F651" s="363" t="s">
        <v>1938</v>
      </c>
      <c r="G651" s="363" t="s">
        <v>1940</v>
      </c>
      <c r="H651" s="363" t="s">
        <v>1942</v>
      </c>
      <c r="I651" s="363" t="s">
        <v>613</v>
      </c>
      <c r="J651" s="363" t="s">
        <v>1944</v>
      </c>
      <c r="K651" s="363" t="s">
        <v>1946</v>
      </c>
      <c r="L651" s="365"/>
      <c r="M651" s="369">
        <v>46070.8782496875</v>
      </c>
      <c r="N651" s="363"/>
      <c r="O651" s="363" t="b">
        <v>0</v>
      </c>
      <c r="P651" s="370"/>
      <c r="Q651" s="363"/>
    </row>
    <row r="652">
      <c r="A652" s="363" t="s">
        <v>18</v>
      </c>
      <c r="B652" s="363" t="s">
        <v>19</v>
      </c>
      <c r="C652" s="363" t="s">
        <v>867</v>
      </c>
      <c r="D652" s="368">
        <v>45992.0</v>
      </c>
      <c r="E652" s="363" t="s">
        <v>1956</v>
      </c>
      <c r="F652" s="363" t="s">
        <v>1958</v>
      </c>
      <c r="G652" s="363" t="s">
        <v>1960</v>
      </c>
      <c r="H652" s="363" t="s">
        <v>1962</v>
      </c>
      <c r="I652" s="363" t="s">
        <v>1963</v>
      </c>
      <c r="J652" s="363" t="s">
        <v>1965</v>
      </c>
      <c r="K652" s="363" t="s">
        <v>1966</v>
      </c>
      <c r="L652" s="365"/>
      <c r="M652" s="369">
        <v>46112.90381523148</v>
      </c>
      <c r="N652" s="363"/>
      <c r="O652" s="363" t="b">
        <v>0</v>
      </c>
      <c r="P652" s="370"/>
      <c r="Q652" s="363"/>
    </row>
    <row r="653">
      <c r="A653" s="363" t="s">
        <v>22</v>
      </c>
      <c r="B653" s="363" t="s">
        <v>19</v>
      </c>
      <c r="C653" s="363" t="s">
        <v>867</v>
      </c>
      <c r="D653" s="368">
        <v>45869.0</v>
      </c>
      <c r="E653" s="363" t="s">
        <v>1977</v>
      </c>
      <c r="F653" s="363" t="s">
        <v>1979</v>
      </c>
      <c r="G653" s="363" t="s">
        <v>1980</v>
      </c>
      <c r="H653" s="363" t="s">
        <v>1981</v>
      </c>
      <c r="I653" s="363" t="s">
        <v>810</v>
      </c>
      <c r="J653" s="363" t="s">
        <v>1983</v>
      </c>
      <c r="K653" s="363" t="s">
        <v>1984</v>
      </c>
      <c r="L653" s="365"/>
      <c r="M653" s="369">
        <v>46112.93044319445</v>
      </c>
      <c r="N653" s="363"/>
      <c r="O653" s="363" t="b">
        <v>0</v>
      </c>
      <c r="P653" s="370"/>
      <c r="Q653" s="363"/>
    </row>
    <row r="654">
      <c r="A654" s="363" t="s">
        <v>17</v>
      </c>
      <c r="B654" s="363" t="s">
        <v>53</v>
      </c>
      <c r="C654" s="363" t="s">
        <v>867</v>
      </c>
      <c r="D654" s="368">
        <v>45778.0</v>
      </c>
      <c r="E654" s="363" t="s">
        <v>1993</v>
      </c>
      <c r="F654" s="363" t="s">
        <v>1995</v>
      </c>
      <c r="G654" s="363" t="s">
        <v>1997</v>
      </c>
      <c r="H654" s="363" t="s">
        <v>2000</v>
      </c>
      <c r="I654" s="363" t="s">
        <v>2003</v>
      </c>
      <c r="J654" s="363" t="s">
        <v>2005</v>
      </c>
      <c r="K654" s="363" t="s">
        <v>2008</v>
      </c>
      <c r="L654" s="365"/>
      <c r="M654" s="369">
        <v>46112.9301571875</v>
      </c>
      <c r="N654" s="363"/>
      <c r="O654" s="363" t="b">
        <v>0</v>
      </c>
      <c r="P654" s="370"/>
      <c r="Q654" s="363"/>
    </row>
    <row r="655">
      <c r="A655" s="363" t="s">
        <v>410</v>
      </c>
      <c r="B655" s="363" t="s">
        <v>19</v>
      </c>
      <c r="C655" s="363" t="s">
        <v>867</v>
      </c>
      <c r="D655" s="368">
        <v>45595.0</v>
      </c>
      <c r="E655" s="363" t="s">
        <v>2024</v>
      </c>
      <c r="F655" s="363" t="s">
        <v>2026</v>
      </c>
      <c r="G655" s="363" t="s">
        <v>2027</v>
      </c>
      <c r="H655" s="363" t="s">
        <v>2028</v>
      </c>
      <c r="I655" s="363" t="s">
        <v>359</v>
      </c>
      <c r="J655" s="363" t="s">
        <v>2029</v>
      </c>
      <c r="K655" s="363" t="s">
        <v>2030</v>
      </c>
      <c r="L655" s="365"/>
      <c r="M655" s="369">
        <v>46112.953498483796</v>
      </c>
      <c r="N655" s="363"/>
      <c r="O655" s="363" t="b">
        <v>0</v>
      </c>
      <c r="P655" s="370"/>
      <c r="Q655" s="363"/>
    </row>
    <row r="656">
      <c r="A656" s="363" t="s">
        <v>20</v>
      </c>
      <c r="B656" s="363" t="s">
        <v>19</v>
      </c>
      <c r="C656" s="363" t="s">
        <v>867</v>
      </c>
      <c r="D656" s="368">
        <v>46001.0</v>
      </c>
      <c r="E656" s="363" t="s">
        <v>2036</v>
      </c>
      <c r="F656" s="363" t="s">
        <v>2037</v>
      </c>
      <c r="G656" s="363"/>
      <c r="H656" s="363"/>
      <c r="I656" s="363" t="s">
        <v>883</v>
      </c>
      <c r="J656" s="363"/>
      <c r="K656" s="363"/>
      <c r="L656" s="365"/>
      <c r="M656" s="369"/>
      <c r="N656" s="363"/>
      <c r="O656" s="363" t="b">
        <v>0</v>
      </c>
      <c r="P656" s="370"/>
      <c r="Q656" s="363"/>
    </row>
    <row r="657">
      <c r="A657" s="363" t="s">
        <v>410</v>
      </c>
      <c r="B657" s="363" t="s">
        <v>19</v>
      </c>
      <c r="C657" s="363" t="s">
        <v>867</v>
      </c>
      <c r="D657" s="368">
        <v>46113.0</v>
      </c>
      <c r="E657" s="363" t="s">
        <v>2044</v>
      </c>
      <c r="F657" s="363" t="s">
        <v>2045</v>
      </c>
      <c r="G657" s="363" t="s">
        <v>2046</v>
      </c>
      <c r="H657" s="363" t="s">
        <v>2047</v>
      </c>
      <c r="I657" s="363" t="s">
        <v>240</v>
      </c>
      <c r="J657" s="363" t="s">
        <v>2051</v>
      </c>
      <c r="K657" s="363" t="s">
        <v>2054</v>
      </c>
      <c r="L657" s="365"/>
      <c r="M657" s="369">
        <v>46114.84939721065</v>
      </c>
      <c r="N657" s="363"/>
      <c r="O657" s="363" t="b">
        <v>0</v>
      </c>
      <c r="P657" s="370"/>
      <c r="Q657" s="363"/>
    </row>
    <row r="658">
      <c r="A658" s="363" t="s">
        <v>22</v>
      </c>
      <c r="B658" s="363" t="s">
        <v>53</v>
      </c>
      <c r="C658" s="363" t="s">
        <v>867</v>
      </c>
      <c r="D658" s="368">
        <v>46056.0</v>
      </c>
      <c r="E658" s="363" t="s">
        <v>2062</v>
      </c>
      <c r="F658" s="363" t="s">
        <v>2064</v>
      </c>
      <c r="G658" s="363" t="s">
        <v>2066</v>
      </c>
      <c r="H658" s="363" t="s">
        <v>2067</v>
      </c>
      <c r="I658" s="363" t="s">
        <v>1092</v>
      </c>
      <c r="J658" s="363" t="s">
        <v>2068</v>
      </c>
      <c r="K658" s="363" t="s">
        <v>2073</v>
      </c>
      <c r="L658" s="365"/>
      <c r="M658" s="369">
        <v>46107.76638810185</v>
      </c>
      <c r="N658" s="363"/>
      <c r="O658" s="363" t="b">
        <v>0</v>
      </c>
      <c r="P658" s="370"/>
      <c r="Q658" s="363"/>
    </row>
    <row r="659">
      <c r="A659" s="363" t="s">
        <v>22</v>
      </c>
      <c r="B659" s="363" t="s">
        <v>53</v>
      </c>
      <c r="C659" s="363" t="s">
        <v>867</v>
      </c>
      <c r="D659" s="368">
        <v>46105.0</v>
      </c>
      <c r="E659" s="363" t="s">
        <v>2085</v>
      </c>
      <c r="F659" s="363" t="s">
        <v>2086</v>
      </c>
      <c r="G659" s="363" t="s">
        <v>2087</v>
      </c>
      <c r="H659" s="363" t="s">
        <v>2089</v>
      </c>
      <c r="I659" s="363" t="s">
        <v>269</v>
      </c>
      <c r="J659" s="363" t="s">
        <v>2092</v>
      </c>
      <c r="K659" s="363" t="s">
        <v>2097</v>
      </c>
      <c r="L659" s="365"/>
      <c r="M659" s="369">
        <v>46106.715583819445</v>
      </c>
      <c r="N659" s="363"/>
      <c r="O659" s="363" t="b">
        <v>0</v>
      </c>
      <c r="P659" s="370"/>
      <c r="Q659" s="363"/>
    </row>
    <row r="660">
      <c r="A660" s="363" t="s">
        <v>17</v>
      </c>
      <c r="B660" s="363" t="s">
        <v>23</v>
      </c>
      <c r="C660" s="363" t="s">
        <v>867</v>
      </c>
      <c r="D660" s="366">
        <v>46105.0</v>
      </c>
      <c r="E660" s="363" t="s">
        <v>2107</v>
      </c>
      <c r="F660" s="363" t="s">
        <v>2109</v>
      </c>
      <c r="G660" s="363" t="s">
        <v>2111</v>
      </c>
      <c r="H660" s="363" t="s">
        <v>2113</v>
      </c>
      <c r="I660" s="371" t="s">
        <v>1089</v>
      </c>
      <c r="J660" s="363" t="s">
        <v>2132</v>
      </c>
      <c r="K660" s="363" t="s">
        <v>2135</v>
      </c>
      <c r="L660" s="365"/>
      <c r="M660" s="368">
        <v>46134.705871053244</v>
      </c>
      <c r="N660" s="363"/>
      <c r="O660" s="363" t="b">
        <v>0</v>
      </c>
      <c r="P660" s="370"/>
      <c r="Q660" s="363">
        <v>1.679345375E9</v>
      </c>
    </row>
    <row r="661">
      <c r="A661" s="363" t="s">
        <v>62</v>
      </c>
      <c r="B661" s="363" t="s">
        <v>23</v>
      </c>
      <c r="C661" s="363" t="s">
        <v>867</v>
      </c>
      <c r="D661" s="366">
        <v>46108.0</v>
      </c>
      <c r="E661" s="363" t="s">
        <v>2152</v>
      </c>
      <c r="F661" s="363" t="s">
        <v>2155</v>
      </c>
      <c r="G661" s="363" t="s">
        <v>2157</v>
      </c>
      <c r="H661" s="363" t="s">
        <v>2159</v>
      </c>
      <c r="I661" s="371" t="s">
        <v>5055</v>
      </c>
      <c r="J661" s="363" t="s">
        <v>2171</v>
      </c>
      <c r="K661" s="363" t="s">
        <v>2173</v>
      </c>
      <c r="L661" s="365"/>
      <c r="M661" s="368">
        <v>46134.705923553236</v>
      </c>
      <c r="N661" s="363"/>
      <c r="O661" s="363" t="b">
        <v>0</v>
      </c>
      <c r="P661" s="370"/>
      <c r="Q661" s="363">
        <v>1.720800188E9</v>
      </c>
    </row>
    <row r="662">
      <c r="A662" s="363" t="s">
        <v>22</v>
      </c>
      <c r="B662" s="363" t="s">
        <v>23</v>
      </c>
      <c r="C662" s="363" t="s">
        <v>867</v>
      </c>
      <c r="D662" s="366">
        <v>46108.0</v>
      </c>
      <c r="E662" s="363" t="s">
        <v>2181</v>
      </c>
      <c r="F662" s="363" t="s">
        <v>2182</v>
      </c>
      <c r="G662" s="363" t="s">
        <v>2184</v>
      </c>
      <c r="H662" s="363" t="s">
        <v>2186</v>
      </c>
      <c r="I662" s="371" t="s">
        <v>2317</v>
      </c>
      <c r="J662" s="363" t="s">
        <v>2201</v>
      </c>
      <c r="K662" s="363" t="s">
        <v>2173</v>
      </c>
      <c r="L662" s="365"/>
      <c r="M662" s="368">
        <v>46134.705989699076</v>
      </c>
      <c r="N662" s="363"/>
      <c r="O662" s="363" t="b">
        <v>0</v>
      </c>
      <c r="P662" s="370"/>
      <c r="Q662" s="363">
        <v>1.952024077E9</v>
      </c>
    </row>
    <row r="663">
      <c r="A663" s="363" t="s">
        <v>17</v>
      </c>
      <c r="B663" s="363" t="s">
        <v>23</v>
      </c>
      <c r="C663" s="363" t="s">
        <v>867</v>
      </c>
      <c r="D663" s="366">
        <v>46115.0</v>
      </c>
      <c r="E663" s="363" t="s">
        <v>2213</v>
      </c>
      <c r="F663" s="363" t="s">
        <v>2215</v>
      </c>
      <c r="G663" s="363" t="s">
        <v>2217</v>
      </c>
      <c r="H663" s="363" t="s">
        <v>2219</v>
      </c>
      <c r="I663" s="371" t="s">
        <v>4100</v>
      </c>
      <c r="J663" s="363" t="s">
        <v>2231</v>
      </c>
      <c r="K663" s="363" t="s">
        <v>2173</v>
      </c>
      <c r="L663" s="365"/>
      <c r="M663" s="368">
        <v>46134.706103379634</v>
      </c>
      <c r="N663" s="363"/>
      <c r="O663" s="363" t="b">
        <v>0</v>
      </c>
      <c r="P663" s="370"/>
      <c r="Q663" s="363">
        <v>1.053114413E9</v>
      </c>
    </row>
    <row r="664">
      <c r="A664" s="363" t="s">
        <v>62</v>
      </c>
      <c r="B664" s="363" t="s">
        <v>23</v>
      </c>
      <c r="C664" s="363" t="s">
        <v>867</v>
      </c>
      <c r="D664" s="366">
        <v>46092.0</v>
      </c>
      <c r="E664" s="363" t="s">
        <v>2242</v>
      </c>
      <c r="F664" s="363" t="s">
        <v>2243</v>
      </c>
      <c r="G664" s="363" t="s">
        <v>2245</v>
      </c>
      <c r="H664" s="363" t="s">
        <v>2248</v>
      </c>
      <c r="I664" s="371" t="s">
        <v>497</v>
      </c>
      <c r="J664" s="363" t="s">
        <v>2262</v>
      </c>
      <c r="K664" s="363" t="s">
        <v>2264</v>
      </c>
      <c r="L664" s="365"/>
      <c r="M664" s="368">
        <v>46094.91776049769</v>
      </c>
      <c r="N664" s="363"/>
      <c r="O664" s="363" t="b">
        <v>0</v>
      </c>
      <c r="P664" s="370"/>
      <c r="Q664" s="363">
        <v>1.134070212E9</v>
      </c>
    </row>
    <row r="665">
      <c r="A665" s="363" t="s">
        <v>62</v>
      </c>
      <c r="B665" s="363" t="s">
        <v>53</v>
      </c>
      <c r="C665" s="363" t="s">
        <v>867</v>
      </c>
      <c r="D665" s="368">
        <v>46121.0</v>
      </c>
      <c r="E665" s="363" t="s">
        <v>2272</v>
      </c>
      <c r="F665" s="363" t="s">
        <v>2275</v>
      </c>
      <c r="G665" s="363" t="s">
        <v>2277</v>
      </c>
      <c r="H665" s="363" t="s">
        <v>2279</v>
      </c>
      <c r="I665" s="363" t="s">
        <v>69</v>
      </c>
      <c r="J665" s="363" t="s">
        <v>2282</v>
      </c>
      <c r="K665" s="363" t="s">
        <v>2283</v>
      </c>
      <c r="L665" s="365"/>
      <c r="M665" s="369">
        <v>46125.88138979167</v>
      </c>
      <c r="N665" s="363"/>
      <c r="O665" s="363" t="b">
        <v>0</v>
      </c>
      <c r="P665" s="370"/>
      <c r="Q665" s="363"/>
    </row>
    <row r="666">
      <c r="A666" s="363" t="s">
        <v>62</v>
      </c>
      <c r="B666" s="363" t="s">
        <v>53</v>
      </c>
      <c r="C666" s="363" t="s">
        <v>867</v>
      </c>
      <c r="D666" s="368">
        <v>46122.0</v>
      </c>
      <c r="E666" s="363" t="s">
        <v>2296</v>
      </c>
      <c r="F666" s="363" t="s">
        <v>2298</v>
      </c>
      <c r="G666" s="363" t="s">
        <v>2300</v>
      </c>
      <c r="H666" s="363" t="s">
        <v>2301</v>
      </c>
      <c r="I666" s="363" t="s">
        <v>2302</v>
      </c>
      <c r="J666" s="363" t="s">
        <v>2304</v>
      </c>
      <c r="K666" s="363"/>
      <c r="L666" s="365"/>
      <c r="M666" s="369"/>
      <c r="N666" s="363"/>
      <c r="O666" s="363" t="b">
        <v>0</v>
      </c>
      <c r="P666" s="370"/>
      <c r="Q666" s="363"/>
    </row>
    <row r="667">
      <c r="A667" s="363" t="s">
        <v>62</v>
      </c>
      <c r="B667" s="363" t="s">
        <v>225</v>
      </c>
      <c r="C667" s="363" t="s">
        <v>867</v>
      </c>
      <c r="D667" s="368">
        <v>46122.0</v>
      </c>
      <c r="E667" s="363" t="s">
        <v>2313</v>
      </c>
      <c r="F667" s="363" t="s">
        <v>2314</v>
      </c>
      <c r="G667" s="363" t="s">
        <v>2315</v>
      </c>
      <c r="H667" s="363" t="s">
        <v>2316</v>
      </c>
      <c r="I667" s="363" t="s">
        <v>2317</v>
      </c>
      <c r="J667" s="363" t="s">
        <v>2320</v>
      </c>
      <c r="K667" s="363"/>
      <c r="L667" s="365"/>
      <c r="M667" s="369"/>
      <c r="N667" s="363"/>
      <c r="O667" s="363" t="b">
        <v>0</v>
      </c>
      <c r="P667" s="370"/>
      <c r="Q667" s="363"/>
    </row>
    <row r="668">
      <c r="A668" s="363" t="s">
        <v>62</v>
      </c>
      <c r="B668" s="363" t="s">
        <v>225</v>
      </c>
      <c r="C668" s="363" t="s">
        <v>867</v>
      </c>
      <c r="D668" s="368">
        <v>46141.0</v>
      </c>
      <c r="E668" s="363" t="s">
        <v>2330</v>
      </c>
      <c r="F668" s="363" t="s">
        <v>2331</v>
      </c>
      <c r="G668" s="363" t="s">
        <v>2332</v>
      </c>
      <c r="H668" s="363" t="s">
        <v>2333</v>
      </c>
      <c r="I668" s="363" t="s">
        <v>686</v>
      </c>
      <c r="J668" s="363" t="s">
        <v>2338</v>
      </c>
      <c r="K668" s="363" t="s">
        <v>2340</v>
      </c>
      <c r="L668" s="365"/>
      <c r="M668" s="369">
        <v>46146.74301153935</v>
      </c>
      <c r="N668" s="363"/>
      <c r="O668" s="363" t="b">
        <v>0</v>
      </c>
      <c r="P668" s="370"/>
      <c r="Q668" s="363"/>
    </row>
    <row r="669">
      <c r="A669" s="363" t="s">
        <v>22</v>
      </c>
      <c r="B669" s="363" t="s">
        <v>53</v>
      </c>
      <c r="C669" s="363" t="s">
        <v>867</v>
      </c>
      <c r="D669" s="368">
        <v>46141.0</v>
      </c>
      <c r="E669" s="363" t="s">
        <v>2347</v>
      </c>
      <c r="F669" s="363" t="s">
        <v>2349</v>
      </c>
      <c r="G669" s="363" t="s">
        <v>2351</v>
      </c>
      <c r="H669" s="363" t="s">
        <v>2353</v>
      </c>
      <c r="I669" s="363" t="s">
        <v>1643</v>
      </c>
      <c r="J669" s="363" t="s">
        <v>2356</v>
      </c>
      <c r="K669" s="363"/>
      <c r="L669" s="365"/>
      <c r="M669" s="369"/>
      <c r="N669" s="363"/>
      <c r="O669" s="363" t="b">
        <v>0</v>
      </c>
      <c r="P669" s="370"/>
      <c r="Q669" s="363"/>
    </row>
    <row r="670">
      <c r="A670" s="363" t="s">
        <v>22</v>
      </c>
      <c r="B670" s="363" t="s">
        <v>23</v>
      </c>
      <c r="C670" s="363" t="s">
        <v>867</v>
      </c>
      <c r="D670" s="366">
        <v>46157.0</v>
      </c>
      <c r="E670" s="363" t="s">
        <v>2371</v>
      </c>
      <c r="F670" s="363" t="s">
        <v>2372</v>
      </c>
      <c r="G670" s="363" t="s">
        <v>2373</v>
      </c>
      <c r="H670" s="363" t="s">
        <v>2374</v>
      </c>
      <c r="I670" s="363" t="s">
        <v>1807</v>
      </c>
      <c r="J670" s="363" t="s">
        <v>2375</v>
      </c>
      <c r="K670" s="363" t="s">
        <v>2376</v>
      </c>
      <c r="L670" s="365"/>
      <c r="M670" s="368">
        <v>46136.814597476856</v>
      </c>
      <c r="N670" s="363"/>
      <c r="O670" s="363" t="b">
        <v>0</v>
      </c>
      <c r="P670" s="370"/>
      <c r="Q670" s="363">
        <v>1.720819006E9</v>
      </c>
    </row>
    <row r="671">
      <c r="A671" s="363" t="s">
        <v>22</v>
      </c>
      <c r="B671" s="363" t="s">
        <v>23</v>
      </c>
      <c r="C671" s="363" t="s">
        <v>867</v>
      </c>
      <c r="D671" s="366">
        <v>46141.0</v>
      </c>
      <c r="E671" s="363" t="s">
        <v>2398</v>
      </c>
      <c r="F671" s="363" t="s">
        <v>2400</v>
      </c>
      <c r="G671" s="363" t="s">
        <v>2403</v>
      </c>
      <c r="H671" s="363" t="s">
        <v>2406</v>
      </c>
      <c r="I671" s="371" t="s">
        <v>1508</v>
      </c>
      <c r="J671" s="363" t="s">
        <v>2420</v>
      </c>
      <c r="K671" s="363"/>
      <c r="L671" s="365"/>
      <c r="M671" s="368"/>
      <c r="N671" s="363"/>
      <c r="O671" s="363" t="b">
        <v>0</v>
      </c>
      <c r="P671" s="370"/>
      <c r="Q671" s="363">
        <v>1.316968381E9</v>
      </c>
    </row>
    <row r="672">
      <c r="A672" s="363" t="s">
        <v>62</v>
      </c>
      <c r="B672" s="363" t="s">
        <v>23</v>
      </c>
      <c r="C672" s="363" t="s">
        <v>867</v>
      </c>
      <c r="D672" s="368">
        <v>46146.0</v>
      </c>
      <c r="E672" s="363" t="s">
        <v>2437</v>
      </c>
      <c r="F672" s="363" t="s">
        <v>2439</v>
      </c>
      <c r="G672" s="363" t="s">
        <v>2440</v>
      </c>
      <c r="H672" s="363" t="s">
        <v>2441</v>
      </c>
      <c r="I672" s="363" t="s">
        <v>1831</v>
      </c>
      <c r="J672" s="363" t="s">
        <v>2442</v>
      </c>
      <c r="K672" s="363" t="s">
        <v>2443</v>
      </c>
      <c r="L672" s="365"/>
      <c r="M672" s="369">
        <v>46147.9219225</v>
      </c>
      <c r="N672" s="363"/>
      <c r="O672" s="363" t="b">
        <v>0</v>
      </c>
      <c r="P672" s="370"/>
      <c r="Q672" s="363">
        <v>1.073326211E9</v>
      </c>
    </row>
    <row r="673">
      <c r="A673" s="363" t="s">
        <v>906</v>
      </c>
      <c r="B673" s="363" t="s">
        <v>225</v>
      </c>
      <c r="C673" s="363" t="s">
        <v>867</v>
      </c>
      <c r="D673" s="366">
        <v>46149.0</v>
      </c>
      <c r="E673" s="363" t="s">
        <v>868</v>
      </c>
      <c r="F673" s="363" t="s">
        <v>869</v>
      </c>
      <c r="G673" s="363" t="s">
        <v>870</v>
      </c>
      <c r="H673" s="363" t="s">
        <v>871</v>
      </c>
      <c r="I673" s="371" t="s">
        <v>5100</v>
      </c>
      <c r="J673" s="363" t="s">
        <v>2474</v>
      </c>
      <c r="K673" s="363"/>
      <c r="L673" s="365"/>
      <c r="M673" s="368"/>
      <c r="N673" s="363"/>
      <c r="O673" s="363"/>
      <c r="P673" s="370"/>
      <c r="Q673" s="363"/>
    </row>
    <row r="674">
      <c r="A674" s="363" t="s">
        <v>22</v>
      </c>
      <c r="B674" s="363" t="s">
        <v>53</v>
      </c>
      <c r="C674" s="363" t="s">
        <v>867</v>
      </c>
      <c r="D674" s="368">
        <v>46164.0</v>
      </c>
      <c r="E674" s="363" t="s">
        <v>2503</v>
      </c>
      <c r="F674" s="363" t="s">
        <v>2504</v>
      </c>
      <c r="G674" s="363" t="s">
        <v>2505</v>
      </c>
      <c r="H674" s="363" t="s">
        <v>2506</v>
      </c>
      <c r="I674" s="363" t="s">
        <v>590</v>
      </c>
      <c r="J674" s="363" t="s">
        <v>2507</v>
      </c>
      <c r="K674" s="363"/>
      <c r="L674" s="365"/>
      <c r="M674" s="368"/>
      <c r="N674" s="363"/>
      <c r="O674" s="363"/>
      <c r="P674" s="370"/>
      <c r="Q674" s="363"/>
    </row>
    <row r="675">
      <c r="A675" s="363" t="s">
        <v>62</v>
      </c>
      <c r="B675" s="363" t="s">
        <v>225</v>
      </c>
      <c r="C675" s="363" t="s">
        <v>867</v>
      </c>
      <c r="D675" s="368">
        <v>46177.0</v>
      </c>
      <c r="E675" s="363" t="s">
        <v>2522</v>
      </c>
      <c r="F675" s="363" t="s">
        <v>2523</v>
      </c>
      <c r="G675" s="363" t="s">
        <v>2524</v>
      </c>
      <c r="H675" s="363" t="s">
        <v>2525</v>
      </c>
      <c r="I675" s="363" t="s">
        <v>2526</v>
      </c>
      <c r="J675" s="363" t="s">
        <v>2527</v>
      </c>
      <c r="K675" s="363"/>
      <c r="L675" s="365"/>
      <c r="M675" s="369"/>
      <c r="N675" s="363"/>
      <c r="O675" s="363"/>
      <c r="P675" s="370"/>
      <c r="Q675" s="363"/>
    </row>
    <row r="676">
      <c r="A676" s="363" t="s">
        <v>17</v>
      </c>
      <c r="B676" s="363" t="s">
        <v>53</v>
      </c>
      <c r="C676" s="363" t="s">
        <v>867</v>
      </c>
      <c r="D676" s="368">
        <v>46188.0</v>
      </c>
      <c r="E676" s="363" t="s">
        <v>2539</v>
      </c>
      <c r="F676" s="363" t="s">
        <v>2542</v>
      </c>
      <c r="G676" s="363">
        <v>2.816105387E9</v>
      </c>
      <c r="H676" s="363" t="s">
        <v>2543</v>
      </c>
      <c r="I676" s="363" t="s">
        <v>590</v>
      </c>
      <c r="J676" s="363" t="s">
        <v>2544</v>
      </c>
      <c r="K676" s="363" t="s">
        <v>1176</v>
      </c>
      <c r="L676" s="365"/>
      <c r="M676" s="369">
        <v>46189.77298902778</v>
      </c>
      <c r="N676" s="363"/>
      <c r="O676" s="363"/>
      <c r="P676" s="370"/>
      <c r="Q676" s="363"/>
    </row>
    <row r="677">
      <c r="A677" s="363" t="s">
        <v>22</v>
      </c>
      <c r="B677" s="363" t="s">
        <v>23</v>
      </c>
      <c r="C677" s="363" t="s">
        <v>867</v>
      </c>
      <c r="D677" s="368">
        <v>46184.0</v>
      </c>
      <c r="E677" s="363" t="s">
        <v>2555</v>
      </c>
      <c r="F677" s="363" t="s">
        <v>2556</v>
      </c>
      <c r="G677" s="363" t="s">
        <v>2557</v>
      </c>
      <c r="H677" s="363" t="s">
        <v>2559</v>
      </c>
      <c r="I677" s="363" t="s">
        <v>1146</v>
      </c>
      <c r="J677" s="363" t="s">
        <v>2560</v>
      </c>
      <c r="K677" s="363" t="s">
        <v>2561</v>
      </c>
      <c r="L677" s="365"/>
      <c r="M677" s="369">
        <v>46188.86773376157</v>
      </c>
      <c r="N677" s="363"/>
      <c r="O677" s="363"/>
      <c r="P677" s="370"/>
      <c r="Q677" s="363">
        <v>1.164355863E9</v>
      </c>
    </row>
    <row r="678">
      <c r="A678" s="363" t="s">
        <v>906</v>
      </c>
      <c r="B678" s="363" t="s">
        <v>23</v>
      </c>
      <c r="C678" s="363" t="s">
        <v>867</v>
      </c>
      <c r="D678" s="368">
        <v>46183.0</v>
      </c>
      <c r="E678" s="363" t="s">
        <v>2571</v>
      </c>
      <c r="F678" s="363" t="s">
        <v>2572</v>
      </c>
      <c r="G678" s="363" t="s">
        <v>2573</v>
      </c>
      <c r="H678" s="363" t="s">
        <v>2575</v>
      </c>
      <c r="I678" s="363" t="s">
        <v>2579</v>
      </c>
      <c r="J678" s="363" t="s">
        <v>2581</v>
      </c>
      <c r="K678" s="363"/>
      <c r="L678" s="365"/>
      <c r="M678" s="369"/>
      <c r="N678" s="363"/>
      <c r="O678" s="363"/>
      <c r="P678" s="370"/>
      <c r="Q678" s="363">
        <v>1.659149417E9</v>
      </c>
    </row>
    <row r="679">
      <c r="A679" s="363" t="s">
        <v>410</v>
      </c>
      <c r="B679" s="363" t="s">
        <v>23</v>
      </c>
      <c r="C679" s="363" t="s">
        <v>867</v>
      </c>
      <c r="D679" s="368">
        <v>46168.0</v>
      </c>
      <c r="E679" s="363" t="s">
        <v>2594</v>
      </c>
      <c r="F679" s="363" t="s">
        <v>2595</v>
      </c>
      <c r="G679" s="363" t="s">
        <v>2596</v>
      </c>
      <c r="H679" s="363" t="s">
        <v>2597</v>
      </c>
      <c r="I679" s="363" t="s">
        <v>301</v>
      </c>
      <c r="J679" s="363" t="s">
        <v>2599</v>
      </c>
      <c r="K679" s="363" t="s">
        <v>2600</v>
      </c>
      <c r="L679" s="365"/>
      <c r="M679" s="369">
        <v>46176.787723622685</v>
      </c>
      <c r="N679" s="363"/>
      <c r="O679" s="363"/>
      <c r="P679" s="370"/>
      <c r="Q679" s="363">
        <v>1.235297094E9</v>
      </c>
    </row>
    <row r="680">
      <c r="A680" s="363" t="s">
        <v>18</v>
      </c>
      <c r="B680" s="363" t="s">
        <v>23</v>
      </c>
      <c r="C680" s="363" t="s">
        <v>867</v>
      </c>
      <c r="D680" s="368">
        <v>46183.0</v>
      </c>
      <c r="E680" s="363" t="s">
        <v>2616</v>
      </c>
      <c r="F680" s="363" t="s">
        <v>2618</v>
      </c>
      <c r="G680" s="363" t="s">
        <v>2619</v>
      </c>
      <c r="H680" s="363" t="s">
        <v>2620</v>
      </c>
      <c r="I680" s="363" t="s">
        <v>613</v>
      </c>
      <c r="J680" s="363" t="s">
        <v>2621</v>
      </c>
      <c r="K680" s="363" t="s">
        <v>2622</v>
      </c>
      <c r="L680" s="365"/>
      <c r="M680" s="369">
        <v>46185.876888750005</v>
      </c>
      <c r="N680" s="363"/>
      <c r="O680" s="363"/>
      <c r="P680" s="370"/>
      <c r="Q680" s="363">
        <v>1.114861861E9</v>
      </c>
    </row>
    <row r="681">
      <c r="A681" s="363" t="s">
        <v>22</v>
      </c>
      <c r="B681" s="363" t="s">
        <v>19</v>
      </c>
      <c r="C681" s="363" t="s">
        <v>867</v>
      </c>
      <c r="D681" s="368">
        <v>46190.0</v>
      </c>
      <c r="E681" s="363" t="s">
        <v>2634</v>
      </c>
      <c r="F681" s="363" t="s">
        <v>2636</v>
      </c>
      <c r="G681" s="363" t="s">
        <v>2639</v>
      </c>
      <c r="H681" s="363" t="s">
        <v>2640</v>
      </c>
      <c r="I681" s="363" t="s">
        <v>2643</v>
      </c>
      <c r="J681" s="363" t="s">
        <v>2645</v>
      </c>
      <c r="K681" s="363"/>
      <c r="L681" s="365"/>
      <c r="M681" s="369"/>
      <c r="N681" s="363"/>
      <c r="O681" s="363"/>
      <c r="P681" s="370"/>
      <c r="Q681" s="363"/>
    </row>
    <row r="682">
      <c r="A682" s="363" t="s">
        <v>906</v>
      </c>
      <c r="B682" s="363" t="s">
        <v>19</v>
      </c>
      <c r="C682" s="363" t="s">
        <v>867</v>
      </c>
      <c r="D682" s="368">
        <v>46178.0</v>
      </c>
      <c r="E682" s="363" t="s">
        <v>2652</v>
      </c>
      <c r="F682" s="363" t="s">
        <v>2654</v>
      </c>
      <c r="G682" s="363" t="s">
        <v>2658</v>
      </c>
      <c r="H682" s="363" t="s">
        <v>2659</v>
      </c>
      <c r="I682" s="363" t="s">
        <v>340</v>
      </c>
      <c r="J682" s="363" t="s">
        <v>2661</v>
      </c>
      <c r="K682" s="363"/>
      <c r="L682" s="365"/>
      <c r="M682" s="369"/>
      <c r="N682" s="363"/>
      <c r="O682" s="363"/>
      <c r="P682" s="370"/>
      <c r="Q682" s="363"/>
    </row>
    <row r="683">
      <c r="A683" s="363" t="s">
        <v>22</v>
      </c>
      <c r="B683" s="363" t="s">
        <v>225</v>
      </c>
      <c r="C683" s="363" t="s">
        <v>867</v>
      </c>
      <c r="D683" s="368">
        <v>46184.0</v>
      </c>
      <c r="E683" s="363" t="s">
        <v>2667</v>
      </c>
      <c r="F683" s="363" t="s">
        <v>2669</v>
      </c>
      <c r="G683" s="363" t="s">
        <v>2670</v>
      </c>
      <c r="H683" s="363" t="s">
        <v>2671</v>
      </c>
      <c r="I683" s="363" t="s">
        <v>268</v>
      </c>
      <c r="J683" s="363" t="s">
        <v>2672</v>
      </c>
      <c r="K683" s="363"/>
      <c r="L683" s="365"/>
      <c r="M683" s="369"/>
      <c r="N683" s="363"/>
      <c r="O683" s="363" t="b">
        <v>0</v>
      </c>
      <c r="P683" s="370"/>
      <c r="Q683" s="363"/>
    </row>
    <row r="684">
      <c r="A684" s="363" t="s">
        <v>18</v>
      </c>
      <c r="B684" s="363" t="s">
        <v>19</v>
      </c>
      <c r="C684" s="363" t="s">
        <v>867</v>
      </c>
      <c r="D684" s="368">
        <v>46197.0</v>
      </c>
      <c r="E684" s="363" t="s">
        <v>2677</v>
      </c>
      <c r="F684" s="363" t="s">
        <v>2678</v>
      </c>
      <c r="G684" s="363" t="s">
        <v>2679</v>
      </c>
      <c r="H684" s="363" t="s">
        <v>2680</v>
      </c>
      <c r="I684" s="363" t="s">
        <v>401</v>
      </c>
      <c r="J684" s="363" t="s">
        <v>2682</v>
      </c>
      <c r="K684" s="363"/>
      <c r="L684" s="365"/>
      <c r="M684" s="369"/>
      <c r="N684" s="363"/>
      <c r="O684" s="363"/>
      <c r="P684" s="370"/>
      <c r="Q684" s="363"/>
    </row>
    <row r="685">
      <c r="A685" s="363" t="s">
        <v>62</v>
      </c>
      <c r="B685" s="363" t="s">
        <v>225</v>
      </c>
      <c r="C685" s="363" t="s">
        <v>867</v>
      </c>
      <c r="D685" s="368">
        <v>46191.0</v>
      </c>
      <c r="E685" s="363" t="s">
        <v>2685</v>
      </c>
      <c r="F685" s="363" t="s">
        <v>2686</v>
      </c>
      <c r="G685" s="363" t="s">
        <v>2687</v>
      </c>
      <c r="H685" s="363" t="s">
        <v>2688</v>
      </c>
      <c r="I685" s="363" t="s">
        <v>1791</v>
      </c>
      <c r="J685" s="363" t="s">
        <v>2689</v>
      </c>
      <c r="K685" s="363"/>
      <c r="L685" s="365"/>
      <c r="M685" s="369"/>
      <c r="N685" s="363"/>
      <c r="O685" s="363"/>
      <c r="P685" s="370"/>
      <c r="Q685" s="363"/>
    </row>
    <row r="686">
      <c r="A686" s="363" t="s">
        <v>22</v>
      </c>
      <c r="B686" s="363" t="s">
        <v>53</v>
      </c>
      <c r="C686" s="363" t="s">
        <v>867</v>
      </c>
      <c r="D686" s="368">
        <v>46190.0</v>
      </c>
      <c r="E686" s="363" t="s">
        <v>2696</v>
      </c>
      <c r="F686" s="363" t="s">
        <v>2697</v>
      </c>
      <c r="G686" s="363" t="s">
        <v>2698</v>
      </c>
      <c r="H686" s="363" t="s">
        <v>2699</v>
      </c>
      <c r="I686" s="363" t="s">
        <v>1020</v>
      </c>
      <c r="J686" s="363" t="s">
        <v>2700</v>
      </c>
      <c r="K686" s="363" t="s">
        <v>2701</v>
      </c>
      <c r="L686" s="365"/>
      <c r="M686" s="369">
        <v>46196.81690178241</v>
      </c>
      <c r="N686" s="363"/>
      <c r="O686" s="363"/>
      <c r="P686" s="370"/>
      <c r="Q686" s="363"/>
    </row>
    <row r="687">
      <c r="A687" s="363" t="s">
        <v>135</v>
      </c>
      <c r="B687" s="363" t="s">
        <v>225</v>
      </c>
      <c r="C687" s="363" t="s">
        <v>867</v>
      </c>
      <c r="D687" s="368">
        <v>45662.0</v>
      </c>
      <c r="E687" s="363" t="s">
        <v>2707</v>
      </c>
      <c r="F687" s="363" t="s">
        <v>2708</v>
      </c>
      <c r="G687" s="363" t="s">
        <v>2709</v>
      </c>
      <c r="H687" s="363" t="s">
        <v>2710</v>
      </c>
      <c r="I687" s="363" t="s">
        <v>2554</v>
      </c>
      <c r="J687" s="363" t="s">
        <v>2713</v>
      </c>
      <c r="K687" s="363" t="s">
        <v>2716</v>
      </c>
      <c r="L687" s="365"/>
      <c r="M687" s="369">
        <v>46099.90632902778</v>
      </c>
      <c r="N687" s="363" t="b">
        <v>0</v>
      </c>
      <c r="O687" s="363"/>
      <c r="P687" s="370"/>
      <c r="Q687" s="363"/>
    </row>
    <row r="688">
      <c r="A688" s="363" t="s">
        <v>17</v>
      </c>
      <c r="B688" s="363" t="s">
        <v>53</v>
      </c>
      <c r="C688" s="363" t="s">
        <v>867</v>
      </c>
      <c r="D688" s="368">
        <v>46203.0</v>
      </c>
      <c r="E688" s="363" t="s">
        <v>2724</v>
      </c>
      <c r="F688" s="363" t="s">
        <v>2725</v>
      </c>
      <c r="G688" s="363" t="s">
        <v>2726</v>
      </c>
      <c r="H688" s="363" t="s">
        <v>2727</v>
      </c>
      <c r="I688" s="363" t="s">
        <v>2731</v>
      </c>
      <c r="J688" s="363" t="s">
        <v>2735</v>
      </c>
      <c r="K688" s="363" t="s">
        <v>2736</v>
      </c>
      <c r="L688" s="365"/>
      <c r="M688" s="369">
        <v>46210.88608644676</v>
      </c>
      <c r="N688" s="363"/>
      <c r="O688" s="363"/>
      <c r="P688" s="370"/>
      <c r="Q688" s="363"/>
    </row>
    <row r="689">
      <c r="A689" s="363" t="s">
        <v>18</v>
      </c>
      <c r="B689" s="363" t="s">
        <v>19</v>
      </c>
      <c r="C689" s="363" t="s">
        <v>867</v>
      </c>
      <c r="D689" s="368">
        <v>46198.0</v>
      </c>
      <c r="E689" s="363" t="s">
        <v>2748</v>
      </c>
      <c r="F689" s="363" t="s">
        <v>2750</v>
      </c>
      <c r="G689" s="363" t="s">
        <v>2752</v>
      </c>
      <c r="H689" s="363" t="s">
        <v>2753</v>
      </c>
      <c r="I689" s="363" t="s">
        <v>2754</v>
      </c>
      <c r="J689" s="363" t="s">
        <v>2755</v>
      </c>
      <c r="K689" s="363" t="s">
        <v>2756</v>
      </c>
      <c r="L689" s="365"/>
      <c r="M689" s="369">
        <v>46211.70390663194</v>
      </c>
      <c r="N689" s="363"/>
      <c r="O689" s="363"/>
      <c r="P689" s="370"/>
      <c r="Q689" s="363"/>
    </row>
    <row r="690">
      <c r="A690" s="363" t="s">
        <v>22</v>
      </c>
      <c r="B690" s="363" t="s">
        <v>225</v>
      </c>
      <c r="C690" s="363" t="s">
        <v>867</v>
      </c>
      <c r="D690" s="368">
        <v>46209.0</v>
      </c>
      <c r="E690" s="363" t="s">
        <v>2764</v>
      </c>
      <c r="F690" s="363" t="s">
        <v>2766</v>
      </c>
      <c r="G690" s="363" t="s">
        <v>2768</v>
      </c>
      <c r="H690" s="363" t="s">
        <v>2770</v>
      </c>
      <c r="I690" s="363" t="s">
        <v>2317</v>
      </c>
      <c r="J690" s="363" t="s">
        <v>2773</v>
      </c>
      <c r="K690" s="363"/>
      <c r="L690" s="365"/>
      <c r="M690" s="369"/>
      <c r="N690" s="363"/>
      <c r="O690" s="363"/>
      <c r="P690" s="370"/>
      <c r="Q690" s="363"/>
    </row>
    <row r="691">
      <c r="A691" s="363" t="s">
        <v>18</v>
      </c>
      <c r="B691" s="363" t="s">
        <v>53</v>
      </c>
      <c r="C691" s="363" t="s">
        <v>867</v>
      </c>
      <c r="D691" s="368">
        <v>46211.0</v>
      </c>
      <c r="E691" s="363" t="s">
        <v>2778</v>
      </c>
      <c r="F691" s="363" t="s">
        <v>2780</v>
      </c>
      <c r="G691" s="363" t="s">
        <v>2783</v>
      </c>
      <c r="H691" s="363" t="s">
        <v>2785</v>
      </c>
      <c r="I691" s="363" t="s">
        <v>1155</v>
      </c>
      <c r="J691" s="363" t="s">
        <v>2786</v>
      </c>
      <c r="K691" s="363" t="s">
        <v>2787</v>
      </c>
      <c r="L691" s="365"/>
      <c r="M691" s="369">
        <v>46217.81526452546</v>
      </c>
      <c r="N691" s="363"/>
      <c r="O691" s="363"/>
      <c r="P691" s="370"/>
      <c r="Q691" s="363">
        <v>1.740800176E9</v>
      </c>
    </row>
    <row r="692">
      <c r="A692" s="363" t="s">
        <v>22</v>
      </c>
      <c r="B692" s="363" t="s">
        <v>225</v>
      </c>
      <c r="C692" s="363" t="s">
        <v>867</v>
      </c>
      <c r="D692" s="379">
        <v>46223.0</v>
      </c>
      <c r="E692" s="363" t="s">
        <v>1523</v>
      </c>
      <c r="F692" s="363" t="s">
        <v>1525</v>
      </c>
      <c r="G692" s="363" t="s">
        <v>1529</v>
      </c>
      <c r="H692" s="363" t="s">
        <v>1532</v>
      </c>
      <c r="I692" s="363" t="s">
        <v>2795</v>
      </c>
      <c r="J692" s="363" t="s">
        <v>2798</v>
      </c>
      <c r="K692" s="363"/>
      <c r="L692" s="363"/>
      <c r="M692" s="363"/>
      <c r="N692" s="363"/>
      <c r="O692" s="363"/>
      <c r="P692" s="363"/>
      <c r="Q692" s="363">
        <v>1.265249098E9</v>
      </c>
    </row>
    <row r="693">
      <c r="A693" s="363" t="s">
        <v>22</v>
      </c>
      <c r="B693" s="363" t="s">
        <v>23</v>
      </c>
      <c r="C693" s="363" t="s">
        <v>867</v>
      </c>
      <c r="D693" s="366">
        <v>46210.0</v>
      </c>
      <c r="E693" s="363" t="s">
        <v>2802</v>
      </c>
      <c r="F693" s="363" t="s">
        <v>2803</v>
      </c>
      <c r="G693" s="363" t="s">
        <v>2804</v>
      </c>
      <c r="H693" s="363" t="s">
        <v>2805</v>
      </c>
      <c r="I693" s="371" t="s">
        <v>843</v>
      </c>
      <c r="J693" s="363" t="s">
        <v>2812</v>
      </c>
      <c r="K693" s="363"/>
      <c r="L693" s="363"/>
      <c r="M693" s="363"/>
      <c r="N693" s="363"/>
      <c r="O693" s="363"/>
      <c r="P693" s="363"/>
      <c r="Q693" s="363">
        <v>1.730034315E9</v>
      </c>
    </row>
    <row r="694">
      <c r="A694" s="363" t="s">
        <v>62</v>
      </c>
      <c r="B694" s="363" t="s">
        <v>225</v>
      </c>
      <c r="C694" s="363" t="s">
        <v>867</v>
      </c>
      <c r="D694" s="368">
        <v>46094.0</v>
      </c>
      <c r="E694" s="363" t="s">
        <v>2819</v>
      </c>
      <c r="F694" s="363" t="s">
        <v>2821</v>
      </c>
      <c r="G694" s="363" t="s">
        <v>2822</v>
      </c>
      <c r="H694" s="363" t="s">
        <v>2823</v>
      </c>
      <c r="I694" s="363" t="s">
        <v>210</v>
      </c>
      <c r="J694" s="363" t="s">
        <v>2824</v>
      </c>
      <c r="K694" s="363" t="s">
        <v>2787</v>
      </c>
      <c r="L694" s="365"/>
      <c r="M694" s="369">
        <v>46099.799459560185</v>
      </c>
      <c r="N694" s="363"/>
      <c r="O694" s="363" t="b">
        <v>0</v>
      </c>
      <c r="P694" s="370"/>
      <c r="Q694" s="363">
        <v>1.154089241E9</v>
      </c>
    </row>
    <row r="695">
      <c r="A695" s="363"/>
      <c r="B695" s="363"/>
      <c r="C695" s="363"/>
      <c r="D695" s="368"/>
      <c r="E695" s="363"/>
      <c r="F695" s="363"/>
      <c r="G695" s="363"/>
      <c r="H695" s="363"/>
      <c r="I695" s="363"/>
      <c r="J695" s="363"/>
      <c r="K695" s="363"/>
      <c r="L695" s="365"/>
      <c r="M695" s="369"/>
      <c r="N695" s="363"/>
      <c r="O695" s="363"/>
      <c r="P695" s="370"/>
      <c r="Q695" s="363"/>
    </row>
    <row r="696">
      <c r="A696" s="363"/>
      <c r="B696" s="363"/>
      <c r="C696" s="363"/>
      <c r="D696" s="368"/>
      <c r="E696" s="363"/>
      <c r="F696" s="363"/>
      <c r="G696" s="363"/>
      <c r="H696" s="363"/>
      <c r="I696" s="363"/>
      <c r="J696" s="363"/>
      <c r="K696" s="363"/>
      <c r="L696" s="365"/>
      <c r="M696" s="369"/>
      <c r="N696" s="363"/>
      <c r="O696" s="363"/>
      <c r="P696" s="370"/>
      <c r="Q696" s="363"/>
    </row>
    <row r="697">
      <c r="A697" s="363"/>
      <c r="B697" s="363"/>
      <c r="C697" s="363"/>
      <c r="D697" s="368"/>
      <c r="E697" s="363"/>
      <c r="F697" s="363"/>
      <c r="G697" s="363"/>
      <c r="H697" s="363"/>
      <c r="I697" s="363"/>
      <c r="J697" s="363"/>
      <c r="K697" s="363"/>
      <c r="L697" s="365"/>
      <c r="M697" s="369"/>
      <c r="N697" s="363"/>
      <c r="O697" s="363"/>
      <c r="P697" s="370"/>
      <c r="Q697" s="363"/>
    </row>
    <row r="698">
      <c r="A698" s="363"/>
      <c r="B698" s="363"/>
      <c r="C698" s="363"/>
      <c r="D698" s="368"/>
      <c r="E698" s="363"/>
      <c r="F698" s="363"/>
      <c r="G698" s="363"/>
      <c r="H698" s="363"/>
      <c r="I698" s="363"/>
      <c r="J698" s="363"/>
      <c r="K698" s="363"/>
      <c r="L698" s="365"/>
      <c r="M698" s="369"/>
      <c r="N698" s="363"/>
      <c r="O698" s="363"/>
      <c r="P698" s="370"/>
      <c r="Q698" s="363"/>
    </row>
    <row r="699">
      <c r="A699" s="363"/>
      <c r="B699" s="363"/>
      <c r="C699" s="363"/>
      <c r="D699" s="368"/>
      <c r="E699" s="363"/>
      <c r="F699" s="363"/>
      <c r="G699" s="363"/>
      <c r="H699" s="363"/>
      <c r="I699" s="363"/>
      <c r="J699" s="363"/>
      <c r="K699" s="363"/>
      <c r="L699" s="365"/>
      <c r="M699" s="369"/>
      <c r="N699" s="363"/>
      <c r="O699" s="363"/>
      <c r="P699" s="370"/>
      <c r="Q699" s="363"/>
    </row>
    <row r="700">
      <c r="A700" s="363"/>
      <c r="B700" s="363"/>
      <c r="C700" s="363"/>
      <c r="D700" s="368"/>
      <c r="E700" s="363"/>
      <c r="F700" s="363"/>
      <c r="G700" s="363"/>
      <c r="H700" s="363"/>
      <c r="I700" s="363"/>
      <c r="J700" s="363"/>
      <c r="K700" s="363"/>
      <c r="L700" s="365"/>
      <c r="M700" s="369"/>
      <c r="N700" s="363"/>
      <c r="O700" s="363"/>
      <c r="P700" s="370"/>
      <c r="Q700" s="363"/>
    </row>
    <row r="701">
      <c r="A701" s="363"/>
      <c r="B701" s="363"/>
      <c r="C701" s="363"/>
      <c r="D701" s="368"/>
      <c r="E701" s="363"/>
      <c r="F701" s="363"/>
      <c r="G701" s="363"/>
      <c r="H701" s="363"/>
      <c r="I701" s="363"/>
      <c r="J701" s="363"/>
      <c r="K701" s="363"/>
      <c r="L701" s="365"/>
      <c r="M701" s="369"/>
      <c r="N701" s="363"/>
      <c r="O701" s="363"/>
      <c r="P701" s="370"/>
      <c r="Q701" s="363"/>
    </row>
    <row r="733">
      <c r="A733" s="363" t="str">
        <f t="array" ref="A733:P801">'Temporary Inactive'!A:P</f>
        <v>SUB</v>
      </c>
      <c r="B733" s="363" t="s">
        <v>1</v>
      </c>
      <c r="C733" s="363" t="s">
        <v>2</v>
      </c>
      <c r="D733" s="363" t="s">
        <v>3</v>
      </c>
      <c r="E733" s="363" t="s">
        <v>4</v>
      </c>
      <c r="F733" s="363" t="s">
        <v>5</v>
      </c>
      <c r="G733" s="364" t="s">
        <v>6</v>
      </c>
      <c r="H733" s="363" t="s">
        <v>7</v>
      </c>
      <c r="I733" s="363" t="s">
        <v>8</v>
      </c>
      <c r="J733" s="363" t="s">
        <v>9</v>
      </c>
      <c r="K733" s="363" t="s">
        <v>10</v>
      </c>
      <c r="L733" s="365" t="s">
        <v>11</v>
      </c>
      <c r="M733" s="363" t="s">
        <v>12</v>
      </c>
      <c r="N733" s="363" t="s">
        <v>13</v>
      </c>
      <c r="O733" s="363" t="s">
        <v>14</v>
      </c>
      <c r="P733" s="363" t="s">
        <v>15</v>
      </c>
    </row>
    <row r="734">
      <c r="A734" s="363" t="s">
        <v>22</v>
      </c>
      <c r="B734" s="363" t="s">
        <v>19</v>
      </c>
      <c r="C734" s="363" t="s">
        <v>222</v>
      </c>
      <c r="D734" s="368">
        <v>45714.0</v>
      </c>
      <c r="E734" s="363" t="s">
        <v>226</v>
      </c>
      <c r="F734" s="363" t="s">
        <v>227</v>
      </c>
      <c r="G734" s="363" t="s">
        <v>228</v>
      </c>
      <c r="H734" s="363" t="s">
        <v>229</v>
      </c>
      <c r="I734" s="363" t="s">
        <v>230</v>
      </c>
      <c r="J734" s="363" t="s">
        <v>237</v>
      </c>
      <c r="K734" s="363" t="s">
        <v>241</v>
      </c>
      <c r="L734" s="368"/>
      <c r="M734" s="368">
        <v>46099.906825972226</v>
      </c>
      <c r="N734" s="363"/>
      <c r="O734" s="363" t="b">
        <v>0</v>
      </c>
      <c r="P734" s="370"/>
    </row>
    <row r="735">
      <c r="A735" s="363" t="s">
        <v>22</v>
      </c>
      <c r="B735" s="363" t="s">
        <v>23</v>
      </c>
      <c r="C735" s="363" t="s">
        <v>222</v>
      </c>
      <c r="D735" s="368">
        <v>45929.0</v>
      </c>
      <c r="E735" s="363" t="s">
        <v>265</v>
      </c>
      <c r="F735" s="363" t="s">
        <v>267</v>
      </c>
      <c r="G735" s="363" t="s">
        <v>270</v>
      </c>
      <c r="H735" s="363" t="s">
        <v>271</v>
      </c>
      <c r="I735" s="363" t="s">
        <v>273</v>
      </c>
      <c r="J735" s="363" t="s">
        <v>277</v>
      </c>
      <c r="K735" s="363" t="s">
        <v>280</v>
      </c>
      <c r="L735" s="368"/>
      <c r="M735" s="368">
        <v>46225.69447989583</v>
      </c>
      <c r="N735" s="363"/>
      <c r="O735" s="363" t="b">
        <v>0</v>
      </c>
      <c r="P735" s="370"/>
    </row>
    <row r="736">
      <c r="A736" s="363" t="s">
        <v>22</v>
      </c>
      <c r="B736" s="363" t="s">
        <v>23</v>
      </c>
      <c r="C736" s="363" t="s">
        <v>296</v>
      </c>
      <c r="D736" s="368">
        <v>46031.0</v>
      </c>
      <c r="E736" s="363" t="s">
        <v>297</v>
      </c>
      <c r="F736" s="363" t="s">
        <v>298</v>
      </c>
      <c r="G736" s="363" t="s">
        <v>299</v>
      </c>
      <c r="H736" s="363" t="s">
        <v>300</v>
      </c>
      <c r="I736" s="363" t="s">
        <v>301</v>
      </c>
      <c r="J736" s="363" t="s">
        <v>302</v>
      </c>
      <c r="K736" s="363" t="s">
        <v>304</v>
      </c>
      <c r="L736" s="368"/>
      <c r="M736" s="369">
        <v>46087.85930653935</v>
      </c>
      <c r="N736" s="363"/>
      <c r="O736" s="363" t="b">
        <v>0</v>
      </c>
      <c r="P736" s="370"/>
    </row>
    <row r="737">
      <c r="A737" s="363" t="s">
        <v>117</v>
      </c>
      <c r="B737" s="363" t="s">
        <v>53</v>
      </c>
      <c r="C737" s="363"/>
      <c r="D737" s="368">
        <v>46001.0</v>
      </c>
      <c r="E737" s="363" t="s">
        <v>334</v>
      </c>
      <c r="F737" s="363" t="s">
        <v>336</v>
      </c>
      <c r="G737" s="363" t="s">
        <v>338</v>
      </c>
      <c r="H737" s="363" t="s">
        <v>339</v>
      </c>
      <c r="I737" s="363" t="s">
        <v>340</v>
      </c>
      <c r="J737" s="363" t="s">
        <v>342</v>
      </c>
      <c r="K737" s="363" t="s">
        <v>344</v>
      </c>
      <c r="L737" s="368"/>
      <c r="M737" s="369">
        <v>46058.82197443287</v>
      </c>
      <c r="N737" s="363"/>
      <c r="O737" s="363" t="b">
        <v>0</v>
      </c>
      <c r="P737" s="370"/>
    </row>
    <row r="738">
      <c r="A738" s="363" t="s">
        <v>117</v>
      </c>
      <c r="B738" s="363" t="s">
        <v>53</v>
      </c>
      <c r="C738" s="363" t="s">
        <v>360</v>
      </c>
      <c r="D738" s="368">
        <v>45974.0</v>
      </c>
      <c r="E738" s="363" t="s">
        <v>366</v>
      </c>
      <c r="F738" s="363" t="s">
        <v>368</v>
      </c>
      <c r="G738" s="363" t="s">
        <v>370</v>
      </c>
      <c r="H738" s="363" t="s">
        <v>372</v>
      </c>
      <c r="I738" s="363" t="s">
        <v>59</v>
      </c>
      <c r="J738" s="363" t="s">
        <v>374</v>
      </c>
      <c r="K738" s="363" t="s">
        <v>375</v>
      </c>
      <c r="L738" s="368"/>
      <c r="M738" s="369"/>
      <c r="N738" s="363"/>
      <c r="O738" s="363" t="b">
        <v>0</v>
      </c>
      <c r="P738" s="370"/>
    </row>
    <row r="739">
      <c r="A739" s="363" t="s">
        <v>17</v>
      </c>
      <c r="B739" s="363" t="s">
        <v>23</v>
      </c>
      <c r="C739" s="363" t="s">
        <v>360</v>
      </c>
      <c r="D739" s="368">
        <v>46048.0</v>
      </c>
      <c r="E739" s="363" t="s">
        <v>392</v>
      </c>
      <c r="F739" s="363" t="s">
        <v>393</v>
      </c>
      <c r="G739" s="363" t="s">
        <v>394</v>
      </c>
      <c r="H739" s="363" t="s">
        <v>396</v>
      </c>
      <c r="I739" s="363" t="s">
        <v>174</v>
      </c>
      <c r="J739" s="363" t="s">
        <v>400</v>
      </c>
      <c r="K739" s="363"/>
      <c r="L739" s="368"/>
      <c r="M739" s="369"/>
      <c r="N739" s="363" t="b">
        <v>0</v>
      </c>
      <c r="O739" s="363"/>
      <c r="P739" s="363" t="s">
        <v>406</v>
      </c>
    </row>
    <row r="740">
      <c r="A740" s="363" t="s">
        <v>22</v>
      </c>
      <c r="B740" s="363" t="s">
        <v>23</v>
      </c>
      <c r="C740" s="363" t="s">
        <v>360</v>
      </c>
      <c r="D740" s="368">
        <v>45776.0</v>
      </c>
      <c r="E740" s="363" t="s">
        <v>411</v>
      </c>
      <c r="F740" s="363" t="s">
        <v>412</v>
      </c>
      <c r="G740" s="363" t="s">
        <v>414</v>
      </c>
      <c r="H740" s="363" t="s">
        <v>415</v>
      </c>
      <c r="I740" s="363" t="s">
        <v>416</v>
      </c>
      <c r="J740" s="363" t="s">
        <v>418</v>
      </c>
      <c r="K740" s="363" t="s">
        <v>421</v>
      </c>
      <c r="L740" s="368"/>
      <c r="M740" s="369">
        <v>46058.77822115741</v>
      </c>
      <c r="N740" s="363"/>
      <c r="O740" s="363" t="b">
        <v>0</v>
      </c>
      <c r="P740" s="363"/>
    </row>
    <row r="741">
      <c r="A741" s="363" t="s">
        <v>17</v>
      </c>
      <c r="B741" s="363" t="s">
        <v>23</v>
      </c>
      <c r="C741" s="363" t="s">
        <v>360</v>
      </c>
      <c r="D741" s="368">
        <v>45719.0</v>
      </c>
      <c r="E741" s="363" t="s">
        <v>433</v>
      </c>
      <c r="F741" s="363" t="s">
        <v>436</v>
      </c>
      <c r="G741" s="363" t="s">
        <v>437</v>
      </c>
      <c r="H741" s="363"/>
      <c r="I741" s="363" t="s">
        <v>140</v>
      </c>
      <c r="J741" s="363" t="s">
        <v>439</v>
      </c>
      <c r="K741" s="363" t="s">
        <v>440</v>
      </c>
      <c r="L741" s="368"/>
      <c r="M741" s="369">
        <v>46099.912788912035</v>
      </c>
      <c r="N741" s="363"/>
      <c r="O741" s="363" t="b">
        <v>0</v>
      </c>
      <c r="P741" s="363"/>
    </row>
    <row r="742">
      <c r="A742" s="363" t="s">
        <v>18</v>
      </c>
      <c r="B742" s="363" t="s">
        <v>23</v>
      </c>
      <c r="C742" s="363" t="s">
        <v>360</v>
      </c>
      <c r="D742" s="368">
        <v>45980.0</v>
      </c>
      <c r="E742" s="363" t="s">
        <v>449</v>
      </c>
      <c r="F742" s="363" t="s">
        <v>450</v>
      </c>
      <c r="G742" s="363" t="s">
        <v>451</v>
      </c>
      <c r="H742" s="363" t="s">
        <v>452</v>
      </c>
      <c r="I742" s="363" t="s">
        <v>453</v>
      </c>
      <c r="J742" s="363" t="s">
        <v>454</v>
      </c>
      <c r="K742" s="363" t="s">
        <v>455</v>
      </c>
      <c r="L742" s="368"/>
      <c r="M742" s="369">
        <v>46099.84558116898</v>
      </c>
      <c r="N742" s="363"/>
      <c r="O742" s="363" t="b">
        <v>0</v>
      </c>
      <c r="P742" s="363"/>
    </row>
    <row r="743">
      <c r="A743" s="363" t="s">
        <v>18</v>
      </c>
      <c r="B743" s="363" t="s">
        <v>225</v>
      </c>
      <c r="C743" s="363" t="s">
        <v>360</v>
      </c>
      <c r="D743" s="368">
        <v>46056.0</v>
      </c>
      <c r="E743" s="363" t="s">
        <v>463</v>
      </c>
      <c r="F743" s="363" t="s">
        <v>465</v>
      </c>
      <c r="G743" s="363" t="s">
        <v>467</v>
      </c>
      <c r="H743" s="363" t="s">
        <v>470</v>
      </c>
      <c r="I743" s="363" t="s">
        <v>472</v>
      </c>
      <c r="J743" s="363" t="s">
        <v>473</v>
      </c>
      <c r="K743" s="363" t="s">
        <v>475</v>
      </c>
      <c r="L743" s="368"/>
      <c r="M743" s="369">
        <v>46216.93474370371</v>
      </c>
      <c r="N743" s="363"/>
      <c r="O743" s="363" t="b">
        <v>0</v>
      </c>
      <c r="P743" s="363"/>
    </row>
    <row r="744">
      <c r="A744" s="363" t="s">
        <v>62</v>
      </c>
      <c r="B744" s="363" t="s">
        <v>225</v>
      </c>
      <c r="C744" s="363" t="s">
        <v>360</v>
      </c>
      <c r="D744" s="368">
        <v>46043.0</v>
      </c>
      <c r="E744" s="363" t="s">
        <v>480</v>
      </c>
      <c r="F744" s="363" t="s">
        <v>483</v>
      </c>
      <c r="G744" s="363" t="s">
        <v>484</v>
      </c>
      <c r="H744" s="363" t="s">
        <v>487</v>
      </c>
      <c r="I744" s="363" t="s">
        <v>490</v>
      </c>
      <c r="J744" s="363" t="s">
        <v>493</v>
      </c>
      <c r="K744" s="363" t="s">
        <v>496</v>
      </c>
      <c r="L744" s="368"/>
      <c r="M744" s="369"/>
      <c r="N744" s="363"/>
      <c r="O744" s="363" t="b">
        <v>0</v>
      </c>
      <c r="P744" s="363"/>
    </row>
    <row r="745">
      <c r="A745" s="363" t="s">
        <v>62</v>
      </c>
      <c r="B745" s="363" t="s">
        <v>225</v>
      </c>
      <c r="C745" s="363" t="s">
        <v>360</v>
      </c>
      <c r="D745" s="368">
        <v>46035.0</v>
      </c>
      <c r="E745" s="363" t="s">
        <v>500</v>
      </c>
      <c r="F745" s="363" t="s">
        <v>501</v>
      </c>
      <c r="G745" s="363" t="s">
        <v>502</v>
      </c>
      <c r="H745" s="363" t="s">
        <v>503</v>
      </c>
      <c r="I745" s="363" t="s">
        <v>269</v>
      </c>
      <c r="J745" s="363" t="s">
        <v>504</v>
      </c>
      <c r="K745" s="363" t="s">
        <v>505</v>
      </c>
      <c r="L745" s="368"/>
      <c r="M745" s="369"/>
      <c r="N745" s="363"/>
      <c r="O745" s="363" t="b">
        <v>0</v>
      </c>
      <c r="P745" s="363"/>
    </row>
    <row r="746">
      <c r="A746" s="363" t="s">
        <v>117</v>
      </c>
      <c r="B746" s="363" t="s">
        <v>19</v>
      </c>
      <c r="C746" s="363" t="s">
        <v>360</v>
      </c>
      <c r="D746" s="368">
        <v>45995.0</v>
      </c>
      <c r="E746" s="363" t="s">
        <v>519</v>
      </c>
      <c r="F746" s="363" t="s">
        <v>521</v>
      </c>
      <c r="G746" s="363" t="s">
        <v>522</v>
      </c>
      <c r="H746" s="363" t="s">
        <v>523</v>
      </c>
      <c r="I746" s="363"/>
      <c r="J746" s="363" t="s">
        <v>524</v>
      </c>
      <c r="K746" s="363" t="s">
        <v>525</v>
      </c>
      <c r="L746" s="368"/>
      <c r="M746" s="369"/>
      <c r="N746" s="363"/>
      <c r="O746" s="363" t="b">
        <v>0</v>
      </c>
      <c r="P746" s="363"/>
    </row>
    <row r="747">
      <c r="A747" s="363" t="s">
        <v>117</v>
      </c>
      <c r="B747" s="363" t="s">
        <v>53</v>
      </c>
      <c r="C747" s="363" t="s">
        <v>360</v>
      </c>
      <c r="D747" s="368">
        <v>45995.0</v>
      </c>
      <c r="E747" s="363" t="s">
        <v>531</v>
      </c>
      <c r="F747" s="363" t="s">
        <v>535</v>
      </c>
      <c r="G747" s="363" t="s">
        <v>538</v>
      </c>
      <c r="H747" s="363" t="s">
        <v>541</v>
      </c>
      <c r="I747" s="363" t="s">
        <v>544</v>
      </c>
      <c r="J747" s="363" t="s">
        <v>549</v>
      </c>
      <c r="K747" s="363" t="s">
        <v>552</v>
      </c>
      <c r="L747" s="368"/>
      <c r="M747" s="369">
        <v>46063.68051607639</v>
      </c>
      <c r="N747" s="363"/>
      <c r="O747" s="363" t="b">
        <v>0</v>
      </c>
      <c r="P747" s="363"/>
    </row>
    <row r="748">
      <c r="A748" s="363" t="s">
        <v>17</v>
      </c>
      <c r="B748" s="363" t="s">
        <v>23</v>
      </c>
      <c r="C748" s="363" t="s">
        <v>360</v>
      </c>
      <c r="D748" s="368">
        <v>46034.0</v>
      </c>
      <c r="E748" s="363" t="s">
        <v>553</v>
      </c>
      <c r="F748" s="363" t="s">
        <v>554</v>
      </c>
      <c r="G748" s="363" t="s">
        <v>555</v>
      </c>
      <c r="H748" s="363" t="s">
        <v>556</v>
      </c>
      <c r="I748" s="363" t="s">
        <v>558</v>
      </c>
      <c r="J748" s="363" t="s">
        <v>561</v>
      </c>
      <c r="K748" s="363" t="s">
        <v>564</v>
      </c>
      <c r="L748" s="368"/>
      <c r="M748" s="369">
        <v>46134.70640445602</v>
      </c>
      <c r="N748" s="363"/>
      <c r="O748" s="363" t="b">
        <v>0</v>
      </c>
      <c r="P748" s="363"/>
    </row>
    <row r="749">
      <c r="A749" s="363" t="s">
        <v>22</v>
      </c>
      <c r="B749" s="363" t="s">
        <v>19</v>
      </c>
      <c r="C749" s="363" t="s">
        <v>360</v>
      </c>
      <c r="D749" s="368">
        <v>45692.0</v>
      </c>
      <c r="E749" s="363" t="s">
        <v>577</v>
      </c>
      <c r="F749" s="363" t="s">
        <v>578</v>
      </c>
      <c r="G749" s="363" t="s">
        <v>579</v>
      </c>
      <c r="H749" s="363" t="s">
        <v>580</v>
      </c>
      <c r="I749" s="363" t="s">
        <v>581</v>
      </c>
      <c r="J749" s="363" t="s">
        <v>582</v>
      </c>
      <c r="K749" s="363" t="s">
        <v>583</v>
      </c>
      <c r="L749" s="368"/>
      <c r="M749" s="369">
        <v>46149.69138157407</v>
      </c>
      <c r="N749" s="363"/>
      <c r="O749" s="363" t="b">
        <v>0</v>
      </c>
      <c r="P749" s="363"/>
    </row>
    <row r="750">
      <c r="A750" s="363" t="s">
        <v>410</v>
      </c>
      <c r="B750" s="363" t="s">
        <v>53</v>
      </c>
      <c r="C750" s="363" t="s">
        <v>360</v>
      </c>
      <c r="D750" s="368">
        <v>45971.0</v>
      </c>
      <c r="E750" s="363" t="s">
        <v>591</v>
      </c>
      <c r="F750" s="363" t="s">
        <v>593</v>
      </c>
      <c r="G750" s="363" t="s">
        <v>594</v>
      </c>
      <c r="H750" s="363" t="s">
        <v>596</v>
      </c>
      <c r="I750" s="363" t="s">
        <v>597</v>
      </c>
      <c r="J750" s="363" t="s">
        <v>598</v>
      </c>
      <c r="K750" s="363" t="s">
        <v>599</v>
      </c>
      <c r="L750" s="368"/>
      <c r="M750" s="369"/>
      <c r="N750" s="363"/>
      <c r="O750" s="363" t="b">
        <v>0</v>
      </c>
      <c r="P750" s="363"/>
    </row>
    <row r="751">
      <c r="A751" s="363" t="s">
        <v>18</v>
      </c>
      <c r="B751" s="363" t="s">
        <v>19</v>
      </c>
      <c r="C751" s="363" t="s">
        <v>601</v>
      </c>
      <c r="D751" s="368">
        <v>46009.0</v>
      </c>
      <c r="E751" s="363" t="s">
        <v>605</v>
      </c>
      <c r="F751" s="363" t="s">
        <v>608</v>
      </c>
      <c r="G751" s="363" t="s">
        <v>611</v>
      </c>
      <c r="H751" s="363" t="s">
        <v>614</v>
      </c>
      <c r="I751" s="363" t="s">
        <v>616</v>
      </c>
      <c r="J751" s="363" t="s">
        <v>619</v>
      </c>
      <c r="K751" s="363" t="s">
        <v>620</v>
      </c>
      <c r="L751" s="368"/>
      <c r="M751" s="369">
        <v>46114.7671092824</v>
      </c>
      <c r="N751" s="363"/>
      <c r="O751" s="363" t="b">
        <v>0</v>
      </c>
      <c r="P751" s="363"/>
    </row>
    <row r="752">
      <c r="A752" s="363" t="s">
        <v>621</v>
      </c>
      <c r="B752" s="363" t="s">
        <v>23</v>
      </c>
      <c r="C752" s="363" t="s">
        <v>601</v>
      </c>
      <c r="D752" s="368">
        <v>45798.0</v>
      </c>
      <c r="E752" s="363" t="s">
        <v>625</v>
      </c>
      <c r="F752" s="363" t="s">
        <v>627</v>
      </c>
      <c r="G752" s="363"/>
      <c r="H752" s="363"/>
      <c r="I752" s="363" t="s">
        <v>630</v>
      </c>
      <c r="J752" s="363" t="s">
        <v>631</v>
      </c>
      <c r="K752" s="363"/>
      <c r="L752" s="368"/>
      <c r="M752" s="369"/>
      <c r="N752" s="363"/>
      <c r="O752" s="363" t="b">
        <v>0</v>
      </c>
      <c r="P752" s="363"/>
    </row>
    <row r="753">
      <c r="A753" s="363" t="s">
        <v>633</v>
      </c>
      <c r="B753" s="363" t="s">
        <v>53</v>
      </c>
      <c r="C753" s="363" t="s">
        <v>601</v>
      </c>
      <c r="D753" s="368">
        <v>45729.0</v>
      </c>
      <c r="E753" s="363" t="s">
        <v>637</v>
      </c>
      <c r="F753" s="363" t="s">
        <v>638</v>
      </c>
      <c r="G753" s="363" t="s">
        <v>640</v>
      </c>
      <c r="H753" s="363" t="s">
        <v>642</v>
      </c>
      <c r="I753" s="363" t="s">
        <v>581</v>
      </c>
      <c r="J753" s="363" t="s">
        <v>643</v>
      </c>
      <c r="K753" s="363" t="s">
        <v>645</v>
      </c>
      <c r="L753" s="368"/>
      <c r="M753" s="369"/>
      <c r="N753" s="363"/>
      <c r="O753" s="363" t="b">
        <v>0</v>
      </c>
      <c r="P753" s="363"/>
    </row>
    <row r="754">
      <c r="A754" s="363" t="s">
        <v>646</v>
      </c>
      <c r="B754" s="363" t="s">
        <v>23</v>
      </c>
      <c r="C754" s="363" t="s">
        <v>601</v>
      </c>
      <c r="D754" s="368">
        <v>45917.0</v>
      </c>
      <c r="E754" s="363" t="s">
        <v>650</v>
      </c>
      <c r="F754" s="363" t="s">
        <v>652</v>
      </c>
      <c r="G754" s="363" t="s">
        <v>653</v>
      </c>
      <c r="H754" s="363" t="s">
        <v>654</v>
      </c>
      <c r="I754" s="363" t="s">
        <v>655</v>
      </c>
      <c r="J754" s="363" t="s">
        <v>656</v>
      </c>
      <c r="K754" s="363" t="s">
        <v>657</v>
      </c>
      <c r="L754" s="368"/>
      <c r="M754" s="369"/>
      <c r="N754" s="363"/>
      <c r="O754" s="363" t="b">
        <v>0</v>
      </c>
      <c r="P754" s="363"/>
    </row>
    <row r="755">
      <c r="A755" s="363" t="s">
        <v>646</v>
      </c>
      <c r="B755" s="363" t="s">
        <v>19</v>
      </c>
      <c r="C755" s="363" t="s">
        <v>601</v>
      </c>
      <c r="D755" s="368">
        <v>45916.0</v>
      </c>
      <c r="E755" s="363" t="s">
        <v>658</v>
      </c>
      <c r="F755" s="363" t="s">
        <v>659</v>
      </c>
      <c r="G755" s="363" t="s">
        <v>660</v>
      </c>
      <c r="H755" s="363" t="s">
        <v>661</v>
      </c>
      <c r="I755" s="363"/>
      <c r="J755" s="363" t="s">
        <v>662</v>
      </c>
      <c r="K755" s="363" t="s">
        <v>663</v>
      </c>
      <c r="L755" s="368"/>
      <c r="M755" s="369"/>
      <c r="N755" s="363"/>
      <c r="O755" s="363" t="b">
        <v>0</v>
      </c>
      <c r="P755" s="363"/>
    </row>
    <row r="756">
      <c r="A756" s="363" t="s">
        <v>646</v>
      </c>
      <c r="B756" s="363" t="s">
        <v>19</v>
      </c>
      <c r="C756" s="363" t="s">
        <v>601</v>
      </c>
      <c r="D756" s="368">
        <v>45918.0</v>
      </c>
      <c r="E756" s="363" t="s">
        <v>664</v>
      </c>
      <c r="F756" s="363" t="s">
        <v>665</v>
      </c>
      <c r="G756" s="363" t="s">
        <v>666</v>
      </c>
      <c r="H756" s="363" t="s">
        <v>668</v>
      </c>
      <c r="I756" s="363" t="s">
        <v>669</v>
      </c>
      <c r="J756" s="363" t="s">
        <v>671</v>
      </c>
      <c r="K756" s="363" t="s">
        <v>672</v>
      </c>
      <c r="L756" s="368"/>
      <c r="M756" s="369"/>
      <c r="N756" s="363"/>
      <c r="O756" s="363" t="b">
        <v>0</v>
      </c>
      <c r="P756" s="363"/>
    </row>
    <row r="757">
      <c r="A757" s="363" t="s">
        <v>646</v>
      </c>
      <c r="B757" s="363" t="s">
        <v>23</v>
      </c>
      <c r="C757" s="363" t="s">
        <v>601</v>
      </c>
      <c r="D757" s="368">
        <v>45905.0</v>
      </c>
      <c r="E757" s="363"/>
      <c r="F757" s="363" t="s">
        <v>673</v>
      </c>
      <c r="G757" s="363" t="s">
        <v>675</v>
      </c>
      <c r="H757" s="363"/>
      <c r="I757" s="363" t="s">
        <v>677</v>
      </c>
      <c r="J757" s="363"/>
      <c r="K757" s="363"/>
      <c r="L757" s="368"/>
      <c r="M757" s="369"/>
      <c r="N757" s="363"/>
      <c r="O757" s="363" t="b">
        <v>0</v>
      </c>
      <c r="P757" s="363"/>
    </row>
    <row r="758">
      <c r="A758" s="363" t="s">
        <v>646</v>
      </c>
      <c r="B758" s="363" t="s">
        <v>53</v>
      </c>
      <c r="C758" s="363" t="s">
        <v>601</v>
      </c>
      <c r="D758" s="368">
        <v>45909.0</v>
      </c>
      <c r="E758" s="363" t="s">
        <v>681</v>
      </c>
      <c r="F758" s="363" t="s">
        <v>682</v>
      </c>
      <c r="G758" s="363"/>
      <c r="H758" s="363" t="s">
        <v>683</v>
      </c>
      <c r="I758" s="363" t="s">
        <v>684</v>
      </c>
      <c r="J758" s="363"/>
      <c r="K758" s="363" t="s">
        <v>685</v>
      </c>
      <c r="L758" s="368"/>
      <c r="M758" s="369"/>
      <c r="N758" s="363"/>
      <c r="O758" s="363" t="b">
        <v>0</v>
      </c>
      <c r="P758" s="363"/>
    </row>
    <row r="759">
      <c r="A759" s="363" t="s">
        <v>646</v>
      </c>
      <c r="B759" s="363" t="s">
        <v>53</v>
      </c>
      <c r="C759" s="363" t="s">
        <v>601</v>
      </c>
      <c r="D759" s="368">
        <v>45911.0</v>
      </c>
      <c r="E759" s="363" t="s">
        <v>688</v>
      </c>
      <c r="F759" s="363" t="s">
        <v>689</v>
      </c>
      <c r="G759" s="363" t="s">
        <v>690</v>
      </c>
      <c r="H759" s="363" t="s">
        <v>691</v>
      </c>
      <c r="I759" s="363" t="s">
        <v>669</v>
      </c>
      <c r="J759" s="363" t="s">
        <v>692</v>
      </c>
      <c r="K759" s="363" t="s">
        <v>693</v>
      </c>
      <c r="L759" s="368"/>
      <c r="M759" s="369"/>
      <c r="N759" s="363"/>
      <c r="O759" s="363" t="b">
        <v>0</v>
      </c>
      <c r="P759" s="363"/>
    </row>
    <row r="760">
      <c r="A760" s="363" t="s">
        <v>621</v>
      </c>
      <c r="B760" s="363" t="s">
        <v>23</v>
      </c>
      <c r="C760" s="363" t="s">
        <v>601</v>
      </c>
      <c r="D760" s="368">
        <v>45821.0</v>
      </c>
      <c r="E760" s="363" t="s">
        <v>699</v>
      </c>
      <c r="F760" s="363" t="s">
        <v>700</v>
      </c>
      <c r="G760" s="363" t="s">
        <v>701</v>
      </c>
      <c r="H760" s="363" t="s">
        <v>702</v>
      </c>
      <c r="I760" s="363" t="s">
        <v>409</v>
      </c>
      <c r="J760" s="363" t="s">
        <v>703</v>
      </c>
      <c r="K760" s="363" t="s">
        <v>704</v>
      </c>
      <c r="L760" s="368"/>
      <c r="M760" s="369"/>
      <c r="N760" s="363"/>
      <c r="O760" s="363" t="b">
        <v>0</v>
      </c>
      <c r="P760" s="363"/>
    </row>
    <row r="761">
      <c r="A761" s="363" t="s">
        <v>621</v>
      </c>
      <c r="B761" s="363" t="s">
        <v>53</v>
      </c>
      <c r="C761" s="363" t="s">
        <v>601</v>
      </c>
      <c r="D761" s="368">
        <v>45819.0</v>
      </c>
      <c r="E761" s="363" t="s">
        <v>705</v>
      </c>
      <c r="F761" s="363" t="s">
        <v>706</v>
      </c>
      <c r="G761" s="363" t="s">
        <v>707</v>
      </c>
      <c r="H761" s="363"/>
      <c r="I761" s="363"/>
      <c r="J761" s="363" t="s">
        <v>710</v>
      </c>
      <c r="K761" s="363" t="s">
        <v>712</v>
      </c>
      <c r="L761" s="368"/>
      <c r="M761" s="369"/>
      <c r="N761" s="363"/>
      <c r="O761" s="363" t="b">
        <v>0</v>
      </c>
      <c r="P761" s="363"/>
    </row>
    <row r="762">
      <c r="A762" s="363" t="s">
        <v>621</v>
      </c>
      <c r="B762" s="363" t="s">
        <v>53</v>
      </c>
      <c r="C762" s="363" t="s">
        <v>601</v>
      </c>
      <c r="D762" s="368">
        <v>45819.0</v>
      </c>
      <c r="E762" s="363" t="s">
        <v>715</v>
      </c>
      <c r="F762" s="363" t="s">
        <v>716</v>
      </c>
      <c r="G762" s="363" t="s">
        <v>717</v>
      </c>
      <c r="H762" s="363" t="s">
        <v>718</v>
      </c>
      <c r="I762" s="363" t="s">
        <v>719</v>
      </c>
      <c r="J762" s="363" t="s">
        <v>720</v>
      </c>
      <c r="K762" s="363" t="s">
        <v>721</v>
      </c>
      <c r="L762" s="368"/>
      <c r="M762" s="369"/>
      <c r="N762" s="363"/>
      <c r="O762" s="363" t="b">
        <v>0</v>
      </c>
      <c r="P762" s="363"/>
    </row>
    <row r="763">
      <c r="A763" s="363" t="s">
        <v>621</v>
      </c>
      <c r="B763" s="363" t="s">
        <v>53</v>
      </c>
      <c r="C763" s="363" t="s">
        <v>601</v>
      </c>
      <c r="D763" s="368">
        <v>45812.0</v>
      </c>
      <c r="E763" s="363" t="s">
        <v>723</v>
      </c>
      <c r="F763" s="363" t="s">
        <v>725</v>
      </c>
      <c r="G763" s="363" t="s">
        <v>727</v>
      </c>
      <c r="H763" s="363"/>
      <c r="I763" s="363"/>
      <c r="J763" s="363" t="s">
        <v>729</v>
      </c>
      <c r="K763" s="363" t="s">
        <v>731</v>
      </c>
      <c r="L763" s="368"/>
      <c r="M763" s="369"/>
      <c r="N763" s="363"/>
      <c r="O763" s="363" t="b">
        <v>0</v>
      </c>
      <c r="P763" s="363"/>
    </row>
    <row r="764">
      <c r="A764" s="363" t="s">
        <v>621</v>
      </c>
      <c r="B764" s="363" t="s">
        <v>23</v>
      </c>
      <c r="C764" s="363" t="s">
        <v>601</v>
      </c>
      <c r="D764" s="368">
        <v>45812.0</v>
      </c>
      <c r="E764" s="363" t="s">
        <v>732</v>
      </c>
      <c r="F764" s="363" t="s">
        <v>733</v>
      </c>
      <c r="G764" s="363" t="s">
        <v>734</v>
      </c>
      <c r="H764" s="363"/>
      <c r="I764" s="363" t="s">
        <v>735</v>
      </c>
      <c r="J764" s="363" t="s">
        <v>736</v>
      </c>
      <c r="K764" s="363" t="s">
        <v>737</v>
      </c>
      <c r="L764" s="368"/>
      <c r="M764" s="369"/>
      <c r="N764" s="363"/>
      <c r="O764" s="363" t="b">
        <v>0</v>
      </c>
      <c r="P764" s="363"/>
    </row>
    <row r="765">
      <c r="A765" s="363" t="s">
        <v>621</v>
      </c>
      <c r="B765" s="363" t="s">
        <v>23</v>
      </c>
      <c r="C765" s="363" t="s">
        <v>601</v>
      </c>
      <c r="D765" s="368">
        <v>45810.0</v>
      </c>
      <c r="E765" s="363" t="s">
        <v>742</v>
      </c>
      <c r="F765" s="363" t="s">
        <v>743</v>
      </c>
      <c r="G765" s="363" t="s">
        <v>744</v>
      </c>
      <c r="H765" s="363" t="s">
        <v>746</v>
      </c>
      <c r="I765" s="363" t="s">
        <v>747</v>
      </c>
      <c r="J765" s="363" t="s">
        <v>748</v>
      </c>
      <c r="K765" s="363" t="s">
        <v>749</v>
      </c>
      <c r="L765" s="368"/>
      <c r="M765" s="369"/>
      <c r="N765" s="363"/>
      <c r="O765" s="363" t="b">
        <v>0</v>
      </c>
      <c r="P765" s="363"/>
    </row>
    <row r="766">
      <c r="A766" s="363" t="s">
        <v>621</v>
      </c>
      <c r="B766" s="363" t="s">
        <v>19</v>
      </c>
      <c r="C766" s="363" t="s">
        <v>601</v>
      </c>
      <c r="D766" s="368">
        <v>45810.0</v>
      </c>
      <c r="E766" s="363" t="s">
        <v>751</v>
      </c>
      <c r="F766" s="363" t="s">
        <v>752</v>
      </c>
      <c r="G766" s="363" t="s">
        <v>753</v>
      </c>
      <c r="H766" s="363" t="s">
        <v>754</v>
      </c>
      <c r="I766" s="363"/>
      <c r="J766" s="363" t="s">
        <v>755</v>
      </c>
      <c r="K766" s="363" t="s">
        <v>756</v>
      </c>
      <c r="L766" s="368"/>
      <c r="M766" s="369"/>
      <c r="N766" s="363"/>
      <c r="O766" s="363" t="b">
        <v>0</v>
      </c>
      <c r="P766" s="363"/>
    </row>
    <row r="767">
      <c r="A767" s="363" t="s">
        <v>621</v>
      </c>
      <c r="B767" s="363" t="s">
        <v>23</v>
      </c>
      <c r="C767" s="363" t="s">
        <v>601</v>
      </c>
      <c r="D767" s="368">
        <v>45806.0</v>
      </c>
      <c r="E767" s="363" t="s">
        <v>758</v>
      </c>
      <c r="F767" s="363" t="s">
        <v>759</v>
      </c>
      <c r="G767" s="363" t="s">
        <v>760</v>
      </c>
      <c r="H767" s="363" t="s">
        <v>761</v>
      </c>
      <c r="I767" s="363" t="s">
        <v>762</v>
      </c>
      <c r="J767" s="363" t="s">
        <v>763</v>
      </c>
      <c r="K767" s="363" t="s">
        <v>764</v>
      </c>
      <c r="L767" s="368"/>
      <c r="M767" s="369"/>
      <c r="N767" s="363"/>
      <c r="O767" s="363" t="b">
        <v>0</v>
      </c>
      <c r="P767" s="363"/>
    </row>
    <row r="768">
      <c r="A768" s="363" t="s">
        <v>621</v>
      </c>
      <c r="B768" s="363" t="s">
        <v>53</v>
      </c>
      <c r="C768" s="363" t="s">
        <v>601</v>
      </c>
      <c r="D768" s="368">
        <v>45805.0</v>
      </c>
      <c r="E768" s="363" t="s">
        <v>765</v>
      </c>
      <c r="F768" s="363" t="s">
        <v>766</v>
      </c>
      <c r="G768" s="363" t="s">
        <v>767</v>
      </c>
      <c r="H768" s="363" t="s">
        <v>768</v>
      </c>
      <c r="I768" s="363"/>
      <c r="J768" s="363" t="s">
        <v>769</v>
      </c>
      <c r="K768" s="363"/>
      <c r="L768" s="368"/>
      <c r="M768" s="369"/>
      <c r="N768" s="363"/>
      <c r="O768" s="363" t="b">
        <v>0</v>
      </c>
      <c r="P768" s="363"/>
    </row>
    <row r="769">
      <c r="A769" s="363" t="s">
        <v>621</v>
      </c>
      <c r="B769" s="363" t="s">
        <v>23</v>
      </c>
      <c r="C769" s="363" t="s">
        <v>601</v>
      </c>
      <c r="D769" s="368">
        <v>45799.0</v>
      </c>
      <c r="E769" s="363" t="s">
        <v>770</v>
      </c>
      <c r="F769" s="363" t="s">
        <v>771</v>
      </c>
      <c r="G769" s="363" t="s">
        <v>772</v>
      </c>
      <c r="H769" s="363" t="s">
        <v>773</v>
      </c>
      <c r="I769" s="363" t="s">
        <v>774</v>
      </c>
      <c r="J769" s="363" t="s">
        <v>775</v>
      </c>
      <c r="K769" s="363" t="s">
        <v>776</v>
      </c>
      <c r="L769" s="368"/>
      <c r="M769" s="369"/>
      <c r="N769" s="363"/>
      <c r="O769" s="363" t="b">
        <v>0</v>
      </c>
      <c r="P769" s="363"/>
    </row>
    <row r="770">
      <c r="A770" s="363" t="s">
        <v>621</v>
      </c>
      <c r="B770" s="363" t="s">
        <v>23</v>
      </c>
      <c r="C770" s="363" t="s">
        <v>601</v>
      </c>
      <c r="D770" s="368">
        <v>45799.0</v>
      </c>
      <c r="E770" s="363" t="s">
        <v>777</v>
      </c>
      <c r="F770" s="363" t="s">
        <v>778</v>
      </c>
      <c r="G770" s="363" t="s">
        <v>779</v>
      </c>
      <c r="H770" s="363"/>
      <c r="I770" s="363" t="s">
        <v>780</v>
      </c>
      <c r="J770" s="363" t="s">
        <v>781</v>
      </c>
      <c r="K770" s="363" t="s">
        <v>64</v>
      </c>
      <c r="L770" s="368"/>
      <c r="M770" s="369"/>
      <c r="N770" s="363"/>
      <c r="O770" s="363" t="b">
        <v>0</v>
      </c>
      <c r="P770" s="363"/>
    </row>
    <row r="771">
      <c r="A771" s="363" t="s">
        <v>621</v>
      </c>
      <c r="B771" s="363" t="s">
        <v>23</v>
      </c>
      <c r="C771" s="363" t="s">
        <v>601</v>
      </c>
      <c r="D771" s="368">
        <v>45799.0</v>
      </c>
      <c r="E771" s="363" t="s">
        <v>782</v>
      </c>
      <c r="F771" s="363" t="s">
        <v>783</v>
      </c>
      <c r="G771" s="363" t="s">
        <v>784</v>
      </c>
      <c r="H771" s="363" t="s">
        <v>785</v>
      </c>
      <c r="I771" s="363" t="s">
        <v>786</v>
      </c>
      <c r="J771" s="363" t="s">
        <v>787</v>
      </c>
      <c r="K771" s="363" t="s">
        <v>788</v>
      </c>
      <c r="L771" s="368"/>
      <c r="M771" s="369"/>
      <c r="N771" s="363"/>
      <c r="O771" s="363" t="b">
        <v>0</v>
      </c>
      <c r="P771" s="363"/>
    </row>
    <row r="772">
      <c r="A772" s="363" t="s">
        <v>789</v>
      </c>
      <c r="B772" s="363" t="s">
        <v>23</v>
      </c>
      <c r="C772" s="363" t="s">
        <v>601</v>
      </c>
      <c r="D772" s="368">
        <v>45910.0</v>
      </c>
      <c r="E772" s="363" t="s">
        <v>790</v>
      </c>
      <c r="F772" s="363" t="s">
        <v>791</v>
      </c>
      <c r="G772" s="363"/>
      <c r="H772" s="363" t="s">
        <v>792</v>
      </c>
      <c r="I772" s="363" t="s">
        <v>156</v>
      </c>
      <c r="J772" s="363" t="s">
        <v>793</v>
      </c>
      <c r="K772" s="363"/>
      <c r="L772" s="368"/>
      <c r="M772" s="369"/>
      <c r="N772" s="363"/>
      <c r="O772" s="363" t="b">
        <v>0</v>
      </c>
      <c r="P772" s="363"/>
    </row>
    <row r="773">
      <c r="A773" s="363" t="s">
        <v>794</v>
      </c>
      <c r="B773" s="363" t="s">
        <v>53</v>
      </c>
      <c r="C773" s="363" t="s">
        <v>601</v>
      </c>
      <c r="D773" s="368">
        <v>45918.0</v>
      </c>
      <c r="E773" s="363" t="s">
        <v>795</v>
      </c>
      <c r="F773" s="363" t="s">
        <v>797</v>
      </c>
      <c r="G773" s="363" t="s">
        <v>799</v>
      </c>
      <c r="H773" s="363"/>
      <c r="I773" s="363" t="s">
        <v>801</v>
      </c>
      <c r="J773" s="363" t="s">
        <v>802</v>
      </c>
      <c r="K773" s="363" t="s">
        <v>803</v>
      </c>
      <c r="L773" s="368"/>
      <c r="M773" s="369"/>
      <c r="N773" s="363"/>
      <c r="O773" s="363" t="b">
        <v>0</v>
      </c>
      <c r="P773" s="363"/>
    </row>
    <row r="774">
      <c r="A774" s="363" t="s">
        <v>805</v>
      </c>
      <c r="B774" s="363" t="s">
        <v>23</v>
      </c>
      <c r="C774" s="363" t="s">
        <v>601</v>
      </c>
      <c r="D774" s="368">
        <v>45856.0</v>
      </c>
      <c r="E774" s="363" t="s">
        <v>806</v>
      </c>
      <c r="F774" s="363" t="s">
        <v>807</v>
      </c>
      <c r="G774" s="363" t="s">
        <v>808</v>
      </c>
      <c r="H774" s="363" t="s">
        <v>809</v>
      </c>
      <c r="I774" s="363" t="s">
        <v>810</v>
      </c>
      <c r="J774" s="363" t="s">
        <v>811</v>
      </c>
      <c r="K774" s="363" t="s">
        <v>813</v>
      </c>
      <c r="L774" s="368"/>
      <c r="M774" s="369"/>
      <c r="N774" s="363"/>
      <c r="O774" s="363" t="b">
        <v>0</v>
      </c>
      <c r="P774" s="363"/>
    </row>
    <row r="775">
      <c r="A775" s="363" t="s">
        <v>815</v>
      </c>
      <c r="B775" s="363" t="s">
        <v>53</v>
      </c>
      <c r="C775" s="363" t="s">
        <v>601</v>
      </c>
      <c r="D775" s="368">
        <v>45985.0</v>
      </c>
      <c r="E775" s="363" t="s">
        <v>816</v>
      </c>
      <c r="F775" s="363" t="s">
        <v>817</v>
      </c>
      <c r="G775" s="363" t="s">
        <v>818</v>
      </c>
      <c r="H775" s="363" t="s">
        <v>819</v>
      </c>
      <c r="I775" s="363" t="s">
        <v>820</v>
      </c>
      <c r="J775" s="363" t="s">
        <v>821</v>
      </c>
      <c r="K775" s="363" t="s">
        <v>822</v>
      </c>
      <c r="L775" s="368"/>
      <c r="M775" s="369"/>
      <c r="N775" s="363"/>
      <c r="O775" s="363" t="b">
        <v>0</v>
      </c>
      <c r="P775" s="363"/>
    </row>
    <row r="776">
      <c r="A776" s="363" t="s">
        <v>0</v>
      </c>
      <c r="B776" s="363" t="s">
        <v>23</v>
      </c>
      <c r="C776" s="363" t="s">
        <v>601</v>
      </c>
      <c r="D776" s="368">
        <v>45939.0</v>
      </c>
      <c r="E776" s="363" t="s">
        <v>823</v>
      </c>
      <c r="F776" s="363" t="s">
        <v>824</v>
      </c>
      <c r="G776" s="363"/>
      <c r="H776" s="363" t="s">
        <v>825</v>
      </c>
      <c r="I776" s="363" t="s">
        <v>826</v>
      </c>
      <c r="J776" s="363" t="s">
        <v>827</v>
      </c>
      <c r="K776" s="363" t="s">
        <v>828</v>
      </c>
      <c r="L776" s="368"/>
      <c r="M776" s="369"/>
      <c r="N776" s="363"/>
      <c r="O776" s="363" t="b">
        <v>0</v>
      </c>
      <c r="P776" s="363"/>
    </row>
    <row r="777">
      <c r="A777" s="363" t="s">
        <v>22</v>
      </c>
      <c r="B777" s="363" t="s">
        <v>53</v>
      </c>
      <c r="C777" s="363" t="s">
        <v>360</v>
      </c>
      <c r="D777" s="368">
        <v>46100.0</v>
      </c>
      <c r="E777" s="363" t="s">
        <v>829</v>
      </c>
      <c r="F777" s="363" t="s">
        <v>830</v>
      </c>
      <c r="G777" s="363" t="s">
        <v>831</v>
      </c>
      <c r="H777" s="363" t="s">
        <v>832</v>
      </c>
      <c r="I777" s="363" t="s">
        <v>762</v>
      </c>
      <c r="J777" s="363" t="s">
        <v>833</v>
      </c>
      <c r="K777" s="363" t="s">
        <v>834</v>
      </c>
      <c r="L777" s="368"/>
      <c r="M777" s="369">
        <v>46107.76856340277</v>
      </c>
      <c r="N777" s="363"/>
      <c r="O777" s="363" t="b">
        <v>0</v>
      </c>
      <c r="P777" s="363"/>
    </row>
    <row r="778">
      <c r="A778" s="363" t="s">
        <v>18</v>
      </c>
      <c r="B778" s="363" t="s">
        <v>225</v>
      </c>
      <c r="C778" s="363" t="s">
        <v>360</v>
      </c>
      <c r="D778" s="368">
        <v>46048.0</v>
      </c>
      <c r="E778" s="363" t="s">
        <v>839</v>
      </c>
      <c r="F778" s="363" t="s">
        <v>840</v>
      </c>
      <c r="G778" s="363" t="s">
        <v>841</v>
      </c>
      <c r="H778" s="363" t="s">
        <v>842</v>
      </c>
      <c r="I778" s="363" t="s">
        <v>843</v>
      </c>
      <c r="J778" s="363" t="s">
        <v>844</v>
      </c>
      <c r="K778" s="363" t="s">
        <v>845</v>
      </c>
      <c r="L778" s="368"/>
      <c r="M778" s="369">
        <v>46092.92294700231</v>
      </c>
      <c r="N778" s="363"/>
      <c r="O778" s="363"/>
      <c r="P778" s="363" t="s">
        <v>406</v>
      </c>
    </row>
    <row r="779">
      <c r="A779" s="363" t="s">
        <v>22</v>
      </c>
      <c r="B779" s="363" t="s">
        <v>225</v>
      </c>
      <c r="C779" s="363" t="s">
        <v>360</v>
      </c>
      <c r="D779" s="368">
        <v>46091.0</v>
      </c>
      <c r="E779" s="363" t="s">
        <v>846</v>
      </c>
      <c r="F779" s="363" t="s">
        <v>847</v>
      </c>
      <c r="G779" s="363" t="s">
        <v>848</v>
      </c>
      <c r="H779" s="363" t="s">
        <v>849</v>
      </c>
      <c r="I779" s="363" t="s">
        <v>850</v>
      </c>
      <c r="J779" s="363" t="s">
        <v>851</v>
      </c>
      <c r="K779" s="363" t="s">
        <v>852</v>
      </c>
      <c r="L779" s="368"/>
      <c r="M779" s="369">
        <v>46091.96670868056</v>
      </c>
      <c r="N779" s="363"/>
      <c r="O779" s="363" t="b">
        <v>0</v>
      </c>
      <c r="P779" s="363"/>
    </row>
    <row r="780">
      <c r="A780" s="363" t="s">
        <v>62</v>
      </c>
      <c r="B780" s="363" t="s">
        <v>225</v>
      </c>
      <c r="C780" s="363" t="s">
        <v>360</v>
      </c>
      <c r="D780" s="368">
        <v>46086.0</v>
      </c>
      <c r="E780" s="363" t="s">
        <v>853</v>
      </c>
      <c r="F780" s="363" t="s">
        <v>854</v>
      </c>
      <c r="G780" s="363" t="s">
        <v>855</v>
      </c>
      <c r="H780" s="363" t="s">
        <v>856</v>
      </c>
      <c r="I780" s="363" t="s">
        <v>857</v>
      </c>
      <c r="J780" s="363" t="s">
        <v>858</v>
      </c>
      <c r="K780" s="363" t="s">
        <v>860</v>
      </c>
      <c r="L780" s="368"/>
      <c r="M780" s="369">
        <v>46122.729202939816</v>
      </c>
      <c r="N780" s="363"/>
      <c r="O780" s="363" t="b">
        <v>0</v>
      </c>
      <c r="P780" s="363"/>
    </row>
    <row r="781">
      <c r="A781" s="363" t="s">
        <v>0</v>
      </c>
      <c r="B781" s="363" t="s">
        <v>19</v>
      </c>
      <c r="C781" s="363" t="s">
        <v>601</v>
      </c>
      <c r="D781" s="363" t="s">
        <v>862</v>
      </c>
      <c r="E781" s="363" t="s">
        <v>863</v>
      </c>
      <c r="F781" s="363" t="s">
        <v>864</v>
      </c>
      <c r="G781" s="363"/>
      <c r="H781" s="363" t="s">
        <v>865</v>
      </c>
      <c r="I781" s="363" t="s">
        <v>167</v>
      </c>
      <c r="J781" s="363"/>
      <c r="K781" s="363" t="s">
        <v>866</v>
      </c>
      <c r="L781" s="368"/>
      <c r="M781" s="369"/>
      <c r="N781" s="363"/>
      <c r="O781" s="363" t="b">
        <v>0</v>
      </c>
      <c r="P781" s="363"/>
    </row>
    <row r="782">
      <c r="A782" s="363" t="s">
        <v>22</v>
      </c>
      <c r="B782" s="363" t="s">
        <v>225</v>
      </c>
      <c r="C782" s="363" t="s">
        <v>867</v>
      </c>
      <c r="D782" s="368">
        <v>46119.0</v>
      </c>
      <c r="E782" s="363" t="s">
        <v>868</v>
      </c>
      <c r="F782" s="363" t="s">
        <v>869</v>
      </c>
      <c r="G782" s="363" t="s">
        <v>870</v>
      </c>
      <c r="H782" s="363" t="s">
        <v>871</v>
      </c>
      <c r="I782" s="363" t="s">
        <v>872</v>
      </c>
      <c r="J782" s="363" t="s">
        <v>873</v>
      </c>
      <c r="K782" s="363" t="s">
        <v>874</v>
      </c>
      <c r="L782" s="368"/>
      <c r="M782" s="369">
        <v>46125.91252359954</v>
      </c>
      <c r="N782" s="363"/>
      <c r="O782" s="363" t="b">
        <v>0</v>
      </c>
      <c r="P782" s="363"/>
    </row>
    <row r="783">
      <c r="A783" s="363" t="s">
        <v>62</v>
      </c>
      <c r="B783" s="363" t="s">
        <v>23</v>
      </c>
      <c r="C783" s="363" t="s">
        <v>360</v>
      </c>
      <c r="D783" s="366">
        <v>46139.0</v>
      </c>
      <c r="E783" s="363" t="s">
        <v>888</v>
      </c>
      <c r="F783" s="363" t="s">
        <v>889</v>
      </c>
      <c r="G783" s="363" t="s">
        <v>890</v>
      </c>
      <c r="H783" s="363" t="s">
        <v>891</v>
      </c>
      <c r="I783" s="371" t="s">
        <v>1181</v>
      </c>
      <c r="J783" s="363" t="s">
        <v>892</v>
      </c>
      <c r="K783" s="363" t="s">
        <v>894</v>
      </c>
      <c r="L783" s="365"/>
      <c r="M783" s="368">
        <v>46142.88725385416</v>
      </c>
      <c r="N783" s="363"/>
      <c r="O783" s="363" t="b">
        <v>0</v>
      </c>
      <c r="P783" s="370"/>
    </row>
    <row r="784">
      <c r="A784" s="363" t="s">
        <v>906</v>
      </c>
      <c r="B784" s="363" t="s">
        <v>225</v>
      </c>
      <c r="C784" s="363" t="s">
        <v>360</v>
      </c>
      <c r="D784" s="368">
        <v>46162.0</v>
      </c>
      <c r="E784" s="363" t="s">
        <v>911</v>
      </c>
      <c r="F784" s="363" t="s">
        <v>912</v>
      </c>
      <c r="G784" s="363" t="s">
        <v>913</v>
      </c>
      <c r="H784" s="363" t="s">
        <v>914</v>
      </c>
      <c r="I784" s="363" t="s">
        <v>613</v>
      </c>
      <c r="J784" s="363" t="s">
        <v>921</v>
      </c>
      <c r="K784" s="363"/>
      <c r="L784" s="365"/>
      <c r="M784" s="368"/>
      <c r="N784" s="363"/>
      <c r="O784" s="363"/>
      <c r="P784" s="370"/>
    </row>
    <row r="785">
      <c r="A785" s="363" t="s">
        <v>22</v>
      </c>
      <c r="B785" s="363" t="s">
        <v>19</v>
      </c>
      <c r="C785" s="363" t="s">
        <v>360</v>
      </c>
      <c r="D785" s="368">
        <v>46044.0</v>
      </c>
      <c r="E785" s="363" t="s">
        <v>931</v>
      </c>
      <c r="F785" s="363" t="s">
        <v>933</v>
      </c>
      <c r="G785" s="363" t="s">
        <v>935</v>
      </c>
      <c r="H785" s="363" t="s">
        <v>937</v>
      </c>
      <c r="I785" s="363" t="s">
        <v>939</v>
      </c>
      <c r="J785" s="363" t="s">
        <v>941</v>
      </c>
      <c r="K785" s="363" t="s">
        <v>944</v>
      </c>
      <c r="L785" s="365"/>
      <c r="M785" s="369">
        <v>46183.89279131945</v>
      </c>
      <c r="N785" s="363"/>
      <c r="O785" s="363" t="b">
        <v>0</v>
      </c>
      <c r="P785" s="370"/>
    </row>
    <row r="786">
      <c r="A786" s="363" t="s">
        <v>17</v>
      </c>
      <c r="B786" s="363" t="s">
        <v>225</v>
      </c>
      <c r="C786" s="363" t="s">
        <v>360</v>
      </c>
      <c r="D786" s="368">
        <v>46163.0</v>
      </c>
      <c r="E786" s="363" t="s">
        <v>961</v>
      </c>
      <c r="F786" s="363" t="s">
        <v>963</v>
      </c>
      <c r="G786" s="363" t="s">
        <v>965</v>
      </c>
      <c r="H786" s="363" t="s">
        <v>966</v>
      </c>
      <c r="I786" s="363" t="s">
        <v>686</v>
      </c>
      <c r="J786" s="363" t="s">
        <v>968</v>
      </c>
      <c r="K786" s="363" t="s">
        <v>971</v>
      </c>
      <c r="L786" s="365"/>
      <c r="M786" s="369">
        <v>46164.89294755787</v>
      </c>
      <c r="N786" s="363"/>
      <c r="O786" s="363"/>
      <c r="P786" s="370"/>
    </row>
    <row r="787">
      <c r="A787" s="363" t="s">
        <v>906</v>
      </c>
      <c r="B787" s="363" t="s">
        <v>53</v>
      </c>
      <c r="C787" s="363" t="s">
        <v>360</v>
      </c>
      <c r="D787" s="368">
        <v>46181.0</v>
      </c>
      <c r="E787" s="363" t="s">
        <v>983</v>
      </c>
      <c r="F787" s="363" t="s">
        <v>984</v>
      </c>
      <c r="G787" s="363" t="s">
        <v>985</v>
      </c>
      <c r="H787" s="363" t="s">
        <v>987</v>
      </c>
      <c r="I787" s="363" t="s">
        <v>497</v>
      </c>
      <c r="J787" s="363" t="s">
        <v>993</v>
      </c>
      <c r="K787" s="363"/>
      <c r="L787" s="365"/>
      <c r="M787" s="369"/>
      <c r="N787" s="363"/>
      <c r="O787" s="363"/>
      <c r="P787" s="370"/>
    </row>
    <row r="788">
      <c r="A788" s="363" t="s">
        <v>17</v>
      </c>
      <c r="B788" s="363" t="s">
        <v>225</v>
      </c>
      <c r="C788" s="363" t="s">
        <v>360</v>
      </c>
      <c r="D788" s="368">
        <v>46083.0</v>
      </c>
      <c r="E788" s="363" t="s">
        <v>1002</v>
      </c>
      <c r="F788" s="363" t="s">
        <v>1003</v>
      </c>
      <c r="G788" s="363" t="s">
        <v>1004</v>
      </c>
      <c r="H788" s="363" t="s">
        <v>1005</v>
      </c>
      <c r="I788" s="363" t="s">
        <v>1006</v>
      </c>
      <c r="J788" s="363" t="s">
        <v>1008</v>
      </c>
      <c r="K788" s="363" t="s">
        <v>1010</v>
      </c>
      <c r="L788" s="365"/>
      <c r="M788" s="369">
        <v>46183.85712800926</v>
      </c>
      <c r="N788" s="363"/>
      <c r="O788" s="363" t="b">
        <v>0</v>
      </c>
      <c r="P788" s="370"/>
    </row>
    <row r="789">
      <c r="A789" s="363" t="s">
        <v>62</v>
      </c>
      <c r="B789" s="363" t="s">
        <v>225</v>
      </c>
      <c r="C789" s="363" t="s">
        <v>360</v>
      </c>
      <c r="D789" s="368">
        <v>46045.0</v>
      </c>
      <c r="E789" s="363" t="s">
        <v>1025</v>
      </c>
      <c r="F789" s="363" t="s">
        <v>1026</v>
      </c>
      <c r="G789" s="363" t="s">
        <v>1027</v>
      </c>
      <c r="H789" s="363" t="s">
        <v>1028</v>
      </c>
      <c r="I789" s="363" t="s">
        <v>1029</v>
      </c>
      <c r="J789" s="363" t="s">
        <v>1030</v>
      </c>
      <c r="K789" s="363" t="s">
        <v>1031</v>
      </c>
      <c r="L789" s="365"/>
      <c r="M789" s="369">
        <v>46084.91987694445</v>
      </c>
      <c r="N789" s="363"/>
      <c r="O789" s="363" t="b">
        <v>0</v>
      </c>
      <c r="P789" s="370"/>
    </row>
    <row r="790">
      <c r="A790" s="363" t="s">
        <v>17</v>
      </c>
      <c r="B790" s="363" t="s">
        <v>225</v>
      </c>
      <c r="C790" s="363" t="s">
        <v>360</v>
      </c>
      <c r="D790" s="368">
        <v>46182.0</v>
      </c>
      <c r="E790" s="363" t="s">
        <v>1049</v>
      </c>
      <c r="F790" s="363" t="s">
        <v>1050</v>
      </c>
      <c r="G790" s="363" t="s">
        <v>238</v>
      </c>
      <c r="H790" s="363" t="s">
        <v>238</v>
      </c>
      <c r="I790" s="363" t="s">
        <v>238</v>
      </c>
      <c r="J790" s="363" t="s">
        <v>1053</v>
      </c>
      <c r="K790" s="363"/>
      <c r="L790" s="365"/>
      <c r="M790" s="369"/>
      <c r="N790" s="363"/>
      <c r="O790" s="363"/>
      <c r="P790" s="370"/>
    </row>
    <row r="791">
      <c r="A791" s="363" t="s">
        <v>62</v>
      </c>
      <c r="B791" s="363" t="s">
        <v>225</v>
      </c>
      <c r="C791" s="363" t="s">
        <v>360</v>
      </c>
      <c r="D791" s="368">
        <v>46140.0</v>
      </c>
      <c r="E791" s="363" t="s">
        <v>1055</v>
      </c>
      <c r="F791" s="363" t="s">
        <v>1056</v>
      </c>
      <c r="G791" s="363" t="s">
        <v>1057</v>
      </c>
      <c r="H791" s="363" t="s">
        <v>1058</v>
      </c>
      <c r="I791" s="363" t="s">
        <v>1059</v>
      </c>
      <c r="J791" s="363" t="s">
        <v>1060</v>
      </c>
      <c r="K791" s="363" t="s">
        <v>1061</v>
      </c>
      <c r="L791" s="365"/>
      <c r="M791" s="369">
        <v>46157.847040636574</v>
      </c>
      <c r="N791" s="363"/>
      <c r="O791" s="363" t="b">
        <v>0</v>
      </c>
      <c r="P791" s="370"/>
    </row>
    <row r="792">
      <c r="A792" s="363" t="s">
        <v>62</v>
      </c>
      <c r="B792" s="363" t="s">
        <v>225</v>
      </c>
      <c r="C792" s="363" t="s">
        <v>360</v>
      </c>
      <c r="D792" s="368">
        <v>46108.0</v>
      </c>
      <c r="E792" s="363" t="s">
        <v>1071</v>
      </c>
      <c r="F792" s="363" t="s">
        <v>1072</v>
      </c>
      <c r="G792" s="363" t="s">
        <v>1073</v>
      </c>
      <c r="H792" s="363" t="s">
        <v>1075</v>
      </c>
      <c r="I792" s="363" t="s">
        <v>1076</v>
      </c>
      <c r="J792" s="363" t="s">
        <v>1077</v>
      </c>
      <c r="K792" s="363" t="s">
        <v>1078</v>
      </c>
      <c r="L792" s="365"/>
      <c r="M792" s="369">
        <v>46183.94872825232</v>
      </c>
      <c r="N792" s="363"/>
      <c r="O792" s="363" t="b">
        <v>0</v>
      </c>
      <c r="P792" s="370"/>
    </row>
    <row r="793">
      <c r="A793" s="363" t="s">
        <v>17</v>
      </c>
      <c r="B793" s="363" t="s">
        <v>225</v>
      </c>
      <c r="C793" s="363" t="s">
        <v>360</v>
      </c>
      <c r="D793" s="368">
        <v>46112.0</v>
      </c>
      <c r="E793" s="363" t="s">
        <v>1082</v>
      </c>
      <c r="F793" s="363" t="s">
        <v>1084</v>
      </c>
      <c r="G793" s="363" t="s">
        <v>1086</v>
      </c>
      <c r="H793" s="363" t="s">
        <v>1087</v>
      </c>
      <c r="I793" s="363" t="s">
        <v>1089</v>
      </c>
      <c r="J793" s="363"/>
      <c r="K793" s="363" t="s">
        <v>1091</v>
      </c>
      <c r="L793" s="365"/>
      <c r="M793" s="369">
        <v>46183.85754236111</v>
      </c>
      <c r="N793" s="363"/>
      <c r="O793" s="363" t="b">
        <v>0</v>
      </c>
      <c r="P793" s="370"/>
    </row>
    <row r="794">
      <c r="A794" s="363" t="s">
        <v>62</v>
      </c>
      <c r="B794" s="363" t="s">
        <v>225</v>
      </c>
      <c r="C794" s="363" t="s">
        <v>360</v>
      </c>
      <c r="D794" s="368">
        <v>46070.0</v>
      </c>
      <c r="E794" s="363" t="s">
        <v>1095</v>
      </c>
      <c r="F794" s="363" t="s">
        <v>1096</v>
      </c>
      <c r="G794" s="363" t="s">
        <v>1097</v>
      </c>
      <c r="H794" s="363" t="s">
        <v>1098</v>
      </c>
      <c r="I794" s="363" t="s">
        <v>1100</v>
      </c>
      <c r="J794" s="363" t="s">
        <v>1102</v>
      </c>
      <c r="K794" s="363" t="s">
        <v>1104</v>
      </c>
      <c r="L794" s="365"/>
      <c r="M794" s="369">
        <v>46078.90377420139</v>
      </c>
      <c r="N794" s="363"/>
      <c r="O794" s="363" t="b">
        <v>0</v>
      </c>
      <c r="P794" s="370"/>
    </row>
    <row r="795">
      <c r="A795" s="363" t="s">
        <v>62</v>
      </c>
      <c r="B795" s="363" t="s">
        <v>225</v>
      </c>
      <c r="C795" s="363" t="s">
        <v>360</v>
      </c>
      <c r="D795" s="368">
        <v>46083.0</v>
      </c>
      <c r="E795" s="363" t="s">
        <v>1109</v>
      </c>
      <c r="F795" s="363" t="s">
        <v>1110</v>
      </c>
      <c r="G795" s="363" t="s">
        <v>1111</v>
      </c>
      <c r="H795" s="363" t="s">
        <v>1113</v>
      </c>
      <c r="I795" s="363" t="s">
        <v>1116</v>
      </c>
      <c r="J795" s="363" t="s">
        <v>1117</v>
      </c>
      <c r="K795" s="363" t="s">
        <v>1120</v>
      </c>
      <c r="L795" s="365"/>
      <c r="M795" s="369">
        <v>46141.889146180554</v>
      </c>
      <c r="N795" s="363"/>
      <c r="O795" s="363" t="b">
        <v>0</v>
      </c>
      <c r="P795" s="370"/>
    </row>
    <row r="796">
      <c r="A796" s="363" t="s">
        <v>62</v>
      </c>
      <c r="B796" s="363" t="s">
        <v>225</v>
      </c>
      <c r="C796" s="363" t="s">
        <v>360</v>
      </c>
      <c r="D796" s="368">
        <v>46070.0</v>
      </c>
      <c r="E796" s="363" t="s">
        <v>1127</v>
      </c>
      <c r="F796" s="363" t="s">
        <v>1129</v>
      </c>
      <c r="G796" s="363" t="s">
        <v>1130</v>
      </c>
      <c r="H796" s="363" t="s">
        <v>1131</v>
      </c>
      <c r="I796" s="363" t="s">
        <v>1132</v>
      </c>
      <c r="J796" s="363" t="s">
        <v>1134</v>
      </c>
      <c r="K796" s="363" t="s">
        <v>1135</v>
      </c>
      <c r="L796" s="365"/>
      <c r="M796" s="369">
        <v>46079.758593900464</v>
      </c>
      <c r="N796" s="363"/>
      <c r="O796" s="363" t="b">
        <v>0</v>
      </c>
      <c r="P796" s="370"/>
    </row>
    <row r="797">
      <c r="A797" s="363" t="s">
        <v>17</v>
      </c>
      <c r="B797" s="363" t="s">
        <v>225</v>
      </c>
      <c r="C797" s="363" t="s">
        <v>360</v>
      </c>
      <c r="D797" s="368">
        <v>46202.0</v>
      </c>
      <c r="E797" s="363" t="s">
        <v>1158</v>
      </c>
      <c r="F797" s="363" t="s">
        <v>1159</v>
      </c>
      <c r="G797" s="363" t="s">
        <v>1160</v>
      </c>
      <c r="H797" s="363" t="s">
        <v>1162</v>
      </c>
      <c r="I797" s="363" t="s">
        <v>843</v>
      </c>
      <c r="J797" s="363" t="s">
        <v>1169</v>
      </c>
      <c r="K797" s="363"/>
      <c r="L797" s="365"/>
      <c r="M797" s="369"/>
      <c r="N797" s="363"/>
      <c r="O797" s="363"/>
      <c r="P797" s="370"/>
    </row>
    <row r="798">
      <c r="A798" s="363" t="s">
        <v>155</v>
      </c>
      <c r="B798" s="363" t="s">
        <v>23</v>
      </c>
      <c r="C798" s="363" t="s">
        <v>360</v>
      </c>
      <c r="D798" s="368">
        <v>46232.0</v>
      </c>
      <c r="E798" s="363" t="s">
        <v>1187</v>
      </c>
      <c r="F798" s="363" t="s">
        <v>1190</v>
      </c>
      <c r="G798" s="363" t="s">
        <v>1192</v>
      </c>
      <c r="H798" s="363" t="s">
        <v>1195</v>
      </c>
      <c r="I798" s="363" t="s">
        <v>590</v>
      </c>
      <c r="J798" s="363" t="s">
        <v>1197</v>
      </c>
      <c r="K798" s="363" t="s">
        <v>1198</v>
      </c>
      <c r="L798" s="365"/>
      <c r="M798" s="369">
        <v>46238.81374267361</v>
      </c>
      <c r="N798" s="363"/>
      <c r="O798" s="363"/>
      <c r="P798" s="370"/>
    </row>
    <row r="799">
      <c r="A799" s="363" t="s">
        <v>155</v>
      </c>
      <c r="B799" s="363" t="s">
        <v>25</v>
      </c>
      <c r="C799" s="363" t="s">
        <v>601</v>
      </c>
      <c r="D799" s="368">
        <v>46238.0</v>
      </c>
      <c r="E799" s="363" t="s">
        <v>1207</v>
      </c>
      <c r="F799" s="363" t="s">
        <v>1208</v>
      </c>
      <c r="G799" s="363" t="s">
        <v>1209</v>
      </c>
      <c r="H799" s="363" t="s">
        <v>1210</v>
      </c>
      <c r="I799" s="363" t="s">
        <v>140</v>
      </c>
      <c r="J799" s="363" t="s">
        <v>1213</v>
      </c>
      <c r="K799" s="363"/>
      <c r="L799" s="365"/>
      <c r="M799" s="369"/>
      <c r="N799" s="363"/>
      <c r="O799" s="363"/>
      <c r="P799" s="370"/>
    </row>
    <row r="800">
      <c r="A800" s="363" t="s">
        <v>22</v>
      </c>
      <c r="B800" s="363" t="s">
        <v>23</v>
      </c>
      <c r="C800" s="363" t="s">
        <v>601</v>
      </c>
      <c r="D800" s="368">
        <v>46240.0</v>
      </c>
      <c r="E800" s="363" t="s">
        <v>1227</v>
      </c>
      <c r="F800" s="363" t="s">
        <v>1229</v>
      </c>
      <c r="G800" s="363" t="s">
        <v>1230</v>
      </c>
      <c r="H800" s="363" t="s">
        <v>1231</v>
      </c>
      <c r="I800" s="363" t="s">
        <v>90</v>
      </c>
      <c r="J800" s="363" t="s">
        <v>1233</v>
      </c>
      <c r="K800" s="363" t="s">
        <v>1235</v>
      </c>
      <c r="L800" s="365"/>
      <c r="M800" s="369">
        <v>46251.71593048611</v>
      </c>
      <c r="N800" s="363"/>
      <c r="O800" s="363"/>
      <c r="P800" s="370"/>
    </row>
    <row r="801">
      <c r="A801" s="363" t="s">
        <v>18</v>
      </c>
      <c r="B801" s="363" t="s">
        <v>251</v>
      </c>
      <c r="C801" s="363" t="s">
        <v>222</v>
      </c>
      <c r="D801" s="368">
        <v>46244.0</v>
      </c>
      <c r="E801" s="363" t="s">
        <v>1251</v>
      </c>
      <c r="F801" s="363" t="s">
        <v>1252</v>
      </c>
      <c r="G801" s="363" t="s">
        <v>1255</v>
      </c>
      <c r="H801" s="363" t="s">
        <v>1258</v>
      </c>
      <c r="I801" s="363" t="s">
        <v>1259</v>
      </c>
      <c r="J801" s="363" t="s">
        <v>1260</v>
      </c>
      <c r="K801" s="363"/>
      <c r="L801" s="365"/>
      <c r="M801" s="369"/>
      <c r="N801" s="363"/>
      <c r="O801" s="363"/>
      <c r="P801" s="370"/>
    </row>
    <row r="803">
      <c r="A803" s="363" t="str">
        <f t="array" ref="A803:P807">'Invoice Sent'!A:P</f>
        <v>SUB</v>
      </c>
      <c r="B803" s="363" t="s">
        <v>1</v>
      </c>
      <c r="C803" s="363" t="s">
        <v>2</v>
      </c>
      <c r="D803" s="363" t="s">
        <v>3</v>
      </c>
      <c r="E803" s="363" t="s">
        <v>4</v>
      </c>
      <c r="F803" s="363" t="s">
        <v>5</v>
      </c>
      <c r="G803" s="364" t="s">
        <v>6</v>
      </c>
      <c r="H803" s="363" t="s">
        <v>7</v>
      </c>
      <c r="I803" s="363" t="s">
        <v>8</v>
      </c>
      <c r="J803" s="363" t="s">
        <v>9</v>
      </c>
      <c r="K803" s="363" t="s">
        <v>10</v>
      </c>
      <c r="L803" s="365" t="s">
        <v>11</v>
      </c>
      <c r="M803" s="363" t="s">
        <v>12</v>
      </c>
      <c r="N803" s="363" t="s">
        <v>13</v>
      </c>
      <c r="O803" s="363" t="s">
        <v>14</v>
      </c>
      <c r="P803" s="363" t="s">
        <v>15</v>
      </c>
    </row>
    <row r="804">
      <c r="A804" s="363" t="s">
        <v>17</v>
      </c>
      <c r="B804" s="363" t="s">
        <v>19</v>
      </c>
      <c r="C804" s="363" t="s">
        <v>21</v>
      </c>
      <c r="D804" s="368">
        <v>46059.0</v>
      </c>
      <c r="E804" s="363" t="s">
        <v>26</v>
      </c>
      <c r="F804" s="363" t="s">
        <v>27</v>
      </c>
      <c r="G804" s="363" t="s">
        <v>28</v>
      </c>
      <c r="H804" s="363" t="s">
        <v>29</v>
      </c>
      <c r="I804" s="363" t="s">
        <v>30</v>
      </c>
      <c r="J804" s="363" t="s">
        <v>32</v>
      </c>
      <c r="K804" s="363" t="s">
        <v>38</v>
      </c>
      <c r="L804" s="365"/>
      <c r="M804" s="369">
        <v>46135.87433136574</v>
      </c>
      <c r="N804" s="363" t="s">
        <v>49</v>
      </c>
      <c r="O804" s="370"/>
      <c r="P804" s="370"/>
    </row>
    <row r="805">
      <c r="A805" s="363" t="s">
        <v>18</v>
      </c>
      <c r="B805" s="363" t="s">
        <v>53</v>
      </c>
      <c r="C805" s="363" t="s">
        <v>54</v>
      </c>
      <c r="D805" s="368">
        <v>46009.0</v>
      </c>
      <c r="E805" s="363" t="s">
        <v>55</v>
      </c>
      <c r="F805" s="363" t="s">
        <v>56</v>
      </c>
      <c r="G805" s="363" t="s">
        <v>57</v>
      </c>
      <c r="H805" s="363" t="s">
        <v>58</v>
      </c>
      <c r="I805" s="363" t="s">
        <v>59</v>
      </c>
      <c r="J805" s="363" t="s">
        <v>60</v>
      </c>
      <c r="K805" s="363" t="s">
        <v>61</v>
      </c>
      <c r="L805" s="365"/>
      <c r="M805" s="369">
        <v>46139.72520246528</v>
      </c>
      <c r="N805" s="363"/>
      <c r="O805" s="370"/>
      <c r="P805" s="370"/>
    </row>
    <row r="806">
      <c r="A806" s="363"/>
      <c r="B806" s="363"/>
      <c r="C806" s="363"/>
      <c r="D806" s="368"/>
      <c r="E806" s="363"/>
      <c r="F806" s="363"/>
      <c r="G806" s="363"/>
      <c r="H806" s="363"/>
      <c r="I806" s="363"/>
      <c r="J806" s="363"/>
      <c r="K806" s="363"/>
      <c r="L806" s="365"/>
      <c r="M806" s="369"/>
      <c r="N806" s="363"/>
      <c r="O806" s="370"/>
      <c r="P806" s="370"/>
    </row>
    <row r="807">
      <c r="A807" s="363"/>
      <c r="B807" s="363"/>
      <c r="C807" s="363"/>
      <c r="D807" s="368"/>
      <c r="E807" s="363"/>
      <c r="F807" s="363"/>
      <c r="G807" s="363"/>
      <c r="H807" s="363"/>
      <c r="I807" s="363"/>
      <c r="J807" s="363"/>
      <c r="K807" s="363"/>
      <c r="L807" s="365"/>
      <c r="M807" s="369"/>
      <c r="N807" s="363"/>
      <c r="O807" s="370"/>
      <c r="P807" s="370"/>
    </row>
    <row r="808">
      <c r="A808" s="193" t="s">
        <v>5337</v>
      </c>
    </row>
    <row r="900">
      <c r="A900" s="363" t="str">
        <f t="array" ref="A900:P1200">'Dead Leads'!A:P</f>
        <v/>
      </c>
      <c r="B900" s="363" t="s">
        <v>1</v>
      </c>
      <c r="C900" s="363" t="s">
        <v>2</v>
      </c>
      <c r="D900" s="363" t="s">
        <v>3</v>
      </c>
      <c r="E900" s="363" t="s">
        <v>4</v>
      </c>
      <c r="F900" s="363" t="s">
        <v>5</v>
      </c>
      <c r="G900" s="364" t="s">
        <v>6</v>
      </c>
      <c r="H900" s="363" t="s">
        <v>7</v>
      </c>
      <c r="I900" s="363" t="s">
        <v>8</v>
      </c>
      <c r="J900" s="363" t="s">
        <v>9</v>
      </c>
      <c r="K900" s="363" t="s">
        <v>10</v>
      </c>
      <c r="L900" s="365" t="s">
        <v>11</v>
      </c>
      <c r="M900" s="363" t="s">
        <v>12</v>
      </c>
      <c r="N900" s="363" t="s">
        <v>13</v>
      </c>
      <c r="O900" s="363" t="s">
        <v>14</v>
      </c>
      <c r="P900" s="363" t="s">
        <v>15</v>
      </c>
    </row>
    <row r="901">
      <c r="A901" s="363" t="s">
        <v>22</v>
      </c>
      <c r="B901" s="363" t="s">
        <v>19</v>
      </c>
      <c r="C901" s="363" t="s">
        <v>1451</v>
      </c>
      <c r="D901" s="366">
        <v>45593.0</v>
      </c>
      <c r="E901" s="363" t="s">
        <v>1454</v>
      </c>
      <c r="F901" s="363" t="s">
        <v>1456</v>
      </c>
      <c r="G901" s="363" t="s">
        <v>1458</v>
      </c>
      <c r="H901" s="363"/>
      <c r="I901" s="363" t="s">
        <v>973</v>
      </c>
      <c r="J901" s="363" t="s">
        <v>1461</v>
      </c>
      <c r="K901" s="363" t="s">
        <v>1462</v>
      </c>
      <c r="L901" s="363" t="s">
        <v>1462</v>
      </c>
      <c r="M901" s="370"/>
      <c r="N901" s="363"/>
      <c r="O901" s="363" t="b">
        <v>0</v>
      </c>
      <c r="P901" s="370"/>
    </row>
    <row r="902">
      <c r="A902" s="363" t="s">
        <v>17</v>
      </c>
      <c r="B902" s="363" t="s">
        <v>19</v>
      </c>
      <c r="C902" s="363" t="s">
        <v>1451</v>
      </c>
      <c r="D902" s="366">
        <v>45610.0</v>
      </c>
      <c r="E902" s="363" t="s">
        <v>1471</v>
      </c>
      <c r="F902" s="363" t="s">
        <v>1473</v>
      </c>
      <c r="G902" s="363" t="s">
        <v>1475</v>
      </c>
      <c r="H902" s="363"/>
      <c r="I902" s="363" t="s">
        <v>1244</v>
      </c>
      <c r="J902" s="363" t="s">
        <v>1479</v>
      </c>
      <c r="K902" s="363" t="s">
        <v>1482</v>
      </c>
      <c r="L902" s="363" t="s">
        <v>1482</v>
      </c>
      <c r="M902" s="363" t="s">
        <v>1485</v>
      </c>
      <c r="N902" s="363"/>
      <c r="O902" s="363" t="b">
        <v>0</v>
      </c>
      <c r="P902" s="370"/>
    </row>
    <row r="903">
      <c r="A903" s="363" t="s">
        <v>17</v>
      </c>
      <c r="B903" s="363" t="s">
        <v>19</v>
      </c>
      <c r="C903" s="363" t="s">
        <v>1451</v>
      </c>
      <c r="D903" s="366">
        <v>45616.0</v>
      </c>
      <c r="E903" s="363" t="s">
        <v>1490</v>
      </c>
      <c r="F903" s="363" t="s">
        <v>1492</v>
      </c>
      <c r="G903" s="363" t="s">
        <v>1493</v>
      </c>
      <c r="H903" s="363" t="s">
        <v>1497</v>
      </c>
      <c r="I903" s="363" t="s">
        <v>1498</v>
      </c>
      <c r="J903" s="363" t="s">
        <v>1499</v>
      </c>
      <c r="K903" s="363" t="s">
        <v>1500</v>
      </c>
      <c r="L903" s="363" t="s">
        <v>1500</v>
      </c>
      <c r="M903" s="363" t="s">
        <v>1501</v>
      </c>
      <c r="N903" s="363"/>
      <c r="O903" s="363" t="b">
        <v>0</v>
      </c>
      <c r="P903" s="370"/>
    </row>
    <row r="904">
      <c r="A904" s="363" t="s">
        <v>22</v>
      </c>
      <c r="B904" s="363" t="s">
        <v>19</v>
      </c>
      <c r="C904" s="363" t="s">
        <v>1410</v>
      </c>
      <c r="D904" s="366">
        <v>45622.0</v>
      </c>
      <c r="E904" s="363" t="s">
        <v>1511</v>
      </c>
      <c r="F904" s="363" t="s">
        <v>1512</v>
      </c>
      <c r="G904" s="363" t="s">
        <v>1514</v>
      </c>
      <c r="H904" s="363"/>
      <c r="I904" s="363" t="s">
        <v>1515</v>
      </c>
      <c r="J904" s="363" t="s">
        <v>1516</v>
      </c>
      <c r="K904" s="363"/>
      <c r="L904" s="363"/>
      <c r="M904" s="370"/>
      <c r="N904" s="363"/>
      <c r="O904" s="363" t="b">
        <v>0</v>
      </c>
      <c r="P904" s="370"/>
    </row>
    <row r="905">
      <c r="A905" s="363" t="s">
        <v>22</v>
      </c>
      <c r="B905" s="363" t="s">
        <v>19</v>
      </c>
      <c r="C905" s="363" t="s">
        <v>1527</v>
      </c>
      <c r="D905" s="366">
        <v>45631.0</v>
      </c>
      <c r="E905" s="363" t="s">
        <v>1531</v>
      </c>
      <c r="F905" s="363" t="s">
        <v>1534</v>
      </c>
      <c r="G905" s="363" t="s">
        <v>1535</v>
      </c>
      <c r="H905" s="363"/>
      <c r="I905" s="363" t="s">
        <v>581</v>
      </c>
      <c r="J905" s="363" t="s">
        <v>1550</v>
      </c>
      <c r="K905" s="363" t="s">
        <v>1551</v>
      </c>
      <c r="L905" s="363" t="s">
        <v>1551</v>
      </c>
      <c r="M905" s="370"/>
      <c r="N905" s="363"/>
      <c r="O905" s="363" t="b">
        <v>0</v>
      </c>
      <c r="P905" s="370"/>
    </row>
    <row r="906">
      <c r="A906" s="363" t="s">
        <v>22</v>
      </c>
      <c r="B906" s="363" t="s">
        <v>19</v>
      </c>
      <c r="C906" s="363" t="s">
        <v>1451</v>
      </c>
      <c r="D906" s="366">
        <v>45635.0</v>
      </c>
      <c r="E906" s="363" t="s">
        <v>1552</v>
      </c>
      <c r="F906" s="363" t="s">
        <v>1554</v>
      </c>
      <c r="G906" s="363" t="s">
        <v>1555</v>
      </c>
      <c r="H906" s="363"/>
      <c r="I906" s="363" t="s">
        <v>1557</v>
      </c>
      <c r="J906" s="363" t="s">
        <v>1560</v>
      </c>
      <c r="K906" s="363" t="s">
        <v>1561</v>
      </c>
      <c r="L906" s="363" t="s">
        <v>1561</v>
      </c>
      <c r="M906" s="370"/>
      <c r="N906" s="363"/>
      <c r="O906" s="363" t="b">
        <v>0</v>
      </c>
      <c r="P906" s="370"/>
    </row>
    <row r="907">
      <c r="A907" s="363" t="s">
        <v>22</v>
      </c>
      <c r="B907" s="363" t="s">
        <v>19</v>
      </c>
      <c r="C907" s="363" t="s">
        <v>1451</v>
      </c>
      <c r="D907" s="366">
        <v>45639.0</v>
      </c>
      <c r="E907" s="363" t="s">
        <v>1568</v>
      </c>
      <c r="F907" s="363" t="s">
        <v>1571</v>
      </c>
      <c r="G907" s="363" t="s">
        <v>1573</v>
      </c>
      <c r="H907" s="363"/>
      <c r="I907" s="363" t="s">
        <v>1174</v>
      </c>
      <c r="J907" s="363" t="s">
        <v>1576</v>
      </c>
      <c r="K907" s="363" t="s">
        <v>1577</v>
      </c>
      <c r="L907" s="363" t="s">
        <v>1577</v>
      </c>
      <c r="M907" s="370"/>
      <c r="N907" s="363"/>
      <c r="O907" s="363" t="b">
        <v>0</v>
      </c>
      <c r="P907" s="370"/>
    </row>
    <row r="908">
      <c r="A908" s="363" t="s">
        <v>22</v>
      </c>
      <c r="B908" s="363" t="s">
        <v>19</v>
      </c>
      <c r="C908" s="363" t="s">
        <v>1451</v>
      </c>
      <c r="D908" s="363" t="s">
        <v>1580</v>
      </c>
      <c r="E908" s="363" t="s">
        <v>1581</v>
      </c>
      <c r="F908" s="363" t="s">
        <v>1582</v>
      </c>
      <c r="G908" s="363" t="s">
        <v>1583</v>
      </c>
      <c r="H908" s="363"/>
      <c r="I908" s="363" t="s">
        <v>1584</v>
      </c>
      <c r="J908" s="363" t="s">
        <v>1585</v>
      </c>
      <c r="K908" s="363"/>
      <c r="L908" s="363"/>
      <c r="M908" s="370"/>
      <c r="N908" s="363"/>
      <c r="O908" s="363" t="b">
        <v>0</v>
      </c>
      <c r="P908" s="370"/>
    </row>
    <row r="909">
      <c r="A909" s="363" t="s">
        <v>22</v>
      </c>
      <c r="B909" s="363" t="s">
        <v>19</v>
      </c>
      <c r="C909" s="363" t="s">
        <v>1451</v>
      </c>
      <c r="D909" s="366">
        <v>45684.0</v>
      </c>
      <c r="E909" s="363" t="s">
        <v>1600</v>
      </c>
      <c r="F909" s="363" t="s">
        <v>1602</v>
      </c>
      <c r="G909" s="363" t="s">
        <v>1604</v>
      </c>
      <c r="H909" s="363"/>
      <c r="I909" s="363" t="s">
        <v>1607</v>
      </c>
      <c r="J909" s="363" t="s">
        <v>1608</v>
      </c>
      <c r="K909" s="363"/>
      <c r="L909" s="363"/>
      <c r="M909" s="370"/>
      <c r="N909" s="363"/>
      <c r="O909" s="363" t="b">
        <v>0</v>
      </c>
      <c r="P909" s="370"/>
    </row>
    <row r="910">
      <c r="A910" s="363" t="s">
        <v>22</v>
      </c>
      <c r="B910" s="363" t="s">
        <v>19</v>
      </c>
      <c r="C910" s="363" t="s">
        <v>1451</v>
      </c>
      <c r="D910" s="366">
        <v>45674.0</v>
      </c>
      <c r="E910" s="363" t="s">
        <v>1611</v>
      </c>
      <c r="F910" s="363" t="s">
        <v>1612</v>
      </c>
      <c r="G910" s="363" t="s">
        <v>1613</v>
      </c>
      <c r="H910" s="363" t="s">
        <v>1614</v>
      </c>
      <c r="I910" s="363" t="s">
        <v>1615</v>
      </c>
      <c r="J910" s="363" t="s">
        <v>1616</v>
      </c>
      <c r="K910" s="363" t="s">
        <v>1617</v>
      </c>
      <c r="L910" s="363" t="s">
        <v>1617</v>
      </c>
      <c r="M910" s="370"/>
      <c r="N910" s="363"/>
      <c r="O910" s="363" t="b">
        <v>0</v>
      </c>
      <c r="P910" s="370"/>
    </row>
    <row r="911">
      <c r="A911" s="363" t="s">
        <v>17</v>
      </c>
      <c r="B911" s="363" t="s">
        <v>23</v>
      </c>
      <c r="C911" s="363" t="s">
        <v>1451</v>
      </c>
      <c r="D911" s="366">
        <v>45693.0</v>
      </c>
      <c r="E911" s="363" t="s">
        <v>1625</v>
      </c>
      <c r="F911" s="363" t="s">
        <v>1626</v>
      </c>
      <c r="G911" s="363" t="s">
        <v>1628</v>
      </c>
      <c r="H911" s="363"/>
      <c r="I911" s="363" t="s">
        <v>1630</v>
      </c>
      <c r="J911" s="363" t="s">
        <v>1633</v>
      </c>
      <c r="K911" s="363"/>
      <c r="L911" s="363"/>
      <c r="M911" s="370"/>
      <c r="N911" s="363"/>
      <c r="O911" s="363" t="b">
        <v>0</v>
      </c>
      <c r="P911" s="370"/>
    </row>
    <row r="912">
      <c r="A912" s="363" t="s">
        <v>17</v>
      </c>
      <c r="B912" s="363" t="s">
        <v>23</v>
      </c>
      <c r="C912" s="363" t="s">
        <v>1451</v>
      </c>
      <c r="D912" s="366">
        <v>45693.0</v>
      </c>
      <c r="E912" s="363" t="s">
        <v>1640</v>
      </c>
      <c r="F912" s="363" t="s">
        <v>1641</v>
      </c>
      <c r="G912" s="363" t="s">
        <v>1642</v>
      </c>
      <c r="H912" s="363"/>
      <c r="I912" s="363" t="s">
        <v>1643</v>
      </c>
      <c r="J912" s="363" t="s">
        <v>1644</v>
      </c>
      <c r="K912" s="363"/>
      <c r="L912" s="363"/>
      <c r="M912" s="370"/>
      <c r="N912" s="363"/>
      <c r="O912" s="363" t="b">
        <v>0</v>
      </c>
      <c r="P912" s="370"/>
    </row>
    <row r="913">
      <c r="A913" s="363" t="s">
        <v>17</v>
      </c>
      <c r="B913" s="363" t="s">
        <v>19</v>
      </c>
      <c r="C913" s="363" t="s">
        <v>1451</v>
      </c>
      <c r="D913" s="366">
        <v>45694.0</v>
      </c>
      <c r="E913" s="363" t="s">
        <v>1655</v>
      </c>
      <c r="F913" s="363" t="s">
        <v>1657</v>
      </c>
      <c r="G913" s="363" t="s">
        <v>1179</v>
      </c>
      <c r="H913" s="363" t="s">
        <v>1180</v>
      </c>
      <c r="I913" s="363" t="s">
        <v>69</v>
      </c>
      <c r="J913" s="363" t="s">
        <v>1659</v>
      </c>
      <c r="K913" s="363"/>
      <c r="L913" s="363"/>
      <c r="M913" s="370"/>
      <c r="N913" s="363"/>
      <c r="O913" s="363" t="b">
        <v>0</v>
      </c>
      <c r="P913" s="370"/>
    </row>
    <row r="914">
      <c r="A914" s="363" t="s">
        <v>22</v>
      </c>
      <c r="B914" s="363" t="s">
        <v>19</v>
      </c>
      <c r="C914" s="363" t="s">
        <v>1451</v>
      </c>
      <c r="D914" s="366">
        <v>45695.0</v>
      </c>
      <c r="E914" s="363" t="s">
        <v>1664</v>
      </c>
      <c r="F914" s="363" t="s">
        <v>1665</v>
      </c>
      <c r="G914" s="363" t="s">
        <v>1667</v>
      </c>
      <c r="H914" s="363"/>
      <c r="I914" s="363" t="s">
        <v>513</v>
      </c>
      <c r="J914" s="363" t="s">
        <v>1668</v>
      </c>
      <c r="K914" s="363"/>
      <c r="L914" s="363"/>
      <c r="M914" s="370"/>
      <c r="N914" s="363"/>
      <c r="O914" s="363" t="b">
        <v>0</v>
      </c>
      <c r="P914" s="370"/>
    </row>
    <row r="915">
      <c r="A915" s="363" t="s">
        <v>17</v>
      </c>
      <c r="B915" s="363" t="s">
        <v>23</v>
      </c>
      <c r="C915" s="363" t="s">
        <v>1451</v>
      </c>
      <c r="D915" s="366">
        <v>45695.0</v>
      </c>
      <c r="E915" s="363" t="s">
        <v>1677</v>
      </c>
      <c r="F915" s="363" t="s">
        <v>1678</v>
      </c>
      <c r="G915" s="363" t="s">
        <v>1680</v>
      </c>
      <c r="H915" s="363"/>
      <c r="I915" s="363" t="s">
        <v>1683</v>
      </c>
      <c r="J915" s="363" t="s">
        <v>1684</v>
      </c>
      <c r="K915" s="363"/>
      <c r="L915" s="363"/>
      <c r="M915" s="370"/>
      <c r="N915" s="363"/>
      <c r="O915" s="363" t="b">
        <v>0</v>
      </c>
      <c r="P915" s="370"/>
    </row>
    <row r="916">
      <c r="A916" s="363" t="s">
        <v>17</v>
      </c>
      <c r="B916" s="363" t="s">
        <v>23</v>
      </c>
      <c r="C916" s="363" t="s">
        <v>1451</v>
      </c>
      <c r="D916" s="366">
        <v>45699.0</v>
      </c>
      <c r="E916" s="363" t="s">
        <v>1691</v>
      </c>
      <c r="F916" s="363" t="s">
        <v>1692</v>
      </c>
      <c r="G916" s="363" t="s">
        <v>1693</v>
      </c>
      <c r="H916" s="363"/>
      <c r="I916" s="363" t="s">
        <v>1694</v>
      </c>
      <c r="J916" s="363" t="s">
        <v>1695</v>
      </c>
      <c r="K916" s="363" t="s">
        <v>1697</v>
      </c>
      <c r="L916" s="363" t="s">
        <v>1697</v>
      </c>
      <c r="M916" s="370"/>
      <c r="N916" s="363"/>
      <c r="O916" s="363" t="b">
        <v>0</v>
      </c>
      <c r="P916" s="370"/>
    </row>
    <row r="917">
      <c r="A917" s="363" t="s">
        <v>17</v>
      </c>
      <c r="B917" s="363" t="s">
        <v>23</v>
      </c>
      <c r="C917" s="363" t="s">
        <v>1451</v>
      </c>
      <c r="D917" s="366">
        <v>45699.0</v>
      </c>
      <c r="E917" s="363" t="s">
        <v>1713</v>
      </c>
      <c r="F917" s="363" t="s">
        <v>1714</v>
      </c>
      <c r="G917" s="363" t="s">
        <v>1715</v>
      </c>
      <c r="H917" s="363"/>
      <c r="I917" s="363" t="s">
        <v>1716</v>
      </c>
      <c r="J917" s="363" t="s">
        <v>1718</v>
      </c>
      <c r="K917" s="363" t="s">
        <v>1719</v>
      </c>
      <c r="L917" s="363" t="s">
        <v>1719</v>
      </c>
      <c r="M917" s="370"/>
      <c r="N917" s="363"/>
      <c r="O917" s="363" t="b">
        <v>0</v>
      </c>
      <c r="P917" s="370"/>
    </row>
    <row r="918">
      <c r="A918" s="363" t="s">
        <v>17</v>
      </c>
      <c r="B918" s="363" t="s">
        <v>23</v>
      </c>
      <c r="C918" s="363" t="s">
        <v>1451</v>
      </c>
      <c r="D918" s="366">
        <v>45701.0</v>
      </c>
      <c r="E918" s="363" t="s">
        <v>1721</v>
      </c>
      <c r="F918" s="363" t="s">
        <v>1723</v>
      </c>
      <c r="G918" s="363" t="s">
        <v>1724</v>
      </c>
      <c r="H918" s="363"/>
      <c r="I918" s="363" t="s">
        <v>445</v>
      </c>
      <c r="J918" s="363" t="s">
        <v>1725</v>
      </c>
      <c r="K918" s="363"/>
      <c r="L918" s="363"/>
      <c r="M918" s="370"/>
      <c r="N918" s="363"/>
      <c r="O918" s="363" t="b">
        <v>0</v>
      </c>
      <c r="P918" s="370"/>
    </row>
    <row r="919">
      <c r="A919" s="363" t="s">
        <v>17</v>
      </c>
      <c r="B919" s="363" t="s">
        <v>53</v>
      </c>
      <c r="C919" s="363" t="s">
        <v>1451</v>
      </c>
      <c r="D919" s="366">
        <v>45695.0</v>
      </c>
      <c r="E919" s="363" t="s">
        <v>1739</v>
      </c>
      <c r="F919" s="363" t="s">
        <v>1740</v>
      </c>
      <c r="G919" s="363" t="s">
        <v>1741</v>
      </c>
      <c r="H919" s="363"/>
      <c r="I919" s="363" t="s">
        <v>1630</v>
      </c>
      <c r="J919" s="363" t="s">
        <v>1742</v>
      </c>
      <c r="K919" s="363" t="s">
        <v>1743</v>
      </c>
      <c r="L919" s="363" t="s">
        <v>1743</v>
      </c>
      <c r="M919" s="370"/>
      <c r="N919" s="363"/>
      <c r="O919" s="363" t="b">
        <v>0</v>
      </c>
      <c r="P919" s="370"/>
    </row>
    <row r="920">
      <c r="A920" s="363" t="s">
        <v>17</v>
      </c>
      <c r="B920" s="363" t="s">
        <v>53</v>
      </c>
      <c r="C920" s="363" t="s">
        <v>1451</v>
      </c>
      <c r="D920" s="366">
        <v>45706.0</v>
      </c>
      <c r="E920" s="363" t="s">
        <v>1744</v>
      </c>
      <c r="F920" s="363" t="s">
        <v>1745</v>
      </c>
      <c r="G920" s="363" t="s">
        <v>1746</v>
      </c>
      <c r="H920" s="363"/>
      <c r="I920" s="363" t="s">
        <v>1146</v>
      </c>
      <c r="J920" s="363" t="s">
        <v>1747</v>
      </c>
      <c r="K920" s="363" t="s">
        <v>1748</v>
      </c>
      <c r="L920" s="363" t="s">
        <v>1748</v>
      </c>
      <c r="M920" s="370"/>
      <c r="N920" s="363"/>
      <c r="O920" s="363" t="b">
        <v>0</v>
      </c>
      <c r="P920" s="370"/>
    </row>
    <row r="921">
      <c r="A921" s="363" t="s">
        <v>17</v>
      </c>
      <c r="B921" s="363" t="s">
        <v>53</v>
      </c>
      <c r="C921" s="363" t="s">
        <v>1527</v>
      </c>
      <c r="D921" s="366">
        <v>45707.0</v>
      </c>
      <c r="E921" s="363" t="s">
        <v>1754</v>
      </c>
      <c r="F921" s="363" t="s">
        <v>1755</v>
      </c>
      <c r="G921" s="363" t="s">
        <v>1756</v>
      </c>
      <c r="H921" s="363"/>
      <c r="I921" s="363" t="s">
        <v>1760</v>
      </c>
      <c r="J921" s="363" t="s">
        <v>1763</v>
      </c>
      <c r="K921" s="363" t="s">
        <v>64</v>
      </c>
      <c r="L921" s="363" t="s">
        <v>64</v>
      </c>
      <c r="M921" s="370"/>
      <c r="N921" s="363"/>
      <c r="O921" s="363" t="b">
        <v>0</v>
      </c>
      <c r="P921" s="370"/>
    </row>
    <row r="922">
      <c r="A922" s="363" t="s">
        <v>17</v>
      </c>
      <c r="B922" s="363" t="s">
        <v>53</v>
      </c>
      <c r="C922" s="363" t="s">
        <v>1451</v>
      </c>
      <c r="D922" s="366">
        <v>45707.0</v>
      </c>
      <c r="E922" s="363" t="s">
        <v>1776</v>
      </c>
      <c r="F922" s="363" t="s">
        <v>1778</v>
      </c>
      <c r="G922" s="363" t="s">
        <v>1779</v>
      </c>
      <c r="H922" s="363"/>
      <c r="I922" s="363" t="s">
        <v>1780</v>
      </c>
      <c r="J922" s="363" t="s">
        <v>1782</v>
      </c>
      <c r="K922" s="363"/>
      <c r="L922" s="363"/>
      <c r="M922" s="370"/>
      <c r="N922" s="363"/>
      <c r="O922" s="363" t="b">
        <v>0</v>
      </c>
      <c r="P922" s="370"/>
    </row>
    <row r="923">
      <c r="A923" s="363" t="s">
        <v>17</v>
      </c>
      <c r="B923" s="363" t="s">
        <v>23</v>
      </c>
      <c r="C923" s="363" t="s">
        <v>1451</v>
      </c>
      <c r="D923" s="366">
        <v>45707.0</v>
      </c>
      <c r="E923" s="363" t="s">
        <v>1786</v>
      </c>
      <c r="F923" s="363" t="s">
        <v>1788</v>
      </c>
      <c r="G923" s="363" t="s">
        <v>1790</v>
      </c>
      <c r="H923" s="363"/>
      <c r="I923" s="363" t="s">
        <v>1630</v>
      </c>
      <c r="J923" s="363" t="s">
        <v>1794</v>
      </c>
      <c r="K923" s="363" t="s">
        <v>1795</v>
      </c>
      <c r="L923" s="363" t="s">
        <v>1795</v>
      </c>
      <c r="M923" s="370"/>
      <c r="N923" s="363"/>
      <c r="O923" s="363" t="b">
        <v>0</v>
      </c>
      <c r="P923" s="370"/>
    </row>
    <row r="924">
      <c r="A924" s="363" t="s">
        <v>17</v>
      </c>
      <c r="B924" s="363" t="s">
        <v>53</v>
      </c>
      <c r="C924" s="363" t="s">
        <v>1451</v>
      </c>
      <c r="D924" s="366">
        <v>45707.0</v>
      </c>
      <c r="E924" s="363" t="s">
        <v>1797</v>
      </c>
      <c r="F924" s="363" t="s">
        <v>1798</v>
      </c>
      <c r="G924" s="363" t="s">
        <v>1799</v>
      </c>
      <c r="H924" s="363"/>
      <c r="I924" s="363" t="s">
        <v>445</v>
      </c>
      <c r="J924" s="363" t="s">
        <v>1800</v>
      </c>
      <c r="K924" s="363" t="s">
        <v>1802</v>
      </c>
      <c r="L924" s="363" t="s">
        <v>1802</v>
      </c>
      <c r="M924" s="370"/>
      <c r="N924" s="363"/>
      <c r="O924" s="363" t="b">
        <v>0</v>
      </c>
      <c r="P924" s="370"/>
    </row>
    <row r="925">
      <c r="A925" s="363" t="s">
        <v>17</v>
      </c>
      <c r="B925" s="363" t="s">
        <v>23</v>
      </c>
      <c r="C925" s="363" t="s">
        <v>1451</v>
      </c>
      <c r="D925" s="366">
        <v>45707.0</v>
      </c>
      <c r="E925" s="363" t="s">
        <v>1819</v>
      </c>
      <c r="F925" s="363" t="s">
        <v>1820</v>
      </c>
      <c r="G925" s="363" t="s">
        <v>1821</v>
      </c>
      <c r="H925" s="363" t="s">
        <v>1823</v>
      </c>
      <c r="I925" s="363" t="s">
        <v>1824</v>
      </c>
      <c r="J925" s="363" t="s">
        <v>1826</v>
      </c>
      <c r="K925" s="363" t="s">
        <v>1827</v>
      </c>
      <c r="L925" s="363" t="s">
        <v>1827</v>
      </c>
      <c r="M925" s="370"/>
      <c r="N925" s="363"/>
      <c r="O925" s="363" t="b">
        <v>0</v>
      </c>
      <c r="P925" s="370"/>
    </row>
    <row r="926">
      <c r="A926" s="363" t="s">
        <v>17</v>
      </c>
      <c r="B926" s="363" t="s">
        <v>23</v>
      </c>
      <c r="C926" s="363" t="s">
        <v>1451</v>
      </c>
      <c r="D926" s="366">
        <v>45707.0</v>
      </c>
      <c r="E926" s="363" t="s">
        <v>1833</v>
      </c>
      <c r="F926" s="363" t="s">
        <v>1833</v>
      </c>
      <c r="G926" s="363" t="s">
        <v>1834</v>
      </c>
      <c r="H926" s="363"/>
      <c r="I926" s="363" t="s">
        <v>1716</v>
      </c>
      <c r="J926" s="363" t="s">
        <v>1835</v>
      </c>
      <c r="K926" s="363" t="s">
        <v>1836</v>
      </c>
      <c r="L926" s="363" t="s">
        <v>1836</v>
      </c>
      <c r="M926" s="370"/>
      <c r="N926" s="363"/>
      <c r="O926" s="363" t="b">
        <v>0</v>
      </c>
      <c r="P926" s="370"/>
    </row>
    <row r="927">
      <c r="A927" s="363" t="s">
        <v>17</v>
      </c>
      <c r="B927" s="363" t="s">
        <v>53</v>
      </c>
      <c r="C927" s="363" t="s">
        <v>1451</v>
      </c>
      <c r="D927" s="366">
        <v>45708.0</v>
      </c>
      <c r="E927" s="363" t="s">
        <v>1844</v>
      </c>
      <c r="F927" s="363" t="s">
        <v>1846</v>
      </c>
      <c r="G927" s="363" t="s">
        <v>1849</v>
      </c>
      <c r="H927" s="363"/>
      <c r="I927" s="363" t="s">
        <v>1851</v>
      </c>
      <c r="J927" s="363" t="s">
        <v>1853</v>
      </c>
      <c r="K927" s="363" t="s">
        <v>1855</v>
      </c>
      <c r="L927" s="363" t="s">
        <v>1855</v>
      </c>
      <c r="M927" s="370"/>
      <c r="N927" s="363"/>
      <c r="O927" s="363" t="b">
        <v>0</v>
      </c>
      <c r="P927" s="370"/>
    </row>
    <row r="928">
      <c r="A928" s="363" t="s">
        <v>17</v>
      </c>
      <c r="B928" s="363" t="s">
        <v>23</v>
      </c>
      <c r="C928" s="363" t="s">
        <v>1451</v>
      </c>
      <c r="D928" s="366">
        <v>45709.0</v>
      </c>
      <c r="E928" s="363" t="s">
        <v>1860</v>
      </c>
      <c r="F928" s="363" t="s">
        <v>1861</v>
      </c>
      <c r="G928" s="363" t="s">
        <v>1862</v>
      </c>
      <c r="H928" s="363"/>
      <c r="I928" s="363" t="s">
        <v>131</v>
      </c>
      <c r="J928" s="363" t="s">
        <v>1863</v>
      </c>
      <c r="K928" s="363" t="s">
        <v>1865</v>
      </c>
      <c r="L928" s="363" t="s">
        <v>1865</v>
      </c>
      <c r="M928" s="370"/>
      <c r="N928" s="363"/>
      <c r="O928" s="363" t="b">
        <v>0</v>
      </c>
      <c r="P928" s="370"/>
    </row>
    <row r="929">
      <c r="A929" s="363" t="s">
        <v>17</v>
      </c>
      <c r="B929" s="363" t="s">
        <v>23</v>
      </c>
      <c r="C929" s="363" t="s">
        <v>1451</v>
      </c>
      <c r="D929" s="366">
        <v>45712.0</v>
      </c>
      <c r="E929" s="363" t="s">
        <v>1869</v>
      </c>
      <c r="F929" s="363" t="s">
        <v>1870</v>
      </c>
      <c r="G929" s="363" t="s">
        <v>1871</v>
      </c>
      <c r="H929" s="363" t="s">
        <v>1872</v>
      </c>
      <c r="I929" s="363" t="s">
        <v>1874</v>
      </c>
      <c r="J929" s="363" t="s">
        <v>1875</v>
      </c>
      <c r="K929" s="363" t="s">
        <v>1876</v>
      </c>
      <c r="L929" s="363" t="s">
        <v>1876</v>
      </c>
      <c r="M929" s="370"/>
      <c r="N929" s="363"/>
      <c r="O929" s="363" t="b">
        <v>0</v>
      </c>
      <c r="P929" s="370"/>
    </row>
    <row r="930">
      <c r="A930" s="363" t="s">
        <v>17</v>
      </c>
      <c r="B930" s="363" t="s">
        <v>53</v>
      </c>
      <c r="C930" s="363" t="s">
        <v>1451</v>
      </c>
      <c r="D930" s="366">
        <v>45713.0</v>
      </c>
      <c r="E930" s="363" t="s">
        <v>1884</v>
      </c>
      <c r="F930" s="363" t="s">
        <v>1885</v>
      </c>
      <c r="G930" s="363" t="s">
        <v>1886</v>
      </c>
      <c r="H930" s="363"/>
      <c r="I930" s="363" t="s">
        <v>1887</v>
      </c>
      <c r="J930" s="363" t="s">
        <v>1888</v>
      </c>
      <c r="K930" s="363" t="s">
        <v>1889</v>
      </c>
      <c r="L930" s="363" t="s">
        <v>1889</v>
      </c>
      <c r="M930" s="370"/>
      <c r="N930" s="363"/>
      <c r="O930" s="363" t="b">
        <v>0</v>
      </c>
      <c r="P930" s="370"/>
    </row>
    <row r="931">
      <c r="A931" s="363" t="s">
        <v>17</v>
      </c>
      <c r="B931" s="363" t="s">
        <v>23</v>
      </c>
      <c r="C931" s="363" t="s">
        <v>1527</v>
      </c>
      <c r="D931" s="366">
        <v>45714.0</v>
      </c>
      <c r="E931" s="363" t="s">
        <v>1894</v>
      </c>
      <c r="F931" s="363" t="s">
        <v>1895</v>
      </c>
      <c r="G931" s="363" t="s">
        <v>1896</v>
      </c>
      <c r="H931" s="363"/>
      <c r="I931" s="363" t="s">
        <v>1898</v>
      </c>
      <c r="J931" s="363" t="s">
        <v>1899</v>
      </c>
      <c r="K931" s="363" t="s">
        <v>1900</v>
      </c>
      <c r="L931" s="363" t="s">
        <v>1900</v>
      </c>
      <c r="M931" s="370"/>
      <c r="N931" s="363"/>
      <c r="O931" s="363" t="b">
        <v>0</v>
      </c>
      <c r="P931" s="370"/>
    </row>
    <row r="932">
      <c r="A932" s="363" t="s">
        <v>17</v>
      </c>
      <c r="B932" s="363" t="s">
        <v>23</v>
      </c>
      <c r="C932" s="363" t="s">
        <v>1451</v>
      </c>
      <c r="D932" s="366">
        <v>45715.0</v>
      </c>
      <c r="E932" s="363" t="s">
        <v>1901</v>
      </c>
      <c r="F932" s="363" t="s">
        <v>1903</v>
      </c>
      <c r="G932" s="363" t="s">
        <v>1906</v>
      </c>
      <c r="H932" s="363" t="s">
        <v>1908</v>
      </c>
      <c r="I932" s="363" t="s">
        <v>973</v>
      </c>
      <c r="J932" s="363" t="s">
        <v>1912</v>
      </c>
      <c r="K932" s="363"/>
      <c r="L932" s="363"/>
      <c r="M932" s="370"/>
      <c r="N932" s="363"/>
      <c r="O932" s="363" t="b">
        <v>0</v>
      </c>
      <c r="P932" s="370"/>
    </row>
    <row r="933">
      <c r="A933" s="363" t="s">
        <v>17</v>
      </c>
      <c r="B933" s="363" t="s">
        <v>53</v>
      </c>
      <c r="C933" s="363" t="s">
        <v>1527</v>
      </c>
      <c r="D933" s="366">
        <v>45720.0</v>
      </c>
      <c r="E933" s="363" t="s">
        <v>1915</v>
      </c>
      <c r="F933" s="363" t="s">
        <v>1916</v>
      </c>
      <c r="G933" s="363" t="s">
        <v>1917</v>
      </c>
      <c r="H933" s="363"/>
      <c r="I933" s="363" t="s">
        <v>1918</v>
      </c>
      <c r="J933" s="363" t="s">
        <v>1921</v>
      </c>
      <c r="K933" s="363" t="s">
        <v>1922</v>
      </c>
      <c r="L933" s="363" t="s">
        <v>1922</v>
      </c>
      <c r="M933" s="370"/>
      <c r="N933" s="363"/>
      <c r="O933" s="363" t="b">
        <v>0</v>
      </c>
      <c r="P933" s="370"/>
    </row>
    <row r="934">
      <c r="A934" s="363" t="s">
        <v>17</v>
      </c>
      <c r="B934" s="363" t="s">
        <v>23</v>
      </c>
      <c r="C934" s="363" t="s">
        <v>1451</v>
      </c>
      <c r="D934" s="366">
        <v>45720.0</v>
      </c>
      <c r="E934" s="363" t="s">
        <v>1931</v>
      </c>
      <c r="F934" s="363" t="s">
        <v>1932</v>
      </c>
      <c r="G934" s="363" t="s">
        <v>1933</v>
      </c>
      <c r="H934" s="363"/>
      <c r="I934" s="363" t="s">
        <v>1807</v>
      </c>
      <c r="J934" s="363" t="s">
        <v>1934</v>
      </c>
      <c r="K934" s="363" t="s">
        <v>1935</v>
      </c>
      <c r="L934" s="363" t="s">
        <v>1935</v>
      </c>
      <c r="M934" s="370">
        <v>0.75</v>
      </c>
      <c r="N934" s="363"/>
      <c r="O934" s="363" t="b">
        <v>0</v>
      </c>
      <c r="P934" s="370"/>
    </row>
    <row r="935">
      <c r="A935" s="363" t="s">
        <v>17</v>
      </c>
      <c r="B935" s="363" t="s">
        <v>53</v>
      </c>
      <c r="C935" s="363" t="s">
        <v>1451</v>
      </c>
      <c r="D935" s="366">
        <v>45720.0</v>
      </c>
      <c r="E935" s="363" t="s">
        <v>1947</v>
      </c>
      <c r="F935" s="363" t="s">
        <v>1949</v>
      </c>
      <c r="G935" s="363" t="s">
        <v>1950</v>
      </c>
      <c r="H935" s="363"/>
      <c r="I935" s="363" t="s">
        <v>497</v>
      </c>
      <c r="J935" s="363" t="s">
        <v>1953</v>
      </c>
      <c r="K935" s="363" t="s">
        <v>1954</v>
      </c>
      <c r="L935" s="363" t="s">
        <v>1954</v>
      </c>
      <c r="M935" s="370">
        <v>0.4</v>
      </c>
      <c r="N935" s="363"/>
      <c r="O935" s="363" t="b">
        <v>0</v>
      </c>
      <c r="P935" s="370"/>
    </row>
    <row r="936">
      <c r="A936" s="363" t="s">
        <v>17</v>
      </c>
      <c r="B936" s="363" t="s">
        <v>23</v>
      </c>
      <c r="C936" s="363" t="s">
        <v>1451</v>
      </c>
      <c r="D936" s="366">
        <v>45720.0</v>
      </c>
      <c r="E936" s="363" t="s">
        <v>1967</v>
      </c>
      <c r="F936" s="363" t="s">
        <v>1968</v>
      </c>
      <c r="G936" s="363" t="s">
        <v>1969</v>
      </c>
      <c r="H936" s="363" t="s">
        <v>1970</v>
      </c>
      <c r="I936" s="363" t="s">
        <v>1971</v>
      </c>
      <c r="J936" s="363" t="s">
        <v>1972</v>
      </c>
      <c r="K936" s="363" t="s">
        <v>1973</v>
      </c>
      <c r="L936" s="363" t="s">
        <v>1973</v>
      </c>
      <c r="M936" s="370">
        <v>0.8</v>
      </c>
      <c r="N936" s="363"/>
      <c r="O936" s="363" t="b">
        <v>0</v>
      </c>
      <c r="P936" s="370"/>
    </row>
    <row r="937">
      <c r="A937" s="363" t="s">
        <v>17</v>
      </c>
      <c r="B937" s="363" t="s">
        <v>23</v>
      </c>
      <c r="C937" s="363" t="s">
        <v>1451</v>
      </c>
      <c r="D937" s="366">
        <v>45721.0</v>
      </c>
      <c r="E937" s="363" t="s">
        <v>1985</v>
      </c>
      <c r="F937" s="363" t="s">
        <v>1986</v>
      </c>
      <c r="G937" s="363" t="s">
        <v>1987</v>
      </c>
      <c r="H937" s="363"/>
      <c r="I937" s="363" t="s">
        <v>409</v>
      </c>
      <c r="J937" s="363" t="s">
        <v>1988</v>
      </c>
      <c r="K937" s="363" t="s">
        <v>1989</v>
      </c>
      <c r="L937" s="363" t="s">
        <v>1989</v>
      </c>
      <c r="M937" s="370">
        <v>0.8</v>
      </c>
      <c r="N937" s="363"/>
      <c r="O937" s="363" t="b">
        <v>0</v>
      </c>
      <c r="P937" s="370"/>
    </row>
    <row r="938">
      <c r="A938" s="363" t="s">
        <v>17</v>
      </c>
      <c r="B938" s="363" t="s">
        <v>23</v>
      </c>
      <c r="C938" s="363" t="s">
        <v>1451</v>
      </c>
      <c r="D938" s="366">
        <v>45721.0</v>
      </c>
      <c r="E938" s="363" t="s">
        <v>1996</v>
      </c>
      <c r="F938" s="363" t="s">
        <v>1998</v>
      </c>
      <c r="G938" s="363" t="s">
        <v>2001</v>
      </c>
      <c r="H938" s="363"/>
      <c r="I938" s="363" t="s">
        <v>2004</v>
      </c>
      <c r="J938" s="363" t="s">
        <v>2006</v>
      </c>
      <c r="K938" s="363"/>
      <c r="L938" s="363"/>
      <c r="M938" s="370"/>
      <c r="N938" s="363"/>
      <c r="O938" s="363" t="b">
        <v>0</v>
      </c>
      <c r="P938" s="370"/>
    </row>
    <row r="939">
      <c r="A939" s="363" t="s">
        <v>17</v>
      </c>
      <c r="B939" s="363" t="s">
        <v>53</v>
      </c>
      <c r="C939" s="363" t="s">
        <v>1451</v>
      </c>
      <c r="D939" s="366">
        <v>45722.0</v>
      </c>
      <c r="E939" s="363" t="s">
        <v>2011</v>
      </c>
      <c r="F939" s="363" t="s">
        <v>2014</v>
      </c>
      <c r="G939" s="363" t="s">
        <v>2016</v>
      </c>
      <c r="H939" s="363"/>
      <c r="I939" s="363" t="s">
        <v>445</v>
      </c>
      <c r="J939" s="363" t="s">
        <v>2019</v>
      </c>
      <c r="K939" s="363" t="s">
        <v>2022</v>
      </c>
      <c r="L939" s="363" t="s">
        <v>2022</v>
      </c>
      <c r="M939" s="370">
        <v>0.3</v>
      </c>
      <c r="N939" s="363"/>
      <c r="O939" s="363" t="b">
        <v>0</v>
      </c>
      <c r="P939" s="370"/>
    </row>
    <row r="940">
      <c r="A940" s="363" t="s">
        <v>22</v>
      </c>
      <c r="B940" s="363" t="s">
        <v>53</v>
      </c>
      <c r="C940" s="363" t="s">
        <v>1451</v>
      </c>
      <c r="D940" s="366">
        <v>45723.0</v>
      </c>
      <c r="E940" s="363" t="s">
        <v>2032</v>
      </c>
      <c r="F940" s="363" t="s">
        <v>2033</v>
      </c>
      <c r="G940" s="363" t="s">
        <v>2034</v>
      </c>
      <c r="H940" s="363"/>
      <c r="I940" s="363" t="s">
        <v>1824</v>
      </c>
      <c r="J940" s="363" t="s">
        <v>2038</v>
      </c>
      <c r="K940" s="363" t="s">
        <v>2039</v>
      </c>
      <c r="L940" s="363" t="s">
        <v>2039</v>
      </c>
      <c r="M940" s="370"/>
      <c r="N940" s="363"/>
      <c r="O940" s="363" t="b">
        <v>0</v>
      </c>
      <c r="P940" s="370"/>
    </row>
    <row r="941">
      <c r="A941" s="363" t="s">
        <v>633</v>
      </c>
      <c r="B941" s="363" t="s">
        <v>23</v>
      </c>
      <c r="C941" s="363" t="s">
        <v>1451</v>
      </c>
      <c r="D941" s="366">
        <v>45726.0</v>
      </c>
      <c r="E941" s="363" t="s">
        <v>2041</v>
      </c>
      <c r="F941" s="363" t="s">
        <v>2042</v>
      </c>
      <c r="G941" s="363" t="s">
        <v>2043</v>
      </c>
      <c r="H941" s="363"/>
      <c r="I941" s="363" t="s">
        <v>2048</v>
      </c>
      <c r="J941" s="363" t="s">
        <v>2049</v>
      </c>
      <c r="K941" s="363" t="s">
        <v>2052</v>
      </c>
      <c r="L941" s="363" t="s">
        <v>2052</v>
      </c>
      <c r="M941" s="370"/>
      <c r="N941" s="363"/>
      <c r="O941" s="363" t="b">
        <v>0</v>
      </c>
      <c r="P941" s="370"/>
    </row>
    <row r="942">
      <c r="A942" s="363" t="s">
        <v>17</v>
      </c>
      <c r="B942" s="363" t="s">
        <v>23</v>
      </c>
      <c r="C942" s="363" t="s">
        <v>1451</v>
      </c>
      <c r="D942" s="366">
        <v>45726.0</v>
      </c>
      <c r="E942" s="363" t="s">
        <v>2059</v>
      </c>
      <c r="F942" s="363" t="s">
        <v>2060</v>
      </c>
      <c r="G942" s="363" t="s">
        <v>2061</v>
      </c>
      <c r="H942" s="363"/>
      <c r="I942" s="363" t="s">
        <v>290</v>
      </c>
      <c r="J942" s="363" t="s">
        <v>2063</v>
      </c>
      <c r="K942" s="363" t="s">
        <v>2065</v>
      </c>
      <c r="L942" s="363" t="s">
        <v>2065</v>
      </c>
      <c r="M942" s="370">
        <v>0.2</v>
      </c>
      <c r="N942" s="363"/>
      <c r="O942" s="363" t="b">
        <v>0</v>
      </c>
      <c r="P942" s="370"/>
    </row>
    <row r="943">
      <c r="A943" s="363" t="s">
        <v>17</v>
      </c>
      <c r="B943" s="363" t="s">
        <v>53</v>
      </c>
      <c r="C943" s="363" t="s">
        <v>1451</v>
      </c>
      <c r="D943" s="366">
        <v>45726.0</v>
      </c>
      <c r="E943" s="363" t="s">
        <v>2075</v>
      </c>
      <c r="F943" s="363" t="s">
        <v>2076</v>
      </c>
      <c r="G943" s="363" t="s">
        <v>2078</v>
      </c>
      <c r="H943" s="363"/>
      <c r="I943" s="363" t="s">
        <v>2079</v>
      </c>
      <c r="J943" s="363" t="s">
        <v>2080</v>
      </c>
      <c r="K943" s="363"/>
      <c r="L943" s="363"/>
      <c r="M943" s="370"/>
      <c r="N943" s="363"/>
      <c r="O943" s="363" t="b">
        <v>0</v>
      </c>
      <c r="P943" s="370"/>
    </row>
    <row r="944">
      <c r="A944" s="363" t="s">
        <v>17</v>
      </c>
      <c r="B944" s="363" t="s">
        <v>53</v>
      </c>
      <c r="C944" s="363" t="s">
        <v>1451</v>
      </c>
      <c r="D944" s="366">
        <v>45727.0</v>
      </c>
      <c r="E944" s="363" t="s">
        <v>2090</v>
      </c>
      <c r="F944" s="363" t="s">
        <v>2091</v>
      </c>
      <c r="G944" s="363" t="s">
        <v>2093</v>
      </c>
      <c r="H944" s="363"/>
      <c r="I944" s="363" t="s">
        <v>2096</v>
      </c>
      <c r="J944" s="363" t="s">
        <v>2101</v>
      </c>
      <c r="K944" s="363" t="s">
        <v>2103</v>
      </c>
      <c r="L944" s="363" t="s">
        <v>2103</v>
      </c>
      <c r="M944" s="370">
        <v>0.5</v>
      </c>
      <c r="N944" s="363"/>
      <c r="O944" s="363" t="b">
        <v>0</v>
      </c>
      <c r="P944" s="370"/>
    </row>
    <row r="945">
      <c r="A945" s="363" t="s">
        <v>17</v>
      </c>
      <c r="B945" s="363" t="s">
        <v>23</v>
      </c>
      <c r="C945" s="363" t="s">
        <v>1451</v>
      </c>
      <c r="D945" s="366">
        <v>45727.0</v>
      </c>
      <c r="E945" s="363" t="s">
        <v>2108</v>
      </c>
      <c r="F945" s="363" t="s">
        <v>2110</v>
      </c>
      <c r="G945" s="363" t="s">
        <v>2112</v>
      </c>
      <c r="H945" s="363"/>
      <c r="I945" s="363" t="s">
        <v>2114</v>
      </c>
      <c r="J945" s="363" t="s">
        <v>2115</v>
      </c>
      <c r="K945" s="363" t="s">
        <v>2116</v>
      </c>
      <c r="L945" s="363" t="s">
        <v>2116</v>
      </c>
      <c r="M945" s="370">
        <v>0.2</v>
      </c>
      <c r="N945" s="363"/>
      <c r="O945" s="363" t="b">
        <v>0</v>
      </c>
      <c r="P945" s="370"/>
    </row>
    <row r="946">
      <c r="A946" s="363" t="s">
        <v>17</v>
      </c>
      <c r="B946" s="363" t="s">
        <v>23</v>
      </c>
      <c r="C946" s="363" t="s">
        <v>1451</v>
      </c>
      <c r="D946" s="366">
        <v>45730.0</v>
      </c>
      <c r="E946" s="363" t="s">
        <v>2123</v>
      </c>
      <c r="F946" s="363" t="s">
        <v>2124</v>
      </c>
      <c r="G946" s="363" t="s">
        <v>2125</v>
      </c>
      <c r="H946" s="363"/>
      <c r="I946" s="363" t="s">
        <v>268</v>
      </c>
      <c r="J946" s="363" t="s">
        <v>2127</v>
      </c>
      <c r="K946" s="363" t="s">
        <v>2129</v>
      </c>
      <c r="L946" s="363" t="s">
        <v>2129</v>
      </c>
      <c r="M946" s="370">
        <v>0.2</v>
      </c>
      <c r="N946" s="363"/>
      <c r="O946" s="363" t="b">
        <v>0</v>
      </c>
      <c r="P946" s="370"/>
    </row>
    <row r="947">
      <c r="A947" s="363" t="s">
        <v>17</v>
      </c>
      <c r="B947" s="363" t="s">
        <v>53</v>
      </c>
      <c r="C947" s="363" t="s">
        <v>1451</v>
      </c>
      <c r="D947" s="366">
        <v>45730.0</v>
      </c>
      <c r="E947" s="363" t="s">
        <v>2141</v>
      </c>
      <c r="F947" s="363" t="s">
        <v>2142</v>
      </c>
      <c r="G947" s="363" t="s">
        <v>2143</v>
      </c>
      <c r="H947" s="363"/>
      <c r="I947" s="363" t="s">
        <v>268</v>
      </c>
      <c r="J947" s="363" t="s">
        <v>2145</v>
      </c>
      <c r="K947" s="363" t="s">
        <v>2147</v>
      </c>
      <c r="L947" s="363" t="s">
        <v>2147</v>
      </c>
      <c r="M947" s="370">
        <v>0.2</v>
      </c>
      <c r="N947" s="363"/>
      <c r="O947" s="363" t="b">
        <v>0</v>
      </c>
      <c r="P947" s="370"/>
    </row>
    <row r="948">
      <c r="A948" s="363" t="s">
        <v>17</v>
      </c>
      <c r="B948" s="363" t="s">
        <v>23</v>
      </c>
      <c r="C948" s="363" t="s">
        <v>1451</v>
      </c>
      <c r="D948" s="366">
        <v>45733.0</v>
      </c>
      <c r="E948" s="363" t="s">
        <v>2148</v>
      </c>
      <c r="F948" s="363" t="s">
        <v>2149</v>
      </c>
      <c r="G948" s="363" t="s">
        <v>2150</v>
      </c>
      <c r="H948" s="363"/>
      <c r="I948" s="363" t="s">
        <v>69</v>
      </c>
      <c r="J948" s="363" t="s">
        <v>2153</v>
      </c>
      <c r="K948" s="363"/>
      <c r="L948" s="363"/>
      <c r="M948" s="370"/>
      <c r="N948" s="363"/>
      <c r="O948" s="363" t="b">
        <v>0</v>
      </c>
      <c r="P948" s="370"/>
    </row>
    <row r="949">
      <c r="A949" s="363" t="s">
        <v>17</v>
      </c>
      <c r="B949" s="363" t="s">
        <v>23</v>
      </c>
      <c r="C949" s="363" t="s">
        <v>1451</v>
      </c>
      <c r="D949" s="366">
        <v>45735.0</v>
      </c>
      <c r="E949" s="363" t="s">
        <v>2162</v>
      </c>
      <c r="F949" s="363" t="s">
        <v>2163</v>
      </c>
      <c r="G949" s="363" t="s">
        <v>2164</v>
      </c>
      <c r="H949" s="363" t="s">
        <v>2165</v>
      </c>
      <c r="I949" s="363" t="s">
        <v>2048</v>
      </c>
      <c r="J949" s="363" t="s">
        <v>2166</v>
      </c>
      <c r="K949" s="363" t="s">
        <v>2167</v>
      </c>
      <c r="L949" s="363" t="s">
        <v>2167</v>
      </c>
      <c r="M949" s="370">
        <v>0.1</v>
      </c>
      <c r="N949" s="363"/>
      <c r="O949" s="363" t="b">
        <v>0</v>
      </c>
      <c r="P949" s="370"/>
    </row>
    <row r="950">
      <c r="A950" s="363" t="s">
        <v>22</v>
      </c>
      <c r="B950" s="363" t="s">
        <v>23</v>
      </c>
      <c r="C950" s="363" t="s">
        <v>1451</v>
      </c>
      <c r="D950" s="366">
        <v>45736.0</v>
      </c>
      <c r="E950" s="363" t="s">
        <v>2175</v>
      </c>
      <c r="F950" s="363" t="s">
        <v>2176</v>
      </c>
      <c r="G950" s="363" t="s">
        <v>2177</v>
      </c>
      <c r="H950" s="363" t="s">
        <v>2178</v>
      </c>
      <c r="I950" s="363" t="s">
        <v>997</v>
      </c>
      <c r="J950" s="363" t="s">
        <v>2179</v>
      </c>
      <c r="K950" s="363" t="s">
        <v>2180</v>
      </c>
      <c r="L950" s="363" t="s">
        <v>2180</v>
      </c>
      <c r="M950" s="370">
        <v>0.85</v>
      </c>
      <c r="N950" s="363"/>
      <c r="O950" s="363" t="b">
        <v>0</v>
      </c>
      <c r="P950" s="370"/>
    </row>
    <row r="951">
      <c r="A951" s="363" t="s">
        <v>633</v>
      </c>
      <c r="B951" s="363" t="s">
        <v>53</v>
      </c>
      <c r="C951" s="363" t="s">
        <v>1451</v>
      </c>
      <c r="D951" s="366">
        <v>45737.0</v>
      </c>
      <c r="E951" s="363" t="s">
        <v>2187</v>
      </c>
      <c r="F951" s="363" t="s">
        <v>2189</v>
      </c>
      <c r="G951" s="363" t="s">
        <v>2191</v>
      </c>
      <c r="H951" s="363" t="s">
        <v>2193</v>
      </c>
      <c r="I951" s="363" t="s">
        <v>2195</v>
      </c>
      <c r="J951" s="363" t="s">
        <v>2196</v>
      </c>
      <c r="K951" s="363" t="s">
        <v>2198</v>
      </c>
      <c r="L951" s="363" t="s">
        <v>2198</v>
      </c>
      <c r="M951" s="370"/>
      <c r="N951" s="363"/>
      <c r="O951" s="363" t="b">
        <v>0</v>
      </c>
      <c r="P951" s="370"/>
    </row>
    <row r="952">
      <c r="A952" s="363" t="s">
        <v>22</v>
      </c>
      <c r="B952" s="363" t="s">
        <v>53</v>
      </c>
      <c r="C952" s="363" t="s">
        <v>1451</v>
      </c>
      <c r="D952" s="366">
        <v>45737.0</v>
      </c>
      <c r="E952" s="363" t="s">
        <v>2207</v>
      </c>
      <c r="F952" s="363" t="s">
        <v>2208</v>
      </c>
      <c r="G952" s="363" t="s">
        <v>2209</v>
      </c>
      <c r="H952" s="363" t="s">
        <v>2210</v>
      </c>
      <c r="I952" s="363" t="s">
        <v>340</v>
      </c>
      <c r="J952" s="363" t="s">
        <v>2211</v>
      </c>
      <c r="K952" s="363" t="s">
        <v>2212</v>
      </c>
      <c r="L952" s="363" t="s">
        <v>2212</v>
      </c>
      <c r="M952" s="370"/>
      <c r="N952" s="363"/>
      <c r="O952" s="363" t="b">
        <v>0</v>
      </c>
      <c r="P952" s="370"/>
    </row>
    <row r="953">
      <c r="A953" s="363" t="s">
        <v>410</v>
      </c>
      <c r="B953" s="363" t="s">
        <v>53</v>
      </c>
      <c r="C953" s="363" t="s">
        <v>1451</v>
      </c>
      <c r="D953" s="366">
        <v>45741.0</v>
      </c>
      <c r="E953" s="363" t="s">
        <v>2223</v>
      </c>
      <c r="F953" s="363" t="s">
        <v>2224</v>
      </c>
      <c r="G953" s="363" t="s">
        <v>2225</v>
      </c>
      <c r="H953" s="363" t="s">
        <v>2226</v>
      </c>
      <c r="I953" s="363" t="s">
        <v>2227</v>
      </c>
      <c r="J953" s="363" t="s">
        <v>2228</v>
      </c>
      <c r="K953" s="363" t="s">
        <v>2229</v>
      </c>
      <c r="L953" s="363" t="s">
        <v>2229</v>
      </c>
      <c r="M953" s="370">
        <v>0.1</v>
      </c>
      <c r="N953" s="363"/>
      <c r="O953" s="363" t="b">
        <v>0</v>
      </c>
      <c r="P953" s="370"/>
    </row>
    <row r="954">
      <c r="A954" s="363" t="s">
        <v>633</v>
      </c>
      <c r="B954" s="363" t="s">
        <v>23</v>
      </c>
      <c r="C954" s="363" t="s">
        <v>1451</v>
      </c>
      <c r="D954" s="366">
        <v>45742.0</v>
      </c>
      <c r="E954" s="363" t="s">
        <v>2234</v>
      </c>
      <c r="F954" s="363"/>
      <c r="G954" s="363" t="s">
        <v>2236</v>
      </c>
      <c r="H954" s="363"/>
      <c r="I954" s="363" t="s">
        <v>184</v>
      </c>
      <c r="J954" s="363" t="s">
        <v>2239</v>
      </c>
      <c r="K954" s="363" t="s">
        <v>2241</v>
      </c>
      <c r="L954" s="363" t="s">
        <v>2241</v>
      </c>
      <c r="M954" s="370">
        <v>0.25</v>
      </c>
      <c r="N954" s="363"/>
      <c r="O954" s="363" t="b">
        <v>0</v>
      </c>
      <c r="P954" s="370"/>
    </row>
    <row r="955">
      <c r="A955" s="363" t="s">
        <v>22</v>
      </c>
      <c r="B955" s="363" t="s">
        <v>53</v>
      </c>
      <c r="C955" s="363" t="s">
        <v>1451</v>
      </c>
      <c r="D955" s="366">
        <v>45743.0</v>
      </c>
      <c r="E955" s="363" t="s">
        <v>2244</v>
      </c>
      <c r="F955" s="363" t="s">
        <v>2246</v>
      </c>
      <c r="G955" s="363" t="s">
        <v>2247</v>
      </c>
      <c r="H955" s="363" t="s">
        <v>2249</v>
      </c>
      <c r="I955" s="363" t="s">
        <v>2251</v>
      </c>
      <c r="J955" s="363" t="s">
        <v>2253</v>
      </c>
      <c r="K955" s="363" t="s">
        <v>2255</v>
      </c>
      <c r="L955" s="363" t="s">
        <v>2255</v>
      </c>
      <c r="M955" s="370"/>
      <c r="N955" s="363"/>
      <c r="O955" s="363" t="b">
        <v>0</v>
      </c>
      <c r="P955" s="370"/>
    </row>
    <row r="956">
      <c r="A956" s="363" t="s">
        <v>22</v>
      </c>
      <c r="B956" s="363" t="s">
        <v>53</v>
      </c>
      <c r="C956" s="363" t="s">
        <v>1451</v>
      </c>
      <c r="D956" s="366">
        <v>45743.0</v>
      </c>
      <c r="E956" s="363" t="s">
        <v>2259</v>
      </c>
      <c r="F956" s="363" t="s">
        <v>2260</v>
      </c>
      <c r="G956" s="363" t="s">
        <v>2261</v>
      </c>
      <c r="H956" s="363" t="s">
        <v>2263</v>
      </c>
      <c r="I956" s="363" t="s">
        <v>2265</v>
      </c>
      <c r="J956" s="363" t="s">
        <v>2266</v>
      </c>
      <c r="K956" s="363" t="s">
        <v>2267</v>
      </c>
      <c r="L956" s="363" t="s">
        <v>2267</v>
      </c>
      <c r="M956" s="370">
        <v>0.9</v>
      </c>
      <c r="N956" s="363"/>
      <c r="O956" s="363" t="b">
        <v>0</v>
      </c>
      <c r="P956" s="370"/>
    </row>
    <row r="957">
      <c r="A957" s="363" t="s">
        <v>17</v>
      </c>
      <c r="B957" s="363" t="s">
        <v>53</v>
      </c>
      <c r="C957" s="363" t="s">
        <v>1527</v>
      </c>
      <c r="D957" s="366">
        <v>45744.0</v>
      </c>
      <c r="E957" s="363" t="s">
        <v>2273</v>
      </c>
      <c r="F957" s="363" t="s">
        <v>2274</v>
      </c>
      <c r="G957" s="363" t="s">
        <v>2276</v>
      </c>
      <c r="H957" s="363" t="s">
        <v>2278</v>
      </c>
      <c r="I957" s="363" t="s">
        <v>1918</v>
      </c>
      <c r="J957" s="363" t="s">
        <v>2280</v>
      </c>
      <c r="K957" s="363" t="s">
        <v>2281</v>
      </c>
      <c r="L957" s="363" t="s">
        <v>2281</v>
      </c>
      <c r="M957" s="370">
        <v>0.1</v>
      </c>
      <c r="N957" s="363"/>
      <c r="O957" s="363" t="b">
        <v>0</v>
      </c>
      <c r="P957" s="370"/>
    </row>
    <row r="958">
      <c r="A958" s="363" t="s">
        <v>633</v>
      </c>
      <c r="B958" s="363" t="s">
        <v>19</v>
      </c>
      <c r="C958" s="363" t="s">
        <v>1451</v>
      </c>
      <c r="D958" s="366">
        <v>45744.0</v>
      </c>
      <c r="E958" s="363" t="s">
        <v>2287</v>
      </c>
      <c r="F958" s="363" t="s">
        <v>2289</v>
      </c>
      <c r="G958" s="363" t="s">
        <v>2290</v>
      </c>
      <c r="H958" s="363"/>
      <c r="I958" s="363" t="s">
        <v>2291</v>
      </c>
      <c r="J958" s="363"/>
      <c r="K958" s="363"/>
      <c r="L958" s="363"/>
      <c r="M958" s="370">
        <v>0.0</v>
      </c>
      <c r="N958" s="363"/>
      <c r="O958" s="363" t="b">
        <v>0</v>
      </c>
      <c r="P958" s="370"/>
    </row>
    <row r="959">
      <c r="A959" s="363" t="s">
        <v>22</v>
      </c>
      <c r="B959" s="363" t="s">
        <v>53</v>
      </c>
      <c r="C959" s="363" t="s">
        <v>1527</v>
      </c>
      <c r="D959" s="366">
        <v>45750.0</v>
      </c>
      <c r="E959" s="363" t="s">
        <v>2294</v>
      </c>
      <c r="F959" s="363" t="s">
        <v>2295</v>
      </c>
      <c r="G959" s="363" t="s">
        <v>2297</v>
      </c>
      <c r="H959" s="363"/>
      <c r="I959" s="363" t="s">
        <v>997</v>
      </c>
      <c r="J959" s="363" t="s">
        <v>2299</v>
      </c>
      <c r="K959" s="363"/>
      <c r="L959" s="363"/>
      <c r="M959" s="370"/>
      <c r="N959" s="363"/>
      <c r="O959" s="363" t="b">
        <v>0</v>
      </c>
      <c r="P959" s="370"/>
    </row>
    <row r="960">
      <c r="A960" s="363" t="s">
        <v>22</v>
      </c>
      <c r="B960" s="363" t="s">
        <v>23</v>
      </c>
      <c r="C960" s="363" t="s">
        <v>1527</v>
      </c>
      <c r="D960" s="366">
        <v>45750.0</v>
      </c>
      <c r="E960" s="363" t="s">
        <v>2310</v>
      </c>
      <c r="F960" s="363" t="s">
        <v>2311</v>
      </c>
      <c r="G960" s="363">
        <v>9.23349564494E11</v>
      </c>
      <c r="H960" s="363"/>
      <c r="I960" s="363" t="s">
        <v>762</v>
      </c>
      <c r="J960" s="363" t="s">
        <v>2312</v>
      </c>
      <c r="K960" s="363"/>
      <c r="L960" s="363"/>
      <c r="M960" s="370"/>
      <c r="N960" s="363"/>
      <c r="O960" s="363" t="b">
        <v>0</v>
      </c>
      <c r="P960" s="370"/>
    </row>
    <row r="961">
      <c r="A961" s="363" t="s">
        <v>17</v>
      </c>
      <c r="B961" s="363" t="s">
        <v>19</v>
      </c>
      <c r="C961" s="363" t="s">
        <v>1527</v>
      </c>
      <c r="D961" s="366">
        <v>45751.0</v>
      </c>
      <c r="E961" s="363" t="s">
        <v>2323</v>
      </c>
      <c r="F961" s="363" t="s">
        <v>2325</v>
      </c>
      <c r="G961" s="363" t="s">
        <v>2326</v>
      </c>
      <c r="H961" s="363"/>
      <c r="I961" s="363" t="s">
        <v>30</v>
      </c>
      <c r="J961" s="363" t="s">
        <v>2329</v>
      </c>
      <c r="K961" s="363"/>
      <c r="L961" s="363"/>
      <c r="M961" s="370"/>
      <c r="N961" s="363"/>
      <c r="O961" s="363" t="b">
        <v>0</v>
      </c>
      <c r="P961" s="370"/>
    </row>
    <row r="962">
      <c r="A962" s="363" t="s">
        <v>22</v>
      </c>
      <c r="B962" s="363" t="s">
        <v>53</v>
      </c>
      <c r="C962" s="363" t="s">
        <v>1451</v>
      </c>
      <c r="D962" s="366">
        <v>45754.0</v>
      </c>
      <c r="E962" s="363" t="s">
        <v>2334</v>
      </c>
      <c r="F962" s="363" t="s">
        <v>2335</v>
      </c>
      <c r="G962" s="363" t="s">
        <v>2336</v>
      </c>
      <c r="H962" s="363" t="s">
        <v>2337</v>
      </c>
      <c r="I962" s="363" t="s">
        <v>762</v>
      </c>
      <c r="J962" s="363" t="s">
        <v>2342</v>
      </c>
      <c r="K962" s="363" t="s">
        <v>2344</v>
      </c>
      <c r="L962" s="363" t="s">
        <v>2344</v>
      </c>
      <c r="M962" s="370">
        <v>0.75</v>
      </c>
      <c r="N962" s="363"/>
      <c r="O962" s="363" t="b">
        <v>0</v>
      </c>
      <c r="P962" s="370"/>
    </row>
    <row r="963">
      <c r="A963" s="363" t="s">
        <v>22</v>
      </c>
      <c r="B963" s="363" t="s">
        <v>53</v>
      </c>
      <c r="C963" s="363" t="s">
        <v>1451</v>
      </c>
      <c r="D963" s="366">
        <v>45757.0</v>
      </c>
      <c r="E963" s="363" t="s">
        <v>2348</v>
      </c>
      <c r="F963" s="363" t="s">
        <v>2350</v>
      </c>
      <c r="G963" s="363" t="s">
        <v>2352</v>
      </c>
      <c r="H963" s="363" t="s">
        <v>2354</v>
      </c>
      <c r="I963" s="363" t="s">
        <v>2355</v>
      </c>
      <c r="J963" s="363" t="s">
        <v>2357</v>
      </c>
      <c r="K963" s="363" t="s">
        <v>2358</v>
      </c>
      <c r="L963" s="363" t="s">
        <v>2358</v>
      </c>
      <c r="M963" s="370">
        <v>0.0</v>
      </c>
      <c r="N963" s="363"/>
      <c r="O963" s="363" t="b">
        <v>0</v>
      </c>
      <c r="P963" s="370"/>
    </row>
    <row r="964">
      <c r="A964" s="363" t="s">
        <v>22</v>
      </c>
      <c r="B964" s="363" t="s">
        <v>23</v>
      </c>
      <c r="C964" s="363" t="s">
        <v>1527</v>
      </c>
      <c r="D964" s="366">
        <v>45758.0</v>
      </c>
      <c r="E964" s="363" t="s">
        <v>2363</v>
      </c>
      <c r="F964" s="363" t="s">
        <v>2364</v>
      </c>
      <c r="G964" s="363" t="s">
        <v>2365</v>
      </c>
      <c r="H964" s="363" t="s">
        <v>2366</v>
      </c>
      <c r="I964" s="363" t="s">
        <v>90</v>
      </c>
      <c r="J964" s="363" t="s">
        <v>2368</v>
      </c>
      <c r="K964" s="363" t="s">
        <v>2369</v>
      </c>
      <c r="L964" s="363" t="s">
        <v>2369</v>
      </c>
      <c r="M964" s="370"/>
      <c r="N964" s="363"/>
      <c r="O964" s="363" t="b">
        <v>0</v>
      </c>
      <c r="P964" s="370"/>
    </row>
    <row r="965">
      <c r="A965" s="363" t="s">
        <v>410</v>
      </c>
      <c r="B965" s="363" t="s">
        <v>23</v>
      </c>
      <c r="C965" s="363" t="s">
        <v>1451</v>
      </c>
      <c r="D965" s="366">
        <v>45761.0</v>
      </c>
      <c r="E965" s="363" t="s">
        <v>2377</v>
      </c>
      <c r="F965" s="363" t="s">
        <v>2378</v>
      </c>
      <c r="G965" s="363" t="s">
        <v>2379</v>
      </c>
      <c r="H965" s="363" t="s">
        <v>2380</v>
      </c>
      <c r="I965" s="363" t="s">
        <v>184</v>
      </c>
      <c r="J965" s="363" t="s">
        <v>2383</v>
      </c>
      <c r="K965" s="363" t="s">
        <v>2385</v>
      </c>
      <c r="L965" s="363" t="s">
        <v>2385</v>
      </c>
      <c r="M965" s="370">
        <v>0.0</v>
      </c>
      <c r="N965" s="363"/>
      <c r="O965" s="363" t="b">
        <v>0</v>
      </c>
      <c r="P965" s="370"/>
    </row>
    <row r="966">
      <c r="A966" s="363" t="s">
        <v>17</v>
      </c>
      <c r="B966" s="363" t="s">
        <v>53</v>
      </c>
      <c r="C966" s="363" t="s">
        <v>1451</v>
      </c>
      <c r="D966" s="366">
        <v>45761.0</v>
      </c>
      <c r="E966" s="363" t="s">
        <v>2389</v>
      </c>
      <c r="F966" s="363" t="s">
        <v>2390</v>
      </c>
      <c r="G966" s="363" t="s">
        <v>2391</v>
      </c>
      <c r="H966" s="363" t="s">
        <v>2392</v>
      </c>
      <c r="I966" s="363" t="s">
        <v>2393</v>
      </c>
      <c r="J966" s="363" t="s">
        <v>2394</v>
      </c>
      <c r="K966" s="363" t="s">
        <v>2395</v>
      </c>
      <c r="L966" s="363" t="s">
        <v>2395</v>
      </c>
      <c r="M966" s="370"/>
      <c r="N966" s="363"/>
      <c r="O966" s="363" t="b">
        <v>0</v>
      </c>
      <c r="P966" s="370"/>
    </row>
    <row r="967">
      <c r="A967" s="363" t="s">
        <v>633</v>
      </c>
      <c r="B967" s="363" t="s">
        <v>19</v>
      </c>
      <c r="C967" s="363" t="s">
        <v>1451</v>
      </c>
      <c r="D967" s="366">
        <v>45764.0</v>
      </c>
      <c r="E967" s="363" t="s">
        <v>2402</v>
      </c>
      <c r="F967" s="363" t="s">
        <v>2404</v>
      </c>
      <c r="G967" s="363" t="s">
        <v>2405</v>
      </c>
      <c r="H967" s="363" t="s">
        <v>2407</v>
      </c>
      <c r="I967" s="363" t="s">
        <v>2408</v>
      </c>
      <c r="J967" s="363" t="s">
        <v>2410</v>
      </c>
      <c r="K967" s="363" t="s">
        <v>2412</v>
      </c>
      <c r="L967" s="363" t="s">
        <v>2412</v>
      </c>
      <c r="M967" s="370">
        <v>0.05</v>
      </c>
      <c r="N967" s="363"/>
      <c r="O967" s="363" t="b">
        <v>0</v>
      </c>
      <c r="P967" s="370"/>
    </row>
    <row r="968">
      <c r="A968" s="363" t="s">
        <v>22</v>
      </c>
      <c r="B968" s="363" t="s">
        <v>53</v>
      </c>
      <c r="C968" s="363" t="s">
        <v>1527</v>
      </c>
      <c r="D968" s="366">
        <v>45765.0</v>
      </c>
      <c r="E968" s="363" t="s">
        <v>2413</v>
      </c>
      <c r="F968" s="363" t="s">
        <v>2415</v>
      </c>
      <c r="G968" s="363" t="s">
        <v>2417</v>
      </c>
      <c r="H968" s="363" t="s">
        <v>2419</v>
      </c>
      <c r="I968" s="363" t="s">
        <v>184</v>
      </c>
      <c r="J968" s="363" t="s">
        <v>2422</v>
      </c>
      <c r="K968" s="363" t="s">
        <v>2424</v>
      </c>
      <c r="L968" s="363" t="s">
        <v>2424</v>
      </c>
      <c r="M968" s="370"/>
      <c r="N968" s="363"/>
      <c r="O968" s="363" t="b">
        <v>0</v>
      </c>
      <c r="P968" s="370"/>
    </row>
    <row r="969">
      <c r="A969" s="363" t="s">
        <v>22</v>
      </c>
      <c r="B969" s="363" t="s">
        <v>53</v>
      </c>
      <c r="C969" s="363" t="s">
        <v>1451</v>
      </c>
      <c r="D969" s="366">
        <v>45765.0</v>
      </c>
      <c r="E969" s="363" t="s">
        <v>2426</v>
      </c>
      <c r="F969" s="363" t="s">
        <v>2427</v>
      </c>
      <c r="G969" s="363" t="s">
        <v>2428</v>
      </c>
      <c r="H969" s="363" t="s">
        <v>2429</v>
      </c>
      <c r="I969" s="363" t="s">
        <v>1971</v>
      </c>
      <c r="J969" s="363" t="s">
        <v>2431</v>
      </c>
      <c r="K969" s="363" t="s">
        <v>2433</v>
      </c>
      <c r="L969" s="363" t="s">
        <v>2433</v>
      </c>
      <c r="M969" s="363">
        <v>60.0</v>
      </c>
      <c r="N969" s="363"/>
      <c r="O969" s="363" t="b">
        <v>0</v>
      </c>
      <c r="P969" s="370"/>
    </row>
    <row r="970">
      <c r="A970" s="363" t="s">
        <v>22</v>
      </c>
      <c r="B970" s="363" t="s">
        <v>19</v>
      </c>
      <c r="C970" s="363" t="s">
        <v>1451</v>
      </c>
      <c r="D970" s="363" t="s">
        <v>2444</v>
      </c>
      <c r="E970" s="363" t="s">
        <v>2445</v>
      </c>
      <c r="F970" s="363" t="s">
        <v>2446</v>
      </c>
      <c r="G970" s="363" t="s">
        <v>2447</v>
      </c>
      <c r="H970" s="363" t="s">
        <v>2448</v>
      </c>
      <c r="I970" s="363" t="s">
        <v>167</v>
      </c>
      <c r="J970" s="363" t="s">
        <v>2450</v>
      </c>
      <c r="K970" s="363" t="s">
        <v>2452</v>
      </c>
      <c r="L970" s="363" t="s">
        <v>2452</v>
      </c>
      <c r="M970" s="370"/>
      <c r="N970" s="363"/>
      <c r="O970" s="363" t="b">
        <v>0</v>
      </c>
      <c r="P970" s="370"/>
    </row>
    <row r="971">
      <c r="A971" s="363" t="s">
        <v>17</v>
      </c>
      <c r="B971" s="363" t="s">
        <v>53</v>
      </c>
      <c r="C971" s="363" t="s">
        <v>1451</v>
      </c>
      <c r="D971" s="366">
        <v>45769.0</v>
      </c>
      <c r="E971" s="363" t="s">
        <v>2457</v>
      </c>
      <c r="F971" s="363" t="s">
        <v>2458</v>
      </c>
      <c r="G971" s="363" t="s">
        <v>2459</v>
      </c>
      <c r="H971" s="363" t="s">
        <v>2460</v>
      </c>
      <c r="I971" s="363" t="s">
        <v>1277</v>
      </c>
      <c r="J971" s="363" t="s">
        <v>2461</v>
      </c>
      <c r="K971" s="363" t="s">
        <v>2462</v>
      </c>
      <c r="L971" s="363" t="s">
        <v>2462</v>
      </c>
      <c r="M971" s="370">
        <v>0.25</v>
      </c>
      <c r="N971" s="363"/>
      <c r="O971" s="363" t="b">
        <v>0</v>
      </c>
      <c r="P971" s="370"/>
    </row>
    <row r="972">
      <c r="A972" s="363" t="s">
        <v>17</v>
      </c>
      <c r="B972" s="363" t="s">
        <v>53</v>
      </c>
      <c r="C972" s="363" t="s">
        <v>1451</v>
      </c>
      <c r="D972" s="366">
        <v>45770.0</v>
      </c>
      <c r="E972" s="363" t="s">
        <v>2468</v>
      </c>
      <c r="F972" s="363" t="s">
        <v>2469</v>
      </c>
      <c r="G972" s="363" t="s">
        <v>2470</v>
      </c>
      <c r="H972" s="363" t="s">
        <v>2471</v>
      </c>
      <c r="I972" s="363" t="s">
        <v>2472</v>
      </c>
      <c r="J972" s="363" t="s">
        <v>2473</v>
      </c>
      <c r="K972" s="363"/>
      <c r="L972" s="363"/>
      <c r="M972" s="370"/>
      <c r="N972" s="363"/>
      <c r="O972" s="363" t="b">
        <v>0</v>
      </c>
      <c r="P972" s="370"/>
    </row>
    <row r="973">
      <c r="A973" s="363" t="s">
        <v>17</v>
      </c>
      <c r="B973" s="363" t="s">
        <v>53</v>
      </c>
      <c r="C973" s="363" t="s">
        <v>1451</v>
      </c>
      <c r="D973" s="366">
        <v>45775.0</v>
      </c>
      <c r="E973" s="363" t="s">
        <v>2481</v>
      </c>
      <c r="F973" s="363" t="s">
        <v>2483</v>
      </c>
      <c r="G973" s="363" t="s">
        <v>2484</v>
      </c>
      <c r="H973" s="363" t="s">
        <v>2485</v>
      </c>
      <c r="I973" s="363" t="s">
        <v>2486</v>
      </c>
      <c r="J973" s="363" t="s">
        <v>2487</v>
      </c>
      <c r="K973" s="363" t="s">
        <v>2488</v>
      </c>
      <c r="L973" s="363" t="s">
        <v>2488</v>
      </c>
      <c r="M973" s="370"/>
      <c r="N973" s="363"/>
      <c r="O973" s="363" t="b">
        <v>0</v>
      </c>
      <c r="P973" s="370"/>
    </row>
    <row r="974">
      <c r="A974" s="363" t="s">
        <v>22</v>
      </c>
      <c r="B974" s="363" t="s">
        <v>23</v>
      </c>
      <c r="C974" s="363" t="s">
        <v>1527</v>
      </c>
      <c r="D974" s="366">
        <v>45776.0</v>
      </c>
      <c r="E974" s="363" t="s">
        <v>2490</v>
      </c>
      <c r="F974" s="363" t="s">
        <v>2492</v>
      </c>
      <c r="G974" s="363" t="s">
        <v>2493</v>
      </c>
      <c r="H974" s="363" t="s">
        <v>2495</v>
      </c>
      <c r="I974" s="363" t="s">
        <v>2497</v>
      </c>
      <c r="J974" s="363" t="s">
        <v>2499</v>
      </c>
      <c r="K974" s="363" t="s">
        <v>2501</v>
      </c>
      <c r="L974" s="363" t="s">
        <v>2501</v>
      </c>
      <c r="M974" s="370">
        <v>0.2</v>
      </c>
      <c r="N974" s="363"/>
      <c r="O974" s="363" t="b">
        <v>0</v>
      </c>
      <c r="P974" s="370"/>
    </row>
    <row r="975">
      <c r="A975" s="363" t="s">
        <v>22</v>
      </c>
      <c r="B975" s="363" t="s">
        <v>53</v>
      </c>
      <c r="C975" s="363" t="s">
        <v>1451</v>
      </c>
      <c r="D975" s="366">
        <v>45778.0</v>
      </c>
      <c r="E975" s="363" t="s">
        <v>2508</v>
      </c>
      <c r="F975" s="363" t="s">
        <v>2509</v>
      </c>
      <c r="G975" s="363" t="s">
        <v>2510</v>
      </c>
      <c r="H975" s="363" t="s">
        <v>2511</v>
      </c>
      <c r="I975" s="363" t="s">
        <v>2513</v>
      </c>
      <c r="J975" s="363" t="s">
        <v>2515</v>
      </c>
      <c r="K975" s="363" t="s">
        <v>2516</v>
      </c>
      <c r="L975" s="363"/>
      <c r="M975" s="368">
        <v>46156.70382517361</v>
      </c>
      <c r="N975" s="363"/>
      <c r="O975" s="363" t="b">
        <v>0</v>
      </c>
      <c r="P975" s="370"/>
    </row>
    <row r="976">
      <c r="A976" s="363" t="s">
        <v>410</v>
      </c>
      <c r="B976" s="363" t="s">
        <v>53</v>
      </c>
      <c r="C976" s="363" t="s">
        <v>1451</v>
      </c>
      <c r="D976" s="366">
        <v>45778.0</v>
      </c>
      <c r="E976" s="363" t="s">
        <v>2529</v>
      </c>
      <c r="F976" s="363" t="s">
        <v>2531</v>
      </c>
      <c r="G976" s="363" t="s">
        <v>2533</v>
      </c>
      <c r="H976" s="363" t="s">
        <v>2535</v>
      </c>
      <c r="I976" s="363" t="s">
        <v>1654</v>
      </c>
      <c r="J976" s="363" t="s">
        <v>2538</v>
      </c>
      <c r="K976" s="363" t="s">
        <v>2541</v>
      </c>
      <c r="L976" s="363" t="s">
        <v>2541</v>
      </c>
      <c r="M976" s="370"/>
      <c r="N976" s="363"/>
      <c r="O976" s="363" t="b">
        <v>0</v>
      </c>
      <c r="P976" s="370"/>
    </row>
    <row r="977">
      <c r="A977" s="363" t="s">
        <v>633</v>
      </c>
      <c r="B977" s="363" t="s">
        <v>53</v>
      </c>
      <c r="C977" s="363" t="s">
        <v>1451</v>
      </c>
      <c r="D977" s="366">
        <v>45783.0</v>
      </c>
      <c r="E977" s="363" t="s">
        <v>2545</v>
      </c>
      <c r="F977" s="363" t="s">
        <v>2546</v>
      </c>
      <c r="G977" s="363" t="s">
        <v>2547</v>
      </c>
      <c r="H977" s="363" t="s">
        <v>2548</v>
      </c>
      <c r="I977" s="363" t="s">
        <v>1241</v>
      </c>
      <c r="J977" s="363" t="s">
        <v>2551</v>
      </c>
      <c r="K977" s="363"/>
      <c r="L977" s="363"/>
      <c r="M977" s="370"/>
      <c r="N977" s="363"/>
      <c r="O977" s="363" t="b">
        <v>0</v>
      </c>
      <c r="P977" s="370"/>
    </row>
    <row r="978">
      <c r="A978" s="363" t="s">
        <v>633</v>
      </c>
      <c r="B978" s="363" t="s">
        <v>23</v>
      </c>
      <c r="C978" s="363" t="s">
        <v>1451</v>
      </c>
      <c r="D978" s="366">
        <v>45783.0</v>
      </c>
      <c r="E978" s="363"/>
      <c r="F978" s="363" t="s">
        <v>2562</v>
      </c>
      <c r="G978" s="363" t="s">
        <v>2563</v>
      </c>
      <c r="H978" s="363"/>
      <c r="I978" s="363" t="s">
        <v>2564</v>
      </c>
      <c r="J978" s="363" t="s">
        <v>2565</v>
      </c>
      <c r="K978" s="363" t="s">
        <v>2566</v>
      </c>
      <c r="L978" s="363" t="s">
        <v>2566</v>
      </c>
      <c r="M978" s="370"/>
      <c r="N978" s="363"/>
      <c r="O978" s="363" t="b">
        <v>0</v>
      </c>
      <c r="P978" s="370"/>
    </row>
    <row r="979">
      <c r="A979" s="363" t="s">
        <v>22</v>
      </c>
      <c r="B979" s="363" t="s">
        <v>23</v>
      </c>
      <c r="C979" s="363" t="s">
        <v>1451</v>
      </c>
      <c r="D979" s="366">
        <v>45783.0</v>
      </c>
      <c r="E979" s="363" t="s">
        <v>2574</v>
      </c>
      <c r="F979" s="363" t="s">
        <v>2577</v>
      </c>
      <c r="G979" s="363" t="s">
        <v>2578</v>
      </c>
      <c r="H979" s="363" t="s">
        <v>2580</v>
      </c>
      <c r="I979" s="363" t="s">
        <v>167</v>
      </c>
      <c r="J979" s="363" t="s">
        <v>2582</v>
      </c>
      <c r="K979" s="363" t="s">
        <v>2583</v>
      </c>
      <c r="L979" s="363" t="s">
        <v>2583</v>
      </c>
      <c r="M979" s="370"/>
      <c r="N979" s="363"/>
      <c r="O979" s="363" t="b">
        <v>0</v>
      </c>
      <c r="P979" s="370"/>
    </row>
    <row r="980">
      <c r="A980" s="363" t="s">
        <v>22</v>
      </c>
      <c r="B980" s="363" t="s">
        <v>53</v>
      </c>
      <c r="C980" s="363" t="s">
        <v>1527</v>
      </c>
      <c r="D980" s="366">
        <v>45723.0</v>
      </c>
      <c r="E980" s="363" t="s">
        <v>2584</v>
      </c>
      <c r="F980" s="363" t="s">
        <v>2585</v>
      </c>
      <c r="G980" s="363" t="s">
        <v>2587</v>
      </c>
      <c r="H980" s="363" t="s">
        <v>2589</v>
      </c>
      <c r="I980" s="363" t="s">
        <v>677</v>
      </c>
      <c r="J980" s="363" t="s">
        <v>2591</v>
      </c>
      <c r="K980" s="363" t="s">
        <v>2593</v>
      </c>
      <c r="L980" s="363" t="s">
        <v>2593</v>
      </c>
      <c r="M980" s="370"/>
      <c r="N980" s="363"/>
      <c r="O980" s="363" t="b">
        <v>0</v>
      </c>
      <c r="P980" s="370"/>
    </row>
    <row r="981">
      <c r="A981" s="363" t="s">
        <v>621</v>
      </c>
      <c r="B981" s="363" t="s">
        <v>53</v>
      </c>
      <c r="C981" s="363" t="s">
        <v>1451</v>
      </c>
      <c r="D981" s="366">
        <v>45796.0</v>
      </c>
      <c r="E981" s="363" t="s">
        <v>2601</v>
      </c>
      <c r="F981" s="363" t="s">
        <v>2602</v>
      </c>
      <c r="G981" s="363" t="s">
        <v>2603</v>
      </c>
      <c r="H981" s="363"/>
      <c r="I981" s="363" t="s">
        <v>2604</v>
      </c>
      <c r="J981" s="363" t="s">
        <v>2605</v>
      </c>
      <c r="K981" s="363"/>
      <c r="L981" s="363"/>
      <c r="M981" s="370"/>
      <c r="N981" s="363"/>
      <c r="O981" s="363" t="b">
        <v>0</v>
      </c>
      <c r="P981" s="370"/>
    </row>
    <row r="982">
      <c r="A982" s="363" t="s">
        <v>621</v>
      </c>
      <c r="B982" s="363" t="s">
        <v>19</v>
      </c>
      <c r="C982" s="363" t="s">
        <v>1451</v>
      </c>
      <c r="D982" s="366">
        <v>45798.0</v>
      </c>
      <c r="E982" s="363" t="s">
        <v>2610</v>
      </c>
      <c r="F982" s="363" t="s">
        <v>2611</v>
      </c>
      <c r="G982" s="363" t="s">
        <v>2613</v>
      </c>
      <c r="H982" s="363"/>
      <c r="I982" s="363" t="s">
        <v>883</v>
      </c>
      <c r="J982" s="363"/>
      <c r="K982" s="363" t="s">
        <v>2615</v>
      </c>
      <c r="L982" s="363" t="s">
        <v>2615</v>
      </c>
      <c r="M982" s="370"/>
      <c r="N982" s="363"/>
      <c r="O982" s="363" t="b">
        <v>0</v>
      </c>
      <c r="P982" s="370"/>
    </row>
    <row r="983">
      <c r="A983" s="363" t="s">
        <v>621</v>
      </c>
      <c r="B983" s="363" t="s">
        <v>19</v>
      </c>
      <c r="C983" s="363" t="s">
        <v>1451</v>
      </c>
      <c r="D983" s="366">
        <v>45799.0</v>
      </c>
      <c r="E983" s="363" t="s">
        <v>2623</v>
      </c>
      <c r="F983" s="363" t="s">
        <v>2624</v>
      </c>
      <c r="G983" s="363" t="s">
        <v>2625</v>
      </c>
      <c r="H983" s="363"/>
      <c r="I983" s="363" t="s">
        <v>2626</v>
      </c>
      <c r="J983" s="363" t="s">
        <v>2627</v>
      </c>
      <c r="K983" s="363" t="s">
        <v>2628</v>
      </c>
      <c r="L983" s="363" t="s">
        <v>2628</v>
      </c>
      <c r="M983" s="370">
        <v>0.0</v>
      </c>
      <c r="N983" s="363"/>
      <c r="O983" s="363" t="b">
        <v>0</v>
      </c>
      <c r="P983" s="370"/>
    </row>
    <row r="984">
      <c r="A984" s="363" t="s">
        <v>621</v>
      </c>
      <c r="B984" s="363" t="s">
        <v>53</v>
      </c>
      <c r="C984" s="363" t="s">
        <v>1451</v>
      </c>
      <c r="D984" s="366">
        <v>45799.0</v>
      </c>
      <c r="E984" s="363" t="s">
        <v>2633</v>
      </c>
      <c r="F984" s="363" t="s">
        <v>2635</v>
      </c>
      <c r="G984" s="363" t="s">
        <v>2637</v>
      </c>
      <c r="H984" s="363"/>
      <c r="I984" s="363" t="s">
        <v>1346</v>
      </c>
      <c r="J984" s="363" t="s">
        <v>2642</v>
      </c>
      <c r="K984" s="363" t="s">
        <v>2644</v>
      </c>
      <c r="L984" s="363" t="s">
        <v>2644</v>
      </c>
      <c r="M984" s="370"/>
      <c r="N984" s="363"/>
      <c r="O984" s="363" t="b">
        <v>0</v>
      </c>
      <c r="P984" s="370"/>
    </row>
    <row r="985">
      <c r="A985" s="363" t="s">
        <v>621</v>
      </c>
      <c r="B985" s="363" t="s">
        <v>53</v>
      </c>
      <c r="C985" s="363" t="s">
        <v>1451</v>
      </c>
      <c r="D985" s="366">
        <v>45799.0</v>
      </c>
      <c r="E985" s="363" t="s">
        <v>2646</v>
      </c>
      <c r="F985" s="363" t="s">
        <v>2647</v>
      </c>
      <c r="G985" s="363" t="s">
        <v>2649</v>
      </c>
      <c r="H985" s="363" t="s">
        <v>2651</v>
      </c>
      <c r="I985" s="363" t="s">
        <v>997</v>
      </c>
      <c r="J985" s="363" t="s">
        <v>2655</v>
      </c>
      <c r="K985" s="363" t="s">
        <v>2657</v>
      </c>
      <c r="L985" s="363" t="s">
        <v>2657</v>
      </c>
      <c r="M985" s="370"/>
      <c r="N985" s="363"/>
      <c r="O985" s="363" t="b">
        <v>0</v>
      </c>
      <c r="P985" s="370"/>
    </row>
    <row r="986">
      <c r="A986" s="363" t="s">
        <v>621</v>
      </c>
      <c r="B986" s="363" t="s">
        <v>53</v>
      </c>
      <c r="C986" s="363" t="s">
        <v>1410</v>
      </c>
      <c r="D986" s="366">
        <v>45805.0</v>
      </c>
      <c r="E986" s="363" t="s">
        <v>2663</v>
      </c>
      <c r="F986" s="363" t="s">
        <v>2664</v>
      </c>
      <c r="G986" s="363" t="s">
        <v>2665</v>
      </c>
      <c r="H986" s="363" t="s">
        <v>2666</v>
      </c>
      <c r="I986" s="363" t="s">
        <v>205</v>
      </c>
      <c r="J986" s="363" t="s">
        <v>2668</v>
      </c>
      <c r="K986" s="363"/>
      <c r="L986" s="363"/>
      <c r="M986" s="370"/>
      <c r="N986" s="363"/>
      <c r="O986" s="363" t="b">
        <v>0</v>
      </c>
      <c r="P986" s="370"/>
    </row>
    <row r="987">
      <c r="A987" s="363" t="s">
        <v>22</v>
      </c>
      <c r="B987" s="363" t="s">
        <v>53</v>
      </c>
      <c r="C987" s="363" t="s">
        <v>1451</v>
      </c>
      <c r="D987" s="366">
        <v>45807.0</v>
      </c>
      <c r="E987" s="363" t="s">
        <v>2673</v>
      </c>
      <c r="F987" s="363" t="s">
        <v>2674</v>
      </c>
      <c r="G987" s="363" t="s">
        <v>2675</v>
      </c>
      <c r="H987" s="363" t="s">
        <v>2676</v>
      </c>
      <c r="I987" s="363"/>
      <c r="J987" s="363" t="s">
        <v>2681</v>
      </c>
      <c r="K987" s="363" t="s">
        <v>2683</v>
      </c>
      <c r="L987" s="363" t="s">
        <v>2683</v>
      </c>
      <c r="M987" s="370">
        <v>0.5</v>
      </c>
      <c r="N987" s="363"/>
      <c r="O987" s="363" t="b">
        <v>0</v>
      </c>
      <c r="P987" s="370"/>
    </row>
    <row r="988">
      <c r="A988" s="363" t="s">
        <v>2684</v>
      </c>
      <c r="B988" s="363" t="s">
        <v>23</v>
      </c>
      <c r="C988" s="363" t="s">
        <v>2690</v>
      </c>
      <c r="D988" s="366">
        <v>45826.0</v>
      </c>
      <c r="E988" s="363" t="s">
        <v>2691</v>
      </c>
      <c r="F988" s="363" t="s">
        <v>2692</v>
      </c>
      <c r="G988" s="363" t="s">
        <v>2693</v>
      </c>
      <c r="H988" s="363"/>
      <c r="I988" s="363" t="s">
        <v>1174</v>
      </c>
      <c r="J988" s="363" t="s">
        <v>2694</v>
      </c>
      <c r="K988" s="363" t="s">
        <v>2695</v>
      </c>
      <c r="L988" s="363" t="s">
        <v>2695</v>
      </c>
      <c r="M988" s="370"/>
      <c r="N988" s="363"/>
      <c r="O988" s="363" t="b">
        <v>0</v>
      </c>
      <c r="P988" s="370"/>
    </row>
    <row r="989">
      <c r="A989" s="363" t="s">
        <v>621</v>
      </c>
      <c r="B989" s="363" t="s">
        <v>23</v>
      </c>
      <c r="C989" s="363" t="s">
        <v>2690</v>
      </c>
      <c r="D989" s="366">
        <v>45827.0</v>
      </c>
      <c r="E989" s="363" t="s">
        <v>2702</v>
      </c>
      <c r="F989" s="363" t="s">
        <v>2703</v>
      </c>
      <c r="G989" s="363" t="s">
        <v>2704</v>
      </c>
      <c r="H989" s="363"/>
      <c r="I989" s="363" t="s">
        <v>997</v>
      </c>
      <c r="J989" s="363" t="s">
        <v>2705</v>
      </c>
      <c r="K989" s="363" t="s">
        <v>2706</v>
      </c>
      <c r="L989" s="363" t="s">
        <v>2706</v>
      </c>
      <c r="M989" s="370">
        <v>0.0</v>
      </c>
      <c r="N989" s="363"/>
      <c r="O989" s="363" t="b">
        <v>0</v>
      </c>
      <c r="P989" s="370"/>
    </row>
    <row r="990">
      <c r="A990" s="363" t="s">
        <v>621</v>
      </c>
      <c r="B990" s="363" t="s">
        <v>53</v>
      </c>
      <c r="C990" s="363" t="s">
        <v>1451</v>
      </c>
      <c r="D990" s="366">
        <v>45832.0</v>
      </c>
      <c r="E990" s="363" t="s">
        <v>2712</v>
      </c>
      <c r="F990" s="363" t="s">
        <v>2714</v>
      </c>
      <c r="G990" s="363" t="s">
        <v>2715</v>
      </c>
      <c r="H990" s="363"/>
      <c r="I990" s="363" t="s">
        <v>735</v>
      </c>
      <c r="J990" s="363" t="s">
        <v>2717</v>
      </c>
      <c r="K990" s="363" t="s">
        <v>2718</v>
      </c>
      <c r="L990" s="363" t="s">
        <v>2718</v>
      </c>
      <c r="M990" s="370"/>
      <c r="N990" s="363"/>
      <c r="O990" s="363" t="b">
        <v>0</v>
      </c>
      <c r="P990" s="370"/>
    </row>
    <row r="991">
      <c r="A991" s="363" t="s">
        <v>621</v>
      </c>
      <c r="B991" s="363" t="s">
        <v>53</v>
      </c>
      <c r="C991" s="363" t="s">
        <v>1451</v>
      </c>
      <c r="D991" s="366">
        <v>45832.0</v>
      </c>
      <c r="E991" s="363" t="s">
        <v>2719</v>
      </c>
      <c r="F991" s="363" t="s">
        <v>2720</v>
      </c>
      <c r="G991" s="363" t="s">
        <v>2721</v>
      </c>
      <c r="H991" s="363"/>
      <c r="I991" s="363" t="s">
        <v>719</v>
      </c>
      <c r="J991" s="363" t="s">
        <v>2722</v>
      </c>
      <c r="K991" s="363" t="s">
        <v>2723</v>
      </c>
      <c r="L991" s="363" t="s">
        <v>2723</v>
      </c>
      <c r="M991" s="370"/>
      <c r="N991" s="363"/>
      <c r="O991" s="363" t="b">
        <v>0</v>
      </c>
      <c r="P991" s="370"/>
    </row>
    <row r="992">
      <c r="A992" s="363" t="s">
        <v>22</v>
      </c>
      <c r="B992" s="363" t="s">
        <v>53</v>
      </c>
      <c r="C992" s="363" t="s">
        <v>1451</v>
      </c>
      <c r="D992" s="366">
        <v>45839.0</v>
      </c>
      <c r="E992" s="363" t="s">
        <v>2728</v>
      </c>
      <c r="F992" s="363" t="s">
        <v>2729</v>
      </c>
      <c r="G992" s="363" t="s">
        <v>2730</v>
      </c>
      <c r="H992" s="363" t="s">
        <v>2732</v>
      </c>
      <c r="I992" s="363" t="s">
        <v>1396</v>
      </c>
      <c r="J992" s="363" t="s">
        <v>2733</v>
      </c>
      <c r="K992" s="363" t="s">
        <v>2734</v>
      </c>
      <c r="L992" s="363" t="s">
        <v>2734</v>
      </c>
      <c r="M992" s="370"/>
      <c r="N992" s="363"/>
      <c r="O992" s="363" t="b">
        <v>0</v>
      </c>
      <c r="P992" s="370"/>
    </row>
    <row r="993">
      <c r="A993" s="363" t="s">
        <v>22</v>
      </c>
      <c r="B993" s="363" t="s">
        <v>19</v>
      </c>
      <c r="C993" s="363" t="s">
        <v>1451</v>
      </c>
      <c r="D993" s="366">
        <v>45841.0</v>
      </c>
      <c r="E993" s="363" t="s">
        <v>2737</v>
      </c>
      <c r="F993" s="363" t="s">
        <v>2738</v>
      </c>
      <c r="G993" s="363" t="s">
        <v>2739</v>
      </c>
      <c r="H993" s="363" t="s">
        <v>2740</v>
      </c>
      <c r="I993" s="363" t="s">
        <v>747</v>
      </c>
      <c r="J993" s="363" t="s">
        <v>2741</v>
      </c>
      <c r="K993" s="363" t="s">
        <v>2742</v>
      </c>
      <c r="L993" s="363" t="s">
        <v>2742</v>
      </c>
      <c r="M993" s="370"/>
      <c r="N993" s="363"/>
      <c r="O993" s="363" t="b">
        <v>0</v>
      </c>
      <c r="P993" s="370"/>
    </row>
    <row r="994">
      <c r="A994" s="363" t="s">
        <v>815</v>
      </c>
      <c r="B994" s="363" t="s">
        <v>53</v>
      </c>
      <c r="C994" s="363" t="s">
        <v>2690</v>
      </c>
      <c r="D994" s="366">
        <v>45847.0</v>
      </c>
      <c r="E994" s="363" t="s">
        <v>2743</v>
      </c>
      <c r="F994" s="363" t="s">
        <v>2745</v>
      </c>
      <c r="G994" s="363" t="s">
        <v>2746</v>
      </c>
      <c r="H994" s="363" t="s">
        <v>2747</v>
      </c>
      <c r="I994" s="363" t="s">
        <v>131</v>
      </c>
      <c r="J994" s="363" t="s">
        <v>2749</v>
      </c>
      <c r="K994" s="363" t="s">
        <v>2751</v>
      </c>
      <c r="L994" s="363" t="s">
        <v>2751</v>
      </c>
      <c r="M994" s="370"/>
      <c r="N994" s="363"/>
      <c r="O994" s="363" t="b">
        <v>0</v>
      </c>
      <c r="P994" s="370"/>
    </row>
    <row r="995">
      <c r="A995" s="363" t="s">
        <v>17</v>
      </c>
      <c r="B995" s="363" t="s">
        <v>53</v>
      </c>
      <c r="C995" s="363" t="s">
        <v>1451</v>
      </c>
      <c r="D995" s="366">
        <v>45852.0</v>
      </c>
      <c r="E995" s="363" t="s">
        <v>2757</v>
      </c>
      <c r="F995" s="363" t="s">
        <v>2758</v>
      </c>
      <c r="G995" s="363" t="s">
        <v>2759</v>
      </c>
      <c r="H995" s="363" t="s">
        <v>2760</v>
      </c>
      <c r="I995" s="363" t="s">
        <v>883</v>
      </c>
      <c r="J995" s="363" t="s">
        <v>2761</v>
      </c>
      <c r="K995" s="363" t="s">
        <v>2762</v>
      </c>
      <c r="L995" s="363" t="s">
        <v>2762</v>
      </c>
      <c r="M995" s="370"/>
      <c r="N995" s="363"/>
      <c r="O995" s="363" t="b">
        <v>0</v>
      </c>
      <c r="P995" s="370"/>
    </row>
    <row r="996">
      <c r="A996" s="363" t="s">
        <v>410</v>
      </c>
      <c r="B996" s="363" t="s">
        <v>23</v>
      </c>
      <c r="C996" s="363" t="s">
        <v>2690</v>
      </c>
      <c r="D996" s="366">
        <v>45867.0</v>
      </c>
      <c r="E996" s="363" t="s">
        <v>2765</v>
      </c>
      <c r="F996" s="363" t="s">
        <v>2767</v>
      </c>
      <c r="G996" s="363" t="s">
        <v>2769</v>
      </c>
      <c r="H996" s="363" t="s">
        <v>2771</v>
      </c>
      <c r="I996" s="363" t="s">
        <v>1622</v>
      </c>
      <c r="J996" s="363" t="s">
        <v>2772</v>
      </c>
      <c r="K996" s="363" t="s">
        <v>2774</v>
      </c>
      <c r="L996" s="363" t="s">
        <v>2774</v>
      </c>
      <c r="M996" s="370"/>
      <c r="N996" s="363"/>
      <c r="O996" s="363" t="b">
        <v>0</v>
      </c>
      <c r="P996" s="370"/>
    </row>
    <row r="997">
      <c r="A997" s="363" t="s">
        <v>22</v>
      </c>
      <c r="B997" s="363" t="s">
        <v>53</v>
      </c>
      <c r="C997" s="363" t="s">
        <v>1451</v>
      </c>
      <c r="D997" s="366">
        <v>45869.0</v>
      </c>
      <c r="E997" s="363" t="s">
        <v>2775</v>
      </c>
      <c r="F997" s="363" t="s">
        <v>2776</v>
      </c>
      <c r="G997" s="363" t="s">
        <v>2777</v>
      </c>
      <c r="H997" s="363" t="s">
        <v>2779</v>
      </c>
      <c r="I997" s="363" t="s">
        <v>2781</v>
      </c>
      <c r="J997" s="363" t="s">
        <v>2782</v>
      </c>
      <c r="K997" s="363" t="s">
        <v>2784</v>
      </c>
      <c r="L997" s="363" t="s">
        <v>2784</v>
      </c>
      <c r="M997" s="370"/>
      <c r="N997" s="363"/>
      <c r="O997" s="363" t="b">
        <v>0</v>
      </c>
      <c r="P997" s="370"/>
    </row>
    <row r="998">
      <c r="A998" s="363" t="s">
        <v>20</v>
      </c>
      <c r="B998" s="363" t="s">
        <v>23</v>
      </c>
      <c r="C998" s="363" t="s">
        <v>2690</v>
      </c>
      <c r="D998" s="366">
        <v>45868.0</v>
      </c>
      <c r="E998" s="363" t="s">
        <v>2788</v>
      </c>
      <c r="F998" s="363" t="s">
        <v>2789</v>
      </c>
      <c r="G998" s="363" t="s">
        <v>2790</v>
      </c>
      <c r="H998" s="363"/>
      <c r="I998" s="363" t="s">
        <v>2791</v>
      </c>
      <c r="J998" s="363" t="s">
        <v>2792</v>
      </c>
      <c r="K998" s="363" t="s">
        <v>2793</v>
      </c>
      <c r="L998" s="363" t="s">
        <v>2793</v>
      </c>
      <c r="M998" s="370"/>
      <c r="N998" s="363"/>
      <c r="O998" s="363" t="b">
        <v>0</v>
      </c>
      <c r="P998" s="370"/>
    </row>
    <row r="999">
      <c r="A999" s="363" t="s">
        <v>22</v>
      </c>
      <c r="B999" s="363" t="s">
        <v>23</v>
      </c>
      <c r="C999" s="363" t="s">
        <v>2690</v>
      </c>
      <c r="D999" s="366">
        <v>45855.0</v>
      </c>
      <c r="E999" s="363" t="s">
        <v>2794</v>
      </c>
      <c r="F999" s="363" t="s">
        <v>2796</v>
      </c>
      <c r="G999" s="363" t="s">
        <v>2797</v>
      </c>
      <c r="H999" s="363" t="s">
        <v>2799</v>
      </c>
      <c r="I999" s="363" t="s">
        <v>2048</v>
      </c>
      <c r="J999" s="363" t="s">
        <v>1307</v>
      </c>
      <c r="K999" s="363" t="s">
        <v>2800</v>
      </c>
      <c r="L999" s="363" t="s">
        <v>2801</v>
      </c>
      <c r="M999" s="370">
        <v>0.5</v>
      </c>
      <c r="N999" s="363"/>
      <c r="O999" s="363" t="b">
        <v>0</v>
      </c>
      <c r="P999" s="370"/>
    </row>
    <row r="1000">
      <c r="A1000" s="363" t="s">
        <v>410</v>
      </c>
      <c r="B1000" s="363" t="s">
        <v>53</v>
      </c>
      <c r="C1000" s="363" t="s">
        <v>1451</v>
      </c>
      <c r="D1000" s="366"/>
      <c r="E1000" s="363" t="s">
        <v>2806</v>
      </c>
      <c r="F1000" s="363" t="s">
        <v>2807</v>
      </c>
      <c r="G1000" s="363" t="s">
        <v>2808</v>
      </c>
      <c r="H1000" s="363" t="s">
        <v>2809</v>
      </c>
      <c r="I1000" s="363" t="s">
        <v>2810</v>
      </c>
      <c r="J1000" s="363" t="s">
        <v>2811</v>
      </c>
      <c r="K1000" s="363"/>
      <c r="L1000" s="363"/>
      <c r="M1000" s="370"/>
      <c r="N1000" s="363"/>
      <c r="O1000" s="363" t="b">
        <v>0</v>
      </c>
      <c r="P1000" s="370"/>
    </row>
    <row r="1001">
      <c r="A1001" s="363" t="s">
        <v>410</v>
      </c>
      <c r="B1001" s="363" t="s">
        <v>23</v>
      </c>
      <c r="C1001" s="363" t="s">
        <v>1451</v>
      </c>
      <c r="D1001" s="366">
        <v>45720.0</v>
      </c>
      <c r="E1001" s="363" t="s">
        <v>2813</v>
      </c>
      <c r="F1001" s="363" t="s">
        <v>2814</v>
      </c>
      <c r="G1001" s="363" t="s">
        <v>2815</v>
      </c>
      <c r="H1001" s="363" t="s">
        <v>2816</v>
      </c>
      <c r="I1001" s="363" t="s">
        <v>810</v>
      </c>
      <c r="J1001" s="363" t="s">
        <v>2817</v>
      </c>
      <c r="K1001" s="363" t="s">
        <v>2818</v>
      </c>
      <c r="L1001" s="363" t="s">
        <v>2820</v>
      </c>
      <c r="M1001" s="370">
        <v>0.7</v>
      </c>
      <c r="N1001" s="363"/>
      <c r="O1001" s="363" t="b">
        <v>0</v>
      </c>
      <c r="P1001" s="370"/>
    </row>
    <row r="1002">
      <c r="A1002" s="363"/>
      <c r="B1002" s="363"/>
      <c r="C1002" s="363"/>
      <c r="D1002" s="366"/>
      <c r="E1002" s="363"/>
      <c r="F1002" s="363"/>
      <c r="G1002" s="363"/>
      <c r="H1002" s="363"/>
      <c r="I1002" s="363"/>
      <c r="J1002" s="363"/>
      <c r="K1002" s="363"/>
      <c r="L1002" s="363"/>
      <c r="M1002" s="370"/>
      <c r="N1002" s="363"/>
      <c r="O1002" s="363"/>
      <c r="P1002" s="370"/>
    </row>
    <row r="1003">
      <c r="A1003" s="363" t="s">
        <v>0</v>
      </c>
      <c r="B1003" s="363" t="s">
        <v>53</v>
      </c>
      <c r="C1003" s="363" t="s">
        <v>1451</v>
      </c>
      <c r="D1003" s="366">
        <v>45860.0</v>
      </c>
      <c r="E1003" s="363" t="s">
        <v>2825</v>
      </c>
      <c r="F1003" s="363" t="s">
        <v>2826</v>
      </c>
      <c r="G1003" s="363">
        <v>9.71556610048E11</v>
      </c>
      <c r="H1003" s="363"/>
      <c r="I1003" s="363" t="s">
        <v>2827</v>
      </c>
      <c r="J1003" s="363"/>
      <c r="K1003" s="363"/>
      <c r="L1003" s="363" t="s">
        <v>2828</v>
      </c>
      <c r="M1003" s="370"/>
      <c r="N1003" s="363"/>
      <c r="O1003" s="363" t="b">
        <v>0</v>
      </c>
      <c r="P1003" s="370"/>
    </row>
    <row r="1004">
      <c r="A1004" s="363" t="s">
        <v>22</v>
      </c>
      <c r="B1004" s="363" t="s">
        <v>53</v>
      </c>
      <c r="C1004" s="363" t="s">
        <v>2829</v>
      </c>
      <c r="D1004" s="366">
        <v>45863.0</v>
      </c>
      <c r="E1004" s="363" t="s">
        <v>2830</v>
      </c>
      <c r="F1004" s="363" t="s">
        <v>2831</v>
      </c>
      <c r="G1004" s="363" t="s">
        <v>2832</v>
      </c>
      <c r="H1004" s="363" t="s">
        <v>2833</v>
      </c>
      <c r="I1004" s="363" t="s">
        <v>2604</v>
      </c>
      <c r="J1004" s="363" t="s">
        <v>2834</v>
      </c>
      <c r="K1004" s="363"/>
      <c r="L1004" s="363"/>
      <c r="M1004" s="370"/>
      <c r="N1004" s="363"/>
      <c r="O1004" s="363" t="b">
        <v>0</v>
      </c>
      <c r="P1004" s="370"/>
    </row>
    <row r="1005">
      <c r="A1005" s="363" t="s">
        <v>22</v>
      </c>
      <c r="B1005" s="363" t="s">
        <v>23</v>
      </c>
      <c r="C1005" s="363" t="s">
        <v>1451</v>
      </c>
      <c r="D1005" s="366">
        <v>45869.0</v>
      </c>
      <c r="E1005" s="363" t="s">
        <v>2835</v>
      </c>
      <c r="F1005" s="363" t="s">
        <v>2836</v>
      </c>
      <c r="G1005" s="363" t="s">
        <v>2837</v>
      </c>
      <c r="H1005" s="363" t="s">
        <v>2838</v>
      </c>
      <c r="I1005" s="363" t="s">
        <v>2839</v>
      </c>
      <c r="J1005" s="363" t="s">
        <v>2840</v>
      </c>
      <c r="K1005" s="363" t="s">
        <v>2841</v>
      </c>
      <c r="L1005" s="363" t="s">
        <v>2842</v>
      </c>
      <c r="M1005" s="370">
        <v>0.4</v>
      </c>
      <c r="N1005" s="363"/>
      <c r="O1005" s="363" t="b">
        <v>0</v>
      </c>
      <c r="P1005" s="370"/>
    </row>
    <row r="1006">
      <c r="A1006" s="363" t="s">
        <v>17</v>
      </c>
      <c r="B1006" s="363" t="s">
        <v>23</v>
      </c>
      <c r="C1006" s="363" t="s">
        <v>2690</v>
      </c>
      <c r="D1006" s="366">
        <v>45894.0</v>
      </c>
      <c r="E1006" s="363"/>
      <c r="F1006" s="363" t="s">
        <v>2843</v>
      </c>
      <c r="G1006" s="363" t="s">
        <v>2844</v>
      </c>
      <c r="H1006" s="363"/>
      <c r="I1006" s="363" t="s">
        <v>2845</v>
      </c>
      <c r="J1006" s="363" t="s">
        <v>2846</v>
      </c>
      <c r="K1006" s="363" t="s">
        <v>2847</v>
      </c>
      <c r="L1006" s="363" t="s">
        <v>2848</v>
      </c>
      <c r="M1006" s="370"/>
      <c r="N1006" s="363"/>
      <c r="O1006" s="363" t="b">
        <v>0</v>
      </c>
      <c r="P1006" s="370"/>
    </row>
    <row r="1007">
      <c r="A1007" s="363" t="s">
        <v>815</v>
      </c>
      <c r="B1007" s="363" t="s">
        <v>53</v>
      </c>
      <c r="C1007" s="363" t="s">
        <v>1451</v>
      </c>
      <c r="D1007" s="366">
        <v>45862.0</v>
      </c>
      <c r="E1007" s="363" t="s">
        <v>2849</v>
      </c>
      <c r="F1007" s="363" t="s">
        <v>2850</v>
      </c>
      <c r="G1007" s="363">
        <v>9.548957353E9</v>
      </c>
      <c r="H1007" s="363" t="s">
        <v>2851</v>
      </c>
      <c r="I1007" s="363" t="s">
        <v>2554</v>
      </c>
      <c r="J1007" s="363" t="s">
        <v>2852</v>
      </c>
      <c r="K1007" s="363"/>
      <c r="L1007" s="363" t="s">
        <v>2853</v>
      </c>
      <c r="M1007" s="370"/>
      <c r="N1007" s="363"/>
      <c r="O1007" s="363" t="b">
        <v>0</v>
      </c>
      <c r="P1007" s="370"/>
    </row>
    <row r="1008">
      <c r="A1008" s="363" t="s">
        <v>22</v>
      </c>
      <c r="B1008" s="363" t="s">
        <v>19</v>
      </c>
      <c r="C1008" s="363" t="s">
        <v>1410</v>
      </c>
      <c r="D1008" s="366">
        <v>45687.0</v>
      </c>
      <c r="E1008" s="363" t="s">
        <v>2854</v>
      </c>
      <c r="F1008" s="363" t="s">
        <v>2855</v>
      </c>
      <c r="G1008" s="363" t="s">
        <v>2856</v>
      </c>
      <c r="H1008" s="363" t="s">
        <v>2857</v>
      </c>
      <c r="I1008" s="363" t="s">
        <v>2858</v>
      </c>
      <c r="J1008" s="363" t="s">
        <v>2859</v>
      </c>
      <c r="K1008" s="363" t="s">
        <v>2860</v>
      </c>
      <c r="L1008" s="363" t="s">
        <v>2861</v>
      </c>
      <c r="M1008" s="370">
        <v>0.6</v>
      </c>
      <c r="N1008" s="363"/>
      <c r="O1008" s="363" t="b">
        <v>0</v>
      </c>
      <c r="P1008" s="370"/>
    </row>
    <row r="1009">
      <c r="A1009" s="363" t="s">
        <v>22</v>
      </c>
      <c r="B1009" s="363" t="s">
        <v>19</v>
      </c>
      <c r="C1009" s="363" t="s">
        <v>2690</v>
      </c>
      <c r="D1009" s="366">
        <v>45910.0</v>
      </c>
      <c r="E1009" s="363" t="s">
        <v>2862</v>
      </c>
      <c r="F1009" s="363" t="s">
        <v>2863</v>
      </c>
      <c r="G1009" s="363" t="s">
        <v>2864</v>
      </c>
      <c r="H1009" s="363" t="s">
        <v>2865</v>
      </c>
      <c r="I1009" s="363" t="s">
        <v>2866</v>
      </c>
      <c r="J1009" s="363" t="s">
        <v>2867</v>
      </c>
      <c r="K1009" s="363" t="s">
        <v>2868</v>
      </c>
      <c r="L1009" s="363"/>
      <c r="M1009" s="370"/>
      <c r="N1009" s="363"/>
      <c r="O1009" s="363" t="b">
        <v>0</v>
      </c>
      <c r="P1009" s="370"/>
    </row>
    <row r="1010">
      <c r="A1010" s="363" t="s">
        <v>410</v>
      </c>
      <c r="B1010" s="363" t="s">
        <v>19</v>
      </c>
      <c r="C1010" s="363" t="s">
        <v>1451</v>
      </c>
      <c r="D1010" s="366">
        <v>45611.0</v>
      </c>
      <c r="E1010" s="363" t="s">
        <v>2869</v>
      </c>
      <c r="F1010" s="363" t="s">
        <v>2870</v>
      </c>
      <c r="G1010" s="363" t="s">
        <v>2871</v>
      </c>
      <c r="H1010" s="363"/>
      <c r="I1010" s="363" t="s">
        <v>2754</v>
      </c>
      <c r="J1010" s="363" t="s">
        <v>2872</v>
      </c>
      <c r="K1010" s="363"/>
      <c r="L1010" s="363" t="s">
        <v>64</v>
      </c>
      <c r="M1010" s="370">
        <v>0.0</v>
      </c>
      <c r="N1010" s="363"/>
      <c r="O1010" s="363" t="b">
        <v>0</v>
      </c>
      <c r="P1010" s="370"/>
    </row>
    <row r="1011">
      <c r="A1011" s="363" t="s">
        <v>22</v>
      </c>
      <c r="B1011" s="363" t="s">
        <v>19</v>
      </c>
      <c r="C1011" s="363" t="s">
        <v>1451</v>
      </c>
      <c r="D1011" s="363" t="s">
        <v>2444</v>
      </c>
      <c r="E1011" s="363" t="s">
        <v>2873</v>
      </c>
      <c r="F1011" s="363" t="s">
        <v>2874</v>
      </c>
      <c r="G1011" s="363" t="s">
        <v>2875</v>
      </c>
      <c r="H1011" s="363" t="s">
        <v>2876</v>
      </c>
      <c r="I1011" s="363" t="s">
        <v>1106</v>
      </c>
      <c r="J1011" s="363" t="s">
        <v>2877</v>
      </c>
      <c r="K1011" s="363"/>
      <c r="L1011" s="363" t="s">
        <v>2878</v>
      </c>
      <c r="M1011" s="370"/>
      <c r="N1011" s="363"/>
      <c r="O1011" s="363" t="b">
        <v>0</v>
      </c>
      <c r="P1011" s="370"/>
    </row>
    <row r="1012">
      <c r="A1012" s="363" t="s">
        <v>1387</v>
      </c>
      <c r="B1012" s="363" t="s">
        <v>53</v>
      </c>
      <c r="C1012" s="363" t="s">
        <v>1451</v>
      </c>
      <c r="D1012" s="366">
        <v>45854.0</v>
      </c>
      <c r="E1012" s="363" t="s">
        <v>2879</v>
      </c>
      <c r="F1012" s="363" t="s">
        <v>2880</v>
      </c>
      <c r="G1012" s="363" t="s">
        <v>2881</v>
      </c>
      <c r="H1012" s="363"/>
      <c r="I1012" s="363" t="s">
        <v>1498</v>
      </c>
      <c r="J1012" s="363"/>
      <c r="K1012" s="363"/>
      <c r="L1012" s="363" t="s">
        <v>2882</v>
      </c>
      <c r="M1012" s="370">
        <v>0.5</v>
      </c>
      <c r="N1012" s="363"/>
      <c r="O1012" s="363" t="b">
        <v>0</v>
      </c>
      <c r="P1012" s="370"/>
    </row>
    <row r="1013">
      <c r="A1013" s="363" t="s">
        <v>22</v>
      </c>
      <c r="B1013" s="363" t="s">
        <v>53</v>
      </c>
      <c r="C1013" s="363" t="s">
        <v>1410</v>
      </c>
      <c r="D1013" s="366">
        <v>45861.0</v>
      </c>
      <c r="E1013" s="363" t="s">
        <v>1937</v>
      </c>
      <c r="F1013" s="363" t="s">
        <v>1939</v>
      </c>
      <c r="G1013" s="363" t="s">
        <v>2883</v>
      </c>
      <c r="H1013" s="363" t="s">
        <v>1943</v>
      </c>
      <c r="I1013" s="363" t="s">
        <v>381</v>
      </c>
      <c r="J1013" s="363" t="s">
        <v>2884</v>
      </c>
      <c r="K1013" s="363" t="s">
        <v>2885</v>
      </c>
      <c r="L1013" s="363" t="s">
        <v>2886</v>
      </c>
      <c r="M1013" s="370">
        <v>0.25</v>
      </c>
      <c r="N1013" s="363"/>
      <c r="O1013" s="363" t="b">
        <v>0</v>
      </c>
      <c r="P1013" s="370"/>
    </row>
    <row r="1014">
      <c r="A1014" s="363" t="s">
        <v>17</v>
      </c>
      <c r="B1014" s="363" t="s">
        <v>53</v>
      </c>
      <c r="C1014" s="363" t="s">
        <v>1410</v>
      </c>
      <c r="D1014" s="366">
        <v>45912.0</v>
      </c>
      <c r="E1014" s="363" t="s">
        <v>2887</v>
      </c>
      <c r="F1014" s="363" t="s">
        <v>2888</v>
      </c>
      <c r="G1014" s="363"/>
      <c r="H1014" s="363" t="s">
        <v>2889</v>
      </c>
      <c r="I1014" s="363" t="s">
        <v>329</v>
      </c>
      <c r="J1014" s="363" t="s">
        <v>2890</v>
      </c>
      <c r="K1014" s="363"/>
      <c r="L1014" s="363"/>
      <c r="M1014" s="370"/>
      <c r="N1014" s="363"/>
      <c r="O1014" s="363" t="b">
        <v>0</v>
      </c>
      <c r="P1014" s="370"/>
    </row>
    <row r="1015">
      <c r="A1015" s="363" t="s">
        <v>62</v>
      </c>
      <c r="B1015" s="363" t="s">
        <v>23</v>
      </c>
      <c r="C1015" s="363" t="s">
        <v>2690</v>
      </c>
      <c r="D1015" s="366">
        <v>45939.0</v>
      </c>
      <c r="E1015" s="363" t="s">
        <v>2891</v>
      </c>
      <c r="F1015" s="363" t="s">
        <v>2892</v>
      </c>
      <c r="G1015" s="363" t="s">
        <v>2893</v>
      </c>
      <c r="H1015" s="363" t="s">
        <v>2894</v>
      </c>
      <c r="I1015" s="363" t="s">
        <v>1673</v>
      </c>
      <c r="J1015" s="363" t="s">
        <v>2895</v>
      </c>
      <c r="K1015" s="363" t="s">
        <v>2896</v>
      </c>
      <c r="L1015" s="363"/>
      <c r="M1015" s="370"/>
      <c r="N1015" s="363"/>
      <c r="O1015" s="363" t="b">
        <v>0</v>
      </c>
      <c r="P1015" s="370"/>
    </row>
    <row r="1016">
      <c r="A1016" s="363" t="s">
        <v>62</v>
      </c>
      <c r="B1016" s="363" t="s">
        <v>19</v>
      </c>
      <c r="C1016" s="363" t="s">
        <v>2690</v>
      </c>
      <c r="D1016" s="366">
        <v>45944.0</v>
      </c>
      <c r="E1016" s="363" t="s">
        <v>2897</v>
      </c>
      <c r="F1016" s="363" t="s">
        <v>2898</v>
      </c>
      <c r="G1016" s="363" t="s">
        <v>2899</v>
      </c>
      <c r="H1016" s="363" t="s">
        <v>2900</v>
      </c>
      <c r="I1016" s="363" t="s">
        <v>1382</v>
      </c>
      <c r="J1016" s="363" t="s">
        <v>2901</v>
      </c>
      <c r="K1016" s="363" t="s">
        <v>2902</v>
      </c>
      <c r="L1016" s="363" t="s">
        <v>2903</v>
      </c>
      <c r="M1016" s="370"/>
      <c r="N1016" s="363"/>
      <c r="O1016" s="363" t="b">
        <v>0</v>
      </c>
      <c r="P1016" s="370"/>
    </row>
    <row r="1017">
      <c r="A1017" s="363" t="s">
        <v>117</v>
      </c>
      <c r="B1017" s="363" t="s">
        <v>23</v>
      </c>
      <c r="C1017" s="363" t="s">
        <v>1451</v>
      </c>
      <c r="D1017" s="366">
        <v>45974.0</v>
      </c>
      <c r="E1017" s="363" t="s">
        <v>2904</v>
      </c>
      <c r="F1017" s="363" t="s">
        <v>2905</v>
      </c>
      <c r="G1017" s="363" t="s">
        <v>2906</v>
      </c>
      <c r="H1017" s="363" t="s">
        <v>2907</v>
      </c>
      <c r="I1017" s="363" t="s">
        <v>75</v>
      </c>
      <c r="J1017" s="363" t="s">
        <v>2908</v>
      </c>
      <c r="K1017" s="363" t="s">
        <v>2909</v>
      </c>
      <c r="L1017" s="363"/>
      <c r="M1017" s="370"/>
      <c r="N1017" s="363"/>
      <c r="O1017" s="363" t="b">
        <v>0</v>
      </c>
      <c r="P1017" s="370"/>
    </row>
    <row r="1018">
      <c r="A1018" s="363" t="s">
        <v>117</v>
      </c>
      <c r="B1018" s="363" t="s">
        <v>23</v>
      </c>
      <c r="C1018" s="363" t="s">
        <v>1451</v>
      </c>
      <c r="D1018" s="366">
        <v>45971.0</v>
      </c>
      <c r="E1018" s="363" t="s">
        <v>2910</v>
      </c>
      <c r="F1018" s="363" t="s">
        <v>2911</v>
      </c>
      <c r="G1018" s="363" t="s">
        <v>2912</v>
      </c>
      <c r="H1018" s="363" t="s">
        <v>2913</v>
      </c>
      <c r="I1018" s="363" t="s">
        <v>2914</v>
      </c>
      <c r="J1018" s="363" t="s">
        <v>2915</v>
      </c>
      <c r="K1018" s="363" t="s">
        <v>2916</v>
      </c>
      <c r="L1018" s="363"/>
      <c r="M1018" s="370"/>
      <c r="N1018" s="363"/>
      <c r="O1018" s="363" t="b">
        <v>0</v>
      </c>
      <c r="P1018" s="370"/>
    </row>
    <row r="1019">
      <c r="A1019" s="363" t="s">
        <v>17</v>
      </c>
      <c r="B1019" s="363" t="s">
        <v>23</v>
      </c>
      <c r="C1019" s="363" t="s">
        <v>1451</v>
      </c>
      <c r="D1019" s="366">
        <v>45709.0</v>
      </c>
      <c r="E1019" s="363" t="s">
        <v>2917</v>
      </c>
      <c r="F1019" s="363" t="s">
        <v>1846</v>
      </c>
      <c r="G1019" s="363" t="s">
        <v>2918</v>
      </c>
      <c r="H1019" s="363"/>
      <c r="I1019" s="363" t="s">
        <v>1918</v>
      </c>
      <c r="J1019" s="363" t="s">
        <v>2919</v>
      </c>
      <c r="K1019" s="363" t="s">
        <v>1451</v>
      </c>
      <c r="L1019" s="363"/>
      <c r="M1019" s="370"/>
      <c r="N1019" s="363"/>
      <c r="O1019" s="363" t="b">
        <v>0</v>
      </c>
      <c r="P1019" s="370"/>
    </row>
    <row r="1020">
      <c r="A1020" s="363" t="s">
        <v>17</v>
      </c>
      <c r="B1020" s="363" t="s">
        <v>53</v>
      </c>
      <c r="C1020" s="363" t="s">
        <v>1451</v>
      </c>
      <c r="D1020" s="366">
        <v>45999.0</v>
      </c>
      <c r="E1020" s="363" t="s">
        <v>2920</v>
      </c>
      <c r="F1020" s="363" t="s">
        <v>2921</v>
      </c>
      <c r="G1020" s="363" t="s">
        <v>2922</v>
      </c>
      <c r="H1020" s="363" t="s">
        <v>2923</v>
      </c>
      <c r="I1020" s="363" t="s">
        <v>684</v>
      </c>
      <c r="J1020" s="363" t="s">
        <v>2924</v>
      </c>
      <c r="K1020" s="363" t="s">
        <v>2925</v>
      </c>
      <c r="L1020" s="363"/>
      <c r="M1020" s="370"/>
      <c r="N1020" s="363"/>
      <c r="O1020" s="363" t="b">
        <v>0</v>
      </c>
      <c r="P1020" s="370"/>
    </row>
    <row r="1021">
      <c r="A1021" s="363" t="s">
        <v>17</v>
      </c>
      <c r="B1021" s="363" t="s">
        <v>23</v>
      </c>
      <c r="C1021" s="363" t="s">
        <v>1451</v>
      </c>
      <c r="D1021" s="366">
        <v>46006.0</v>
      </c>
      <c r="E1021" s="363" t="s">
        <v>2926</v>
      </c>
      <c r="F1021" s="363" t="s">
        <v>2927</v>
      </c>
      <c r="G1021" s="363" t="s">
        <v>2928</v>
      </c>
      <c r="H1021" s="363" t="s">
        <v>2929</v>
      </c>
      <c r="I1021" s="363" t="s">
        <v>2930</v>
      </c>
      <c r="J1021" s="363" t="s">
        <v>2931</v>
      </c>
      <c r="K1021" s="363" t="s">
        <v>2932</v>
      </c>
      <c r="L1021" s="363"/>
      <c r="M1021" s="370"/>
      <c r="N1021" s="363"/>
      <c r="O1021" s="363" t="b">
        <v>0</v>
      </c>
      <c r="P1021" s="370"/>
    </row>
    <row r="1022">
      <c r="A1022" s="363" t="s">
        <v>22</v>
      </c>
      <c r="B1022" s="363" t="s">
        <v>23</v>
      </c>
      <c r="C1022" s="363" t="s">
        <v>1451</v>
      </c>
      <c r="D1022" s="368">
        <v>45785.0</v>
      </c>
      <c r="E1022" s="363" t="s">
        <v>143</v>
      </c>
      <c r="F1022" s="363" t="s">
        <v>144</v>
      </c>
      <c r="G1022" s="363" t="s">
        <v>145</v>
      </c>
      <c r="H1022" s="363" t="s">
        <v>146</v>
      </c>
      <c r="I1022" s="363" t="s">
        <v>148</v>
      </c>
      <c r="J1022" s="363" t="s">
        <v>149</v>
      </c>
      <c r="K1022" s="363"/>
      <c r="L1022" s="363" t="s">
        <v>2933</v>
      </c>
      <c r="M1022" s="370">
        <v>0.65</v>
      </c>
      <c r="N1022" s="363"/>
      <c r="O1022" s="363" t="b">
        <v>0</v>
      </c>
      <c r="P1022" s="370"/>
    </row>
    <row r="1023">
      <c r="A1023" s="363" t="s">
        <v>22</v>
      </c>
      <c r="B1023" s="363" t="s">
        <v>53</v>
      </c>
      <c r="C1023" s="363" t="s">
        <v>1451</v>
      </c>
      <c r="D1023" s="368">
        <v>45952.0</v>
      </c>
      <c r="E1023" s="363" t="s">
        <v>2934</v>
      </c>
      <c r="F1023" s="363" t="s">
        <v>2935</v>
      </c>
      <c r="G1023" s="363" t="s">
        <v>2936</v>
      </c>
      <c r="H1023" s="363" t="s">
        <v>2937</v>
      </c>
      <c r="I1023" s="363" t="s">
        <v>2939</v>
      </c>
      <c r="J1023" s="363" t="s">
        <v>2941</v>
      </c>
      <c r="K1023" s="363" t="s">
        <v>2943</v>
      </c>
      <c r="L1023" s="363" t="s">
        <v>2945</v>
      </c>
      <c r="M1023" s="370"/>
      <c r="N1023" s="363"/>
      <c r="O1023" s="363" t="b">
        <v>0</v>
      </c>
      <c r="P1023" s="363"/>
    </row>
    <row r="1024">
      <c r="A1024" s="363" t="s">
        <v>117</v>
      </c>
      <c r="B1024" s="363" t="s">
        <v>19</v>
      </c>
      <c r="C1024" s="363" t="s">
        <v>1451</v>
      </c>
      <c r="D1024" s="368">
        <v>45994.0</v>
      </c>
      <c r="E1024" s="363" t="s">
        <v>2948</v>
      </c>
      <c r="F1024" s="363" t="s">
        <v>2949</v>
      </c>
      <c r="G1024" s="363" t="s">
        <v>2950</v>
      </c>
      <c r="H1024" s="363" t="s">
        <v>2951</v>
      </c>
      <c r="I1024" s="363" t="s">
        <v>329</v>
      </c>
      <c r="J1024" s="363" t="s">
        <v>2952</v>
      </c>
      <c r="K1024" s="363" t="s">
        <v>2953</v>
      </c>
      <c r="L1024" s="363" t="s">
        <v>2954</v>
      </c>
      <c r="M1024" s="370"/>
      <c r="N1024" s="363"/>
      <c r="O1024" s="363" t="b">
        <v>0</v>
      </c>
      <c r="P1024" s="363"/>
    </row>
    <row r="1025">
      <c r="A1025" s="363" t="s">
        <v>117</v>
      </c>
      <c r="B1025" s="363" t="s">
        <v>19</v>
      </c>
      <c r="C1025" s="363" t="s">
        <v>1451</v>
      </c>
      <c r="D1025" s="366">
        <v>45972.0</v>
      </c>
      <c r="E1025" s="363" t="s">
        <v>2959</v>
      </c>
      <c r="F1025" s="363" t="s">
        <v>2961</v>
      </c>
      <c r="G1025" s="363" t="s">
        <v>2963</v>
      </c>
      <c r="H1025" s="363" t="s">
        <v>2964</v>
      </c>
      <c r="I1025" s="363" t="s">
        <v>2965</v>
      </c>
      <c r="J1025" s="363" t="s">
        <v>2966</v>
      </c>
      <c r="K1025" s="363"/>
      <c r="L1025" s="363" t="s">
        <v>2967</v>
      </c>
      <c r="M1025" s="365"/>
      <c r="N1025" s="398"/>
      <c r="O1025" s="363" t="b">
        <v>0</v>
      </c>
      <c r="P1025" s="363"/>
    </row>
    <row r="1026">
      <c r="A1026" s="363" t="s">
        <v>117</v>
      </c>
      <c r="B1026" s="363" t="s">
        <v>23</v>
      </c>
      <c r="C1026" s="363" t="s">
        <v>1410</v>
      </c>
      <c r="D1026" s="366">
        <v>45979.0</v>
      </c>
      <c r="E1026" s="363" t="s">
        <v>2978</v>
      </c>
      <c r="F1026" s="363" t="s">
        <v>2979</v>
      </c>
      <c r="G1026" s="363" t="s">
        <v>2981</v>
      </c>
      <c r="H1026" s="363" t="s">
        <v>2983</v>
      </c>
      <c r="I1026" s="363" t="s">
        <v>2984</v>
      </c>
      <c r="J1026" s="363" t="s">
        <v>2985</v>
      </c>
      <c r="K1026" s="363"/>
      <c r="L1026" s="363"/>
      <c r="M1026" s="365"/>
      <c r="N1026" s="398"/>
      <c r="O1026" s="363" t="b">
        <v>0</v>
      </c>
      <c r="P1026" s="363"/>
    </row>
    <row r="1027">
      <c r="A1027" s="363" t="s">
        <v>17</v>
      </c>
      <c r="B1027" s="363" t="s">
        <v>53</v>
      </c>
      <c r="C1027" s="363" t="s">
        <v>1451</v>
      </c>
      <c r="D1027" s="366">
        <v>45999.0</v>
      </c>
      <c r="E1027" s="363" t="s">
        <v>2920</v>
      </c>
      <c r="F1027" s="363" t="s">
        <v>2921</v>
      </c>
      <c r="G1027" s="363" t="s">
        <v>2922</v>
      </c>
      <c r="H1027" s="363" t="s">
        <v>2923</v>
      </c>
      <c r="I1027" s="363" t="s">
        <v>684</v>
      </c>
      <c r="J1027" s="363" t="s">
        <v>2924</v>
      </c>
      <c r="K1027" s="363"/>
      <c r="L1027" s="363" t="s">
        <v>2925</v>
      </c>
      <c r="M1027" s="365"/>
      <c r="N1027" s="398"/>
      <c r="O1027" s="363" t="b">
        <v>0</v>
      </c>
      <c r="P1027" s="363"/>
    </row>
    <row r="1028">
      <c r="A1028" s="363" t="s">
        <v>2992</v>
      </c>
      <c r="B1028" s="363" t="s">
        <v>225</v>
      </c>
      <c r="C1028" s="363" t="s">
        <v>1451</v>
      </c>
      <c r="D1028" s="368">
        <v>46035.0</v>
      </c>
      <c r="E1028" s="363" t="s">
        <v>2999</v>
      </c>
      <c r="F1028" s="363" t="s">
        <v>3001</v>
      </c>
      <c r="G1028" s="363" t="s">
        <v>3002</v>
      </c>
      <c r="H1028" s="363" t="s">
        <v>3005</v>
      </c>
      <c r="I1028" s="363" t="s">
        <v>3006</v>
      </c>
      <c r="J1028" s="363" t="s">
        <v>3008</v>
      </c>
      <c r="K1028" s="363"/>
      <c r="L1028" s="363" t="s">
        <v>3009</v>
      </c>
      <c r="M1028" s="365"/>
      <c r="N1028" s="398"/>
      <c r="O1028" s="363" t="b">
        <v>0</v>
      </c>
      <c r="P1028" s="363"/>
    </row>
    <row r="1029">
      <c r="A1029" s="363" t="s">
        <v>135</v>
      </c>
      <c r="B1029" s="363" t="s">
        <v>23</v>
      </c>
      <c r="C1029" s="363" t="s">
        <v>1451</v>
      </c>
      <c r="D1029" s="368">
        <v>45994.0</v>
      </c>
      <c r="E1029" s="363" t="s">
        <v>3016</v>
      </c>
      <c r="F1029" s="363" t="s">
        <v>3018</v>
      </c>
      <c r="G1029" s="363" t="s">
        <v>3020</v>
      </c>
      <c r="H1029" s="363" t="s">
        <v>3022</v>
      </c>
      <c r="I1029" s="363" t="s">
        <v>762</v>
      </c>
      <c r="J1029" s="363" t="s">
        <v>3024</v>
      </c>
      <c r="K1029" s="363"/>
      <c r="L1029" s="363" t="s">
        <v>3025</v>
      </c>
      <c r="M1029" s="365"/>
      <c r="N1029" s="398"/>
      <c r="O1029" s="363" t="b">
        <v>0</v>
      </c>
      <c r="P1029" s="363"/>
    </row>
    <row r="1030">
      <c r="A1030" s="363" t="s">
        <v>17</v>
      </c>
      <c r="B1030" s="363" t="s">
        <v>19</v>
      </c>
      <c r="C1030" s="363" t="s">
        <v>1451</v>
      </c>
      <c r="D1030" s="368">
        <v>46030.0</v>
      </c>
      <c r="E1030" s="363" t="s">
        <v>3032</v>
      </c>
      <c r="F1030" s="363" t="s">
        <v>3033</v>
      </c>
      <c r="G1030" s="363" t="s">
        <v>3035</v>
      </c>
      <c r="H1030" s="363" t="s">
        <v>3036</v>
      </c>
      <c r="I1030" s="363" t="s">
        <v>3037</v>
      </c>
      <c r="J1030" s="363" t="s">
        <v>3038</v>
      </c>
      <c r="K1030" s="363"/>
      <c r="L1030" s="363"/>
      <c r="M1030" s="365"/>
      <c r="N1030" s="398"/>
      <c r="O1030" s="363" t="b">
        <v>0</v>
      </c>
      <c r="P1030" s="363"/>
    </row>
    <row r="1031">
      <c r="A1031" s="363" t="s">
        <v>17</v>
      </c>
      <c r="B1031" s="363" t="s">
        <v>23</v>
      </c>
      <c r="C1031" s="363" t="s">
        <v>1451</v>
      </c>
      <c r="D1031" s="368">
        <v>46038.0</v>
      </c>
      <c r="E1031" s="363" t="s">
        <v>3044</v>
      </c>
      <c r="F1031" s="363" t="s">
        <v>3045</v>
      </c>
      <c r="G1031" s="363" t="s">
        <v>3047</v>
      </c>
      <c r="H1031" s="363" t="s">
        <v>3049</v>
      </c>
      <c r="I1031" s="363" t="s">
        <v>3043</v>
      </c>
      <c r="J1031" s="363" t="s">
        <v>3050</v>
      </c>
      <c r="K1031" s="363" t="s">
        <v>3051</v>
      </c>
      <c r="L1031" s="363" t="s">
        <v>3052</v>
      </c>
      <c r="M1031" s="365"/>
      <c r="N1031" s="398"/>
      <c r="O1031" s="363" t="b">
        <v>0</v>
      </c>
      <c r="P1031" s="363"/>
    </row>
    <row r="1032">
      <c r="A1032" s="363" t="s">
        <v>22</v>
      </c>
      <c r="B1032" s="363" t="s">
        <v>53</v>
      </c>
      <c r="C1032" s="363" t="s">
        <v>1451</v>
      </c>
      <c r="D1032" s="368">
        <v>46042.0</v>
      </c>
      <c r="E1032" s="363" t="s">
        <v>3056</v>
      </c>
      <c r="F1032" s="363" t="s">
        <v>3058</v>
      </c>
      <c r="G1032" s="363" t="s">
        <v>3059</v>
      </c>
      <c r="H1032" s="363" t="s">
        <v>3060</v>
      </c>
      <c r="I1032" s="363" t="s">
        <v>543</v>
      </c>
      <c r="J1032" s="363" t="s">
        <v>3062</v>
      </c>
      <c r="K1032" s="363" t="s">
        <v>3064</v>
      </c>
      <c r="L1032" s="363"/>
      <c r="M1032" s="365"/>
      <c r="N1032" s="398"/>
      <c r="O1032" s="363" t="b">
        <v>0</v>
      </c>
      <c r="P1032" s="363"/>
    </row>
    <row r="1033">
      <c r="A1033" s="363" t="s">
        <v>117</v>
      </c>
      <c r="B1033" s="363" t="s">
        <v>53</v>
      </c>
      <c r="C1033" s="363" t="s">
        <v>1451</v>
      </c>
      <c r="D1033" s="368">
        <v>45978.0</v>
      </c>
      <c r="E1033" s="363" t="s">
        <v>3065</v>
      </c>
      <c r="F1033" s="363" t="s">
        <v>3066</v>
      </c>
      <c r="G1033" s="363" t="s">
        <v>3067</v>
      </c>
      <c r="H1033" s="363" t="s">
        <v>3068</v>
      </c>
      <c r="I1033" s="363" t="s">
        <v>543</v>
      </c>
      <c r="J1033" s="363" t="s">
        <v>3069</v>
      </c>
      <c r="K1033" s="363"/>
      <c r="L1033" s="363" t="s">
        <v>3070</v>
      </c>
      <c r="M1033" s="365"/>
      <c r="N1033" s="398"/>
      <c r="O1033" s="363" t="b">
        <v>0</v>
      </c>
      <c r="P1033" s="363"/>
    </row>
    <row r="1034">
      <c r="A1034" s="363" t="s">
        <v>17</v>
      </c>
      <c r="B1034" s="363" t="s">
        <v>53</v>
      </c>
      <c r="C1034" s="363" t="s">
        <v>1451</v>
      </c>
      <c r="D1034" s="368">
        <v>46001.0</v>
      </c>
      <c r="E1034" s="363" t="s">
        <v>3071</v>
      </c>
      <c r="F1034" s="363" t="s">
        <v>3072</v>
      </c>
      <c r="G1034" s="363" t="s">
        <v>3073</v>
      </c>
      <c r="H1034" s="363" t="s">
        <v>3074</v>
      </c>
      <c r="I1034" s="363" t="s">
        <v>581</v>
      </c>
      <c r="J1034" s="363" t="s">
        <v>3076</v>
      </c>
      <c r="K1034" s="363"/>
      <c r="L1034" s="363" t="s">
        <v>3077</v>
      </c>
      <c r="M1034" s="365"/>
      <c r="N1034" s="398"/>
      <c r="O1034" s="363" t="b">
        <v>0</v>
      </c>
      <c r="P1034" s="363"/>
    </row>
    <row r="1035">
      <c r="A1035" s="363" t="s">
        <v>117</v>
      </c>
      <c r="B1035" s="363" t="s">
        <v>53</v>
      </c>
      <c r="C1035" s="363" t="s">
        <v>1451</v>
      </c>
      <c r="D1035" s="368">
        <v>45979.0</v>
      </c>
      <c r="E1035" s="363" t="s">
        <v>3078</v>
      </c>
      <c r="F1035" s="363" t="s">
        <v>3079</v>
      </c>
      <c r="G1035" s="363" t="s">
        <v>3080</v>
      </c>
      <c r="H1035" s="363" t="s">
        <v>3081</v>
      </c>
      <c r="I1035" s="363" t="s">
        <v>3083</v>
      </c>
      <c r="J1035" s="363" t="s">
        <v>3084</v>
      </c>
      <c r="K1035" s="363" t="s">
        <v>3085</v>
      </c>
      <c r="L1035" s="363" t="s">
        <v>3086</v>
      </c>
      <c r="M1035" s="365"/>
      <c r="N1035" s="398"/>
      <c r="O1035" s="363" t="b">
        <v>0</v>
      </c>
      <c r="P1035" s="363"/>
    </row>
    <row r="1036">
      <c r="A1036" s="363" t="s">
        <v>117</v>
      </c>
      <c r="B1036" s="363" t="s">
        <v>53</v>
      </c>
      <c r="C1036" s="363" t="s">
        <v>1451</v>
      </c>
      <c r="D1036" s="368">
        <v>45973.0</v>
      </c>
      <c r="E1036" s="363" t="s">
        <v>3088</v>
      </c>
      <c r="F1036" s="363" t="s">
        <v>3089</v>
      </c>
      <c r="G1036" s="363" t="s">
        <v>3090</v>
      </c>
      <c r="H1036" s="363" t="s">
        <v>3092</v>
      </c>
      <c r="I1036" s="363" t="s">
        <v>497</v>
      </c>
      <c r="J1036" s="363" t="s">
        <v>3093</v>
      </c>
      <c r="K1036" s="363" t="s">
        <v>3094</v>
      </c>
      <c r="L1036" s="363" t="s">
        <v>3096</v>
      </c>
      <c r="M1036" s="365"/>
      <c r="N1036" s="398"/>
      <c r="O1036" s="363" t="b">
        <v>0</v>
      </c>
      <c r="P1036" s="363"/>
    </row>
    <row r="1037">
      <c r="A1037" s="363" t="s">
        <v>117</v>
      </c>
      <c r="B1037" s="363" t="s">
        <v>53</v>
      </c>
      <c r="C1037" s="363" t="s">
        <v>1451</v>
      </c>
      <c r="D1037" s="368">
        <v>45994.0</v>
      </c>
      <c r="E1037" s="363" t="s">
        <v>3100</v>
      </c>
      <c r="F1037" s="363" t="s">
        <v>3101</v>
      </c>
      <c r="G1037" s="363" t="s">
        <v>3102</v>
      </c>
      <c r="H1037" s="363" t="s">
        <v>3104</v>
      </c>
      <c r="I1037" s="363" t="s">
        <v>996</v>
      </c>
      <c r="J1037" s="363" t="s">
        <v>3105</v>
      </c>
      <c r="K1037" s="363"/>
      <c r="L1037" s="363" t="s">
        <v>3106</v>
      </c>
      <c r="M1037" s="365"/>
      <c r="N1037" s="398"/>
      <c r="O1037" s="363" t="b">
        <v>0</v>
      </c>
      <c r="P1037" s="363"/>
    </row>
    <row r="1038">
      <c r="A1038" s="363" t="s">
        <v>410</v>
      </c>
      <c r="B1038" s="363" t="s">
        <v>23</v>
      </c>
      <c r="C1038" s="363" t="s">
        <v>1451</v>
      </c>
      <c r="D1038" s="368">
        <v>45999.0</v>
      </c>
      <c r="E1038" s="363" t="s">
        <v>3111</v>
      </c>
      <c r="F1038" s="363" t="s">
        <v>3112</v>
      </c>
      <c r="G1038" s="363" t="s">
        <v>3113</v>
      </c>
      <c r="H1038" s="363" t="s">
        <v>3114</v>
      </c>
      <c r="I1038" s="363" t="s">
        <v>543</v>
      </c>
      <c r="J1038" s="363" t="s">
        <v>3115</v>
      </c>
      <c r="K1038" s="363"/>
      <c r="L1038" s="363" t="s">
        <v>3118</v>
      </c>
      <c r="M1038" s="365"/>
      <c r="N1038" s="398"/>
      <c r="O1038" s="363" t="b">
        <v>0</v>
      </c>
      <c r="P1038" s="363"/>
    </row>
    <row r="1039">
      <c r="A1039" s="363" t="s">
        <v>117</v>
      </c>
      <c r="B1039" s="363" t="s">
        <v>23</v>
      </c>
      <c r="C1039" s="363" t="s">
        <v>1451</v>
      </c>
      <c r="D1039" s="368">
        <v>45994.0</v>
      </c>
      <c r="E1039" s="363" t="s">
        <v>3121</v>
      </c>
      <c r="F1039" s="363" t="s">
        <v>3123</v>
      </c>
      <c r="G1039" s="363" t="s">
        <v>3124</v>
      </c>
      <c r="H1039" s="363" t="s">
        <v>3125</v>
      </c>
      <c r="I1039" s="363" t="s">
        <v>140</v>
      </c>
      <c r="J1039" s="363" t="s">
        <v>3126</v>
      </c>
      <c r="K1039" s="363"/>
      <c r="L1039" s="363" t="s">
        <v>3025</v>
      </c>
      <c r="M1039" s="365"/>
      <c r="N1039" s="398"/>
      <c r="O1039" s="363" t="b">
        <v>0</v>
      </c>
      <c r="P1039" s="363"/>
    </row>
    <row r="1040">
      <c r="A1040" s="363" t="s">
        <v>17</v>
      </c>
      <c r="B1040" s="363" t="s">
        <v>23</v>
      </c>
      <c r="C1040" s="363" t="s">
        <v>1451</v>
      </c>
      <c r="D1040" s="368">
        <v>46051.0</v>
      </c>
      <c r="E1040" s="363" t="s">
        <v>3130</v>
      </c>
      <c r="F1040" s="363" t="s">
        <v>3131</v>
      </c>
      <c r="G1040" s="363" t="s">
        <v>3132</v>
      </c>
      <c r="H1040" s="363" t="s">
        <v>3133</v>
      </c>
      <c r="I1040" s="363" t="s">
        <v>497</v>
      </c>
      <c r="J1040" s="363" t="s">
        <v>3134</v>
      </c>
      <c r="K1040" s="363" t="s">
        <v>3135</v>
      </c>
      <c r="L1040" s="363"/>
      <c r="M1040" s="365"/>
      <c r="N1040" s="398"/>
      <c r="O1040" s="363" t="b">
        <v>0</v>
      </c>
      <c r="P1040" s="363"/>
    </row>
    <row r="1041">
      <c r="A1041" s="363" t="s">
        <v>18</v>
      </c>
      <c r="B1041" s="363" t="s">
        <v>19</v>
      </c>
      <c r="C1041" s="363" t="s">
        <v>1451</v>
      </c>
      <c r="D1041" s="368">
        <v>46042.0</v>
      </c>
      <c r="E1041" s="363" t="s">
        <v>3137</v>
      </c>
      <c r="F1041" s="363" t="s">
        <v>3138</v>
      </c>
      <c r="G1041" s="363" t="s">
        <v>3139</v>
      </c>
      <c r="H1041" s="363" t="s">
        <v>3140</v>
      </c>
      <c r="I1041" s="363"/>
      <c r="J1041" s="363" t="s">
        <v>3141</v>
      </c>
      <c r="K1041" s="363"/>
      <c r="L1041" s="363"/>
      <c r="M1041" s="365"/>
      <c r="N1041" s="398"/>
      <c r="O1041" s="363" t="b">
        <v>0</v>
      </c>
      <c r="P1041" s="363"/>
    </row>
    <row r="1042">
      <c r="A1042" s="363" t="s">
        <v>3143</v>
      </c>
      <c r="B1042" s="363" t="s">
        <v>23</v>
      </c>
      <c r="C1042" s="363" t="s">
        <v>1451</v>
      </c>
      <c r="D1042" s="368">
        <v>45936.0</v>
      </c>
      <c r="E1042" s="363" t="s">
        <v>3144</v>
      </c>
      <c r="F1042" s="363" t="s">
        <v>3145</v>
      </c>
      <c r="G1042" s="363"/>
      <c r="H1042" s="363" t="s">
        <v>3147</v>
      </c>
      <c r="I1042" s="363" t="s">
        <v>3148</v>
      </c>
      <c r="J1042" s="363" t="s">
        <v>3149</v>
      </c>
      <c r="K1042" s="363"/>
      <c r="L1042" s="363" t="s">
        <v>3150</v>
      </c>
      <c r="M1042" s="365"/>
      <c r="N1042" s="398"/>
      <c r="O1042" s="363" t="b">
        <v>0</v>
      </c>
      <c r="P1042" s="363"/>
    </row>
    <row r="1043">
      <c r="A1043" s="363" t="s">
        <v>62</v>
      </c>
      <c r="B1043" s="363" t="s">
        <v>53</v>
      </c>
      <c r="C1043" s="363" t="s">
        <v>1410</v>
      </c>
      <c r="D1043" s="368">
        <v>45939.0</v>
      </c>
      <c r="E1043" s="363" t="s">
        <v>3155</v>
      </c>
      <c r="F1043" s="363" t="s">
        <v>3157</v>
      </c>
      <c r="G1043" s="363" t="s">
        <v>3158</v>
      </c>
      <c r="H1043" s="363" t="s">
        <v>3159</v>
      </c>
      <c r="I1043" s="363" t="s">
        <v>3160</v>
      </c>
      <c r="J1043" s="363" t="s">
        <v>3161</v>
      </c>
      <c r="K1043" s="363"/>
      <c r="L1043" s="363" t="s">
        <v>3162</v>
      </c>
      <c r="M1043" s="365"/>
      <c r="N1043" s="398"/>
      <c r="O1043" s="363" t="b">
        <v>0</v>
      </c>
      <c r="P1043" s="363"/>
    </row>
    <row r="1044">
      <c r="A1044" s="363" t="s">
        <v>62</v>
      </c>
      <c r="B1044" s="363" t="s">
        <v>23</v>
      </c>
      <c r="C1044" s="363" t="s">
        <v>1410</v>
      </c>
      <c r="D1044" s="368">
        <v>45944.0</v>
      </c>
      <c r="E1044" s="363" t="s">
        <v>3166</v>
      </c>
      <c r="F1044" s="363" t="s">
        <v>3168</v>
      </c>
      <c r="G1044" s="363" t="s">
        <v>3169</v>
      </c>
      <c r="H1044" s="363" t="s">
        <v>3170</v>
      </c>
      <c r="I1044" s="363" t="s">
        <v>3160</v>
      </c>
      <c r="J1044" s="363" t="s">
        <v>3172</v>
      </c>
      <c r="K1044" s="363" t="s">
        <v>3173</v>
      </c>
      <c r="L1044" s="363" t="s">
        <v>3174</v>
      </c>
      <c r="M1044" s="365">
        <v>46232.88282356481</v>
      </c>
      <c r="N1044" s="398"/>
      <c r="O1044" s="363" t="b">
        <v>0</v>
      </c>
      <c r="P1044" s="363"/>
    </row>
    <row r="1045">
      <c r="A1045" s="363" t="s">
        <v>410</v>
      </c>
      <c r="B1045" s="363" t="s">
        <v>19</v>
      </c>
      <c r="C1045" s="363" t="s">
        <v>1451</v>
      </c>
      <c r="D1045" s="368">
        <v>45971.0</v>
      </c>
      <c r="E1045" s="363" t="s">
        <v>3180</v>
      </c>
      <c r="F1045" s="363" t="s">
        <v>3181</v>
      </c>
      <c r="G1045" s="363" t="s">
        <v>3182</v>
      </c>
      <c r="H1045" s="363" t="s">
        <v>3183</v>
      </c>
      <c r="I1045" s="363" t="s">
        <v>2930</v>
      </c>
      <c r="J1045" s="363" t="s">
        <v>3185</v>
      </c>
      <c r="K1045" s="363" t="s">
        <v>3186</v>
      </c>
      <c r="L1045" s="363" t="s">
        <v>3187</v>
      </c>
      <c r="M1045" s="365"/>
      <c r="N1045" s="398"/>
      <c r="O1045" s="363" t="b">
        <v>0</v>
      </c>
      <c r="P1045" s="363"/>
    </row>
    <row r="1046">
      <c r="A1046" s="363" t="s">
        <v>815</v>
      </c>
      <c r="B1046" s="363" t="s">
        <v>53</v>
      </c>
      <c r="C1046" s="363" t="s">
        <v>1451</v>
      </c>
      <c r="D1046" s="368">
        <v>45985.0</v>
      </c>
      <c r="E1046" s="363" t="s">
        <v>3189</v>
      </c>
      <c r="F1046" s="363" t="s">
        <v>3190</v>
      </c>
      <c r="G1046" s="363"/>
      <c r="H1046" s="363" t="s">
        <v>3191</v>
      </c>
      <c r="I1046" s="363" t="s">
        <v>3192</v>
      </c>
      <c r="J1046" s="363" t="s">
        <v>3193</v>
      </c>
      <c r="K1046" s="363"/>
      <c r="L1046" s="363" t="s">
        <v>3194</v>
      </c>
      <c r="M1046" s="365"/>
      <c r="N1046" s="398"/>
      <c r="O1046" s="363" t="b">
        <v>0</v>
      </c>
      <c r="P1046" s="363"/>
    </row>
    <row r="1047">
      <c r="A1047" s="363" t="s">
        <v>410</v>
      </c>
      <c r="B1047" s="363" t="s">
        <v>53</v>
      </c>
      <c r="C1047" s="363" t="s">
        <v>1451</v>
      </c>
      <c r="D1047" s="368">
        <v>46000.0</v>
      </c>
      <c r="E1047" s="363" t="s">
        <v>3195</v>
      </c>
      <c r="F1047" s="363" t="s">
        <v>3196</v>
      </c>
      <c r="G1047" s="363" t="s">
        <v>3197</v>
      </c>
      <c r="H1047" s="363" t="s">
        <v>3198</v>
      </c>
      <c r="I1047" s="363" t="s">
        <v>1059</v>
      </c>
      <c r="J1047" s="363" t="s">
        <v>3199</v>
      </c>
      <c r="K1047" s="363"/>
      <c r="L1047" s="363" t="s">
        <v>3201</v>
      </c>
      <c r="M1047" s="365"/>
      <c r="N1047" s="398"/>
      <c r="O1047" s="363" t="b">
        <v>0</v>
      </c>
      <c r="P1047" s="363"/>
    </row>
    <row r="1048">
      <c r="A1048" s="363" t="s">
        <v>17</v>
      </c>
      <c r="B1048" s="363" t="s">
        <v>23</v>
      </c>
      <c r="C1048" s="363" t="s">
        <v>1451</v>
      </c>
      <c r="D1048" s="368">
        <v>46003.0</v>
      </c>
      <c r="E1048" s="363" t="s">
        <v>3203</v>
      </c>
      <c r="F1048" s="363" t="s">
        <v>3204</v>
      </c>
      <c r="G1048" s="363" t="s">
        <v>3205</v>
      </c>
      <c r="H1048" s="363" t="s">
        <v>3206</v>
      </c>
      <c r="I1048" s="363" t="s">
        <v>3209</v>
      </c>
      <c r="J1048" s="363" t="s">
        <v>3210</v>
      </c>
      <c r="K1048" s="363" t="s">
        <v>3212</v>
      </c>
      <c r="L1048" s="363" t="s">
        <v>2135</v>
      </c>
      <c r="M1048" s="365"/>
      <c r="N1048" s="398"/>
      <c r="O1048" s="363" t="b">
        <v>0</v>
      </c>
      <c r="P1048" s="363"/>
    </row>
    <row r="1049">
      <c r="A1049" s="363" t="s">
        <v>135</v>
      </c>
      <c r="B1049" s="363" t="s">
        <v>225</v>
      </c>
      <c r="C1049" s="363" t="s">
        <v>1451</v>
      </c>
      <c r="D1049" s="368">
        <v>46013.0</v>
      </c>
      <c r="E1049" s="363" t="s">
        <v>3214</v>
      </c>
      <c r="F1049" s="363" t="s">
        <v>3214</v>
      </c>
      <c r="G1049" s="363" t="s">
        <v>3215</v>
      </c>
      <c r="H1049" s="363" t="s">
        <v>3216</v>
      </c>
      <c r="I1049" s="363" t="s">
        <v>3217</v>
      </c>
      <c r="J1049" s="363" t="s">
        <v>3219</v>
      </c>
      <c r="K1049" s="363"/>
      <c r="L1049" s="363" t="s">
        <v>3220</v>
      </c>
      <c r="M1049" s="365"/>
      <c r="N1049" s="398"/>
      <c r="O1049" s="363" t="b">
        <v>0</v>
      </c>
      <c r="P1049" s="363"/>
    </row>
    <row r="1050">
      <c r="A1050" s="363" t="s">
        <v>410</v>
      </c>
      <c r="B1050" s="363" t="s">
        <v>53</v>
      </c>
      <c r="C1050" s="363" t="s">
        <v>1451</v>
      </c>
      <c r="D1050" s="366">
        <v>46000.0</v>
      </c>
      <c r="E1050" s="363" t="s">
        <v>3224</v>
      </c>
      <c r="F1050" s="363" t="s">
        <v>3225</v>
      </c>
      <c r="G1050" s="363" t="s">
        <v>3226</v>
      </c>
      <c r="H1050" s="363" t="s">
        <v>3228</v>
      </c>
      <c r="I1050" s="371" t="s">
        <v>1174</v>
      </c>
      <c r="J1050" s="363" t="s">
        <v>3244</v>
      </c>
      <c r="K1050" s="363"/>
      <c r="L1050" s="363" t="s">
        <v>3245</v>
      </c>
      <c r="M1050" s="365"/>
      <c r="N1050" s="398"/>
      <c r="O1050" s="363" t="b">
        <v>0</v>
      </c>
      <c r="P1050" s="363"/>
    </row>
    <row r="1051">
      <c r="A1051" s="363" t="s">
        <v>22</v>
      </c>
      <c r="B1051" s="363" t="s">
        <v>19</v>
      </c>
      <c r="C1051" s="363" t="s">
        <v>1527</v>
      </c>
      <c r="D1051" s="366">
        <v>46002.0</v>
      </c>
      <c r="E1051" s="363" t="s">
        <v>1490</v>
      </c>
      <c r="F1051" s="363" t="s">
        <v>1492</v>
      </c>
      <c r="G1051" s="363" t="s">
        <v>3251</v>
      </c>
      <c r="H1051" s="363" t="s">
        <v>1497</v>
      </c>
      <c r="I1051" s="371" t="s">
        <v>340</v>
      </c>
      <c r="J1051" s="363" t="s">
        <v>3255</v>
      </c>
      <c r="K1051" s="363"/>
      <c r="L1051" s="363" t="s">
        <v>3258</v>
      </c>
      <c r="M1051" s="365"/>
      <c r="N1051" s="398"/>
      <c r="O1051" s="363" t="b">
        <v>0</v>
      </c>
      <c r="P1051" s="363"/>
    </row>
    <row r="1052">
      <c r="A1052" s="363" t="s">
        <v>18</v>
      </c>
      <c r="B1052" s="363" t="s">
        <v>53</v>
      </c>
      <c r="C1052" s="363" t="s">
        <v>1451</v>
      </c>
      <c r="D1052" s="368">
        <v>46043.0</v>
      </c>
      <c r="E1052" s="363" t="s">
        <v>3268</v>
      </c>
      <c r="F1052" s="363" t="s">
        <v>3270</v>
      </c>
      <c r="G1052" s="363" t="s">
        <v>3271</v>
      </c>
      <c r="H1052" s="363" t="s">
        <v>3272</v>
      </c>
      <c r="I1052" s="363" t="s">
        <v>2355</v>
      </c>
      <c r="J1052" s="363" t="s">
        <v>3275</v>
      </c>
      <c r="K1052" s="363"/>
      <c r="L1052" s="363"/>
      <c r="M1052" s="365"/>
      <c r="N1052" s="398"/>
      <c r="O1052" s="363" t="b">
        <v>0</v>
      </c>
      <c r="P1052" s="363"/>
    </row>
    <row r="1053">
      <c r="A1053" s="363" t="s">
        <v>117</v>
      </c>
      <c r="B1053" s="363" t="s">
        <v>53</v>
      </c>
      <c r="C1053" s="363" t="s">
        <v>1451</v>
      </c>
      <c r="D1053" s="368">
        <v>46008.0</v>
      </c>
      <c r="E1053" s="363" t="s">
        <v>3281</v>
      </c>
      <c r="F1053" s="363" t="s">
        <v>3283</v>
      </c>
      <c r="G1053" s="363" t="s">
        <v>3284</v>
      </c>
      <c r="H1053" s="363" t="s">
        <v>3285</v>
      </c>
      <c r="I1053" s="363" t="s">
        <v>973</v>
      </c>
      <c r="J1053" s="363" t="s">
        <v>3286</v>
      </c>
      <c r="K1053" s="363"/>
      <c r="L1053" s="363" t="s">
        <v>3287</v>
      </c>
      <c r="M1053" s="365"/>
      <c r="N1053" s="398"/>
      <c r="O1053" s="363" t="b">
        <v>0</v>
      </c>
      <c r="P1053" s="363"/>
    </row>
    <row r="1054">
      <c r="A1054" s="363" t="s">
        <v>22</v>
      </c>
      <c r="B1054" s="363" t="s">
        <v>53</v>
      </c>
      <c r="C1054" s="363" t="s">
        <v>1451</v>
      </c>
      <c r="D1054" s="366">
        <v>46003.0</v>
      </c>
      <c r="E1054" s="363" t="s">
        <v>3293</v>
      </c>
      <c r="F1054" s="363" t="s">
        <v>3303</v>
      </c>
      <c r="G1054" s="363" t="s">
        <v>3305</v>
      </c>
      <c r="H1054" s="363" t="s">
        <v>3306</v>
      </c>
      <c r="I1054" s="363" t="s">
        <v>59</v>
      </c>
      <c r="J1054" s="363" t="s">
        <v>3309</v>
      </c>
      <c r="K1054" s="363" t="s">
        <v>3311</v>
      </c>
      <c r="L1054" s="365"/>
      <c r="M1054" s="398"/>
      <c r="N1054" s="363"/>
      <c r="O1054" s="363" t="b">
        <v>0</v>
      </c>
      <c r="P1054" s="370"/>
    </row>
    <row r="1055">
      <c r="A1055" s="363" t="s">
        <v>22</v>
      </c>
      <c r="B1055" s="363" t="s">
        <v>23</v>
      </c>
      <c r="C1055" s="363" t="s">
        <v>1451</v>
      </c>
      <c r="D1055" s="366">
        <v>45762.0</v>
      </c>
      <c r="E1055" s="363" t="s">
        <v>3347</v>
      </c>
      <c r="F1055" s="363" t="s">
        <v>3348</v>
      </c>
      <c r="G1055" s="363" t="s">
        <v>3349</v>
      </c>
      <c r="H1055" s="363" t="s">
        <v>3350</v>
      </c>
      <c r="I1055" s="363" t="s">
        <v>2227</v>
      </c>
      <c r="J1055" s="363" t="s">
        <v>3354</v>
      </c>
      <c r="K1055" s="363" t="s">
        <v>3357</v>
      </c>
      <c r="L1055" s="363"/>
      <c r="M1055" s="398"/>
      <c r="N1055" s="363"/>
      <c r="O1055" s="363" t="b">
        <v>0</v>
      </c>
      <c r="P1055" s="370"/>
    </row>
    <row r="1056">
      <c r="A1056" s="363" t="s">
        <v>17</v>
      </c>
      <c r="B1056" s="363" t="s">
        <v>23</v>
      </c>
      <c r="C1056" s="363" t="s">
        <v>1451</v>
      </c>
      <c r="D1056" s="366">
        <v>45715.0</v>
      </c>
      <c r="E1056" s="363" t="s">
        <v>3366</v>
      </c>
      <c r="F1056" s="363" t="s">
        <v>3367</v>
      </c>
      <c r="G1056" s="363" t="s">
        <v>3368</v>
      </c>
      <c r="H1056" s="363" t="s">
        <v>3369</v>
      </c>
      <c r="I1056" s="363" t="s">
        <v>3372</v>
      </c>
      <c r="J1056" s="363" t="s">
        <v>3374</v>
      </c>
      <c r="K1056" s="363" t="s">
        <v>3375</v>
      </c>
      <c r="L1056" s="363"/>
      <c r="M1056" s="398">
        <v>0.9</v>
      </c>
      <c r="N1056" s="363"/>
      <c r="O1056" s="363" t="b">
        <v>0</v>
      </c>
      <c r="P1056" s="370"/>
    </row>
    <row r="1057">
      <c r="A1057" s="363" t="s">
        <v>62</v>
      </c>
      <c r="B1057" s="363" t="s">
        <v>53</v>
      </c>
      <c r="C1057" s="363" t="s">
        <v>1451</v>
      </c>
      <c r="D1057" s="366">
        <v>46063.0</v>
      </c>
      <c r="E1057" s="363" t="s">
        <v>3383</v>
      </c>
      <c r="F1057" s="363" t="s">
        <v>3384</v>
      </c>
      <c r="G1057" s="363" t="s">
        <v>3386</v>
      </c>
      <c r="H1057" s="363" t="s">
        <v>3387</v>
      </c>
      <c r="I1057" s="363" t="s">
        <v>612</v>
      </c>
      <c r="J1057" s="363" t="s">
        <v>3388</v>
      </c>
      <c r="K1057" s="363" t="s">
        <v>3390</v>
      </c>
      <c r="L1057" s="365"/>
      <c r="M1057" s="368">
        <v>46064.85955498843</v>
      </c>
      <c r="N1057" s="363"/>
      <c r="O1057" s="363" t="b">
        <v>0</v>
      </c>
      <c r="P1057" s="370"/>
    </row>
    <row r="1058">
      <c r="A1058" s="363" t="s">
        <v>410</v>
      </c>
      <c r="B1058" s="363" t="s">
        <v>53</v>
      </c>
      <c r="C1058" s="363" t="s">
        <v>1451</v>
      </c>
      <c r="D1058" s="366">
        <v>46000.0</v>
      </c>
      <c r="E1058" s="363" t="s">
        <v>3224</v>
      </c>
      <c r="F1058" s="363" t="s">
        <v>3225</v>
      </c>
      <c r="G1058" s="363" t="s">
        <v>3226</v>
      </c>
      <c r="H1058" s="363" t="s">
        <v>3228</v>
      </c>
      <c r="I1058" s="363" t="s">
        <v>1174</v>
      </c>
      <c r="J1058" s="363" t="s">
        <v>3244</v>
      </c>
      <c r="K1058" s="363" t="s">
        <v>3401</v>
      </c>
      <c r="L1058" s="363"/>
      <c r="M1058" s="398"/>
      <c r="N1058" s="363"/>
      <c r="O1058" s="363" t="b">
        <v>0</v>
      </c>
      <c r="P1058" s="370"/>
    </row>
    <row r="1059">
      <c r="A1059" s="363" t="s">
        <v>135</v>
      </c>
      <c r="B1059" s="363" t="s">
        <v>225</v>
      </c>
      <c r="C1059" s="363" t="s">
        <v>1451</v>
      </c>
      <c r="D1059" s="366">
        <v>46055.0</v>
      </c>
      <c r="E1059" s="363" t="s">
        <v>3413</v>
      </c>
      <c r="F1059" s="363" t="s">
        <v>3414</v>
      </c>
      <c r="G1059" s="363" t="s">
        <v>3415</v>
      </c>
      <c r="H1059" s="363" t="s">
        <v>3417</v>
      </c>
      <c r="I1059" s="363" t="s">
        <v>1181</v>
      </c>
      <c r="J1059" s="363" t="s">
        <v>3421</v>
      </c>
      <c r="K1059" s="363"/>
      <c r="L1059" s="363"/>
      <c r="M1059" s="398"/>
      <c r="N1059" s="363"/>
      <c r="O1059" s="363" t="b">
        <v>0</v>
      </c>
      <c r="P1059" s="370"/>
    </row>
    <row r="1060">
      <c r="A1060" s="363" t="s">
        <v>62</v>
      </c>
      <c r="B1060" s="363" t="s">
        <v>23</v>
      </c>
      <c r="C1060" s="363" t="s">
        <v>1451</v>
      </c>
      <c r="D1060" s="366">
        <v>46058.0</v>
      </c>
      <c r="E1060" s="363" t="s">
        <v>3437</v>
      </c>
      <c r="F1060" s="363" t="s">
        <v>3439</v>
      </c>
      <c r="G1060" s="363" t="s">
        <v>3441</v>
      </c>
      <c r="H1060" s="363" t="s">
        <v>3442</v>
      </c>
      <c r="I1060" s="371" t="s">
        <v>883</v>
      </c>
      <c r="J1060" s="363" t="s">
        <v>3449</v>
      </c>
      <c r="K1060" s="363" t="s">
        <v>3451</v>
      </c>
      <c r="L1060" s="365"/>
      <c r="M1060" s="368">
        <v>46059.74976501157</v>
      </c>
      <c r="N1060" s="363"/>
      <c r="O1060" s="363" t="b">
        <v>0</v>
      </c>
      <c r="P1060" s="370"/>
    </row>
    <row r="1061">
      <c r="A1061" s="363" t="s">
        <v>62</v>
      </c>
      <c r="B1061" s="363" t="s">
        <v>23</v>
      </c>
      <c r="C1061" s="363" t="s">
        <v>1451</v>
      </c>
      <c r="D1061" s="366">
        <v>46030.0</v>
      </c>
      <c r="E1061" s="363" t="s">
        <v>3464</v>
      </c>
      <c r="F1061" s="363" t="s">
        <v>3465</v>
      </c>
      <c r="G1061" s="363" t="s">
        <v>3466</v>
      </c>
      <c r="H1061" s="363" t="s">
        <v>3468</v>
      </c>
      <c r="I1061" s="363" t="s">
        <v>3470</v>
      </c>
      <c r="J1061" s="363" t="s">
        <v>3472</v>
      </c>
      <c r="K1061" s="363" t="s">
        <v>3475</v>
      </c>
      <c r="L1061" s="398"/>
      <c r="M1061" s="368">
        <v>46230.8816881713</v>
      </c>
      <c r="N1061" s="363"/>
      <c r="O1061" s="363" t="b">
        <v>0</v>
      </c>
      <c r="P1061" s="363"/>
    </row>
    <row r="1062">
      <c r="A1062" s="363" t="s">
        <v>410</v>
      </c>
      <c r="B1062" s="363" t="s">
        <v>53</v>
      </c>
      <c r="C1062" s="363" t="s">
        <v>1451</v>
      </c>
      <c r="D1062" s="368">
        <v>46043.0</v>
      </c>
      <c r="E1062" s="363" t="s">
        <v>3484</v>
      </c>
      <c r="F1062" s="363" t="s">
        <v>3486</v>
      </c>
      <c r="G1062" s="363" t="s">
        <v>3487</v>
      </c>
      <c r="H1062" s="363" t="s">
        <v>3489</v>
      </c>
      <c r="I1062" s="363" t="s">
        <v>69</v>
      </c>
      <c r="J1062" s="363" t="s">
        <v>3491</v>
      </c>
      <c r="K1062" s="363" t="s">
        <v>3492</v>
      </c>
      <c r="L1062" s="363"/>
      <c r="M1062" s="368">
        <v>46078.80561177083</v>
      </c>
      <c r="N1062" s="363"/>
      <c r="O1062" s="363" t="b">
        <v>0</v>
      </c>
      <c r="P1062" s="370"/>
    </row>
    <row r="1063">
      <c r="A1063" s="363" t="s">
        <v>22</v>
      </c>
      <c r="B1063" s="363" t="s">
        <v>19</v>
      </c>
      <c r="C1063" s="363" t="s">
        <v>1410</v>
      </c>
      <c r="D1063" s="368">
        <v>46049.0</v>
      </c>
      <c r="E1063" s="363" t="s">
        <v>3499</v>
      </c>
      <c r="F1063" s="363" t="s">
        <v>3500</v>
      </c>
      <c r="G1063" s="363" t="s">
        <v>3501</v>
      </c>
      <c r="H1063" s="363" t="s">
        <v>3502</v>
      </c>
      <c r="I1063" s="363" t="s">
        <v>340</v>
      </c>
      <c r="J1063" s="363" t="s">
        <v>3504</v>
      </c>
      <c r="K1063" s="363" t="s">
        <v>3505</v>
      </c>
      <c r="L1063" s="398"/>
      <c r="M1063" s="368"/>
      <c r="N1063" s="363"/>
      <c r="O1063" s="363" t="b">
        <v>0</v>
      </c>
      <c r="P1063" s="363"/>
    </row>
    <row r="1064">
      <c r="A1064" s="363" t="s">
        <v>62</v>
      </c>
      <c r="B1064" s="363" t="s">
        <v>23</v>
      </c>
      <c r="C1064" s="363" t="s">
        <v>1451</v>
      </c>
      <c r="D1064" s="366">
        <v>46066.0</v>
      </c>
      <c r="E1064" s="363" t="s">
        <v>3511</v>
      </c>
      <c r="F1064" s="363" t="s">
        <v>3512</v>
      </c>
      <c r="G1064" s="363" t="s">
        <v>3513</v>
      </c>
      <c r="H1064" s="363" t="s">
        <v>3515</v>
      </c>
      <c r="I1064" s="371" t="s">
        <v>2355</v>
      </c>
      <c r="J1064" s="363" t="s">
        <v>3522</v>
      </c>
      <c r="K1064" s="363" t="s">
        <v>3523</v>
      </c>
      <c r="L1064" s="365"/>
      <c r="M1064" s="368">
        <v>46076.831717905094</v>
      </c>
      <c r="N1064" s="363"/>
      <c r="O1064" s="363" t="b">
        <v>0</v>
      </c>
      <c r="P1064" s="370"/>
    </row>
    <row r="1065">
      <c r="A1065" s="363" t="s">
        <v>62</v>
      </c>
      <c r="B1065" s="363" t="s">
        <v>23</v>
      </c>
      <c r="C1065" s="363" t="s">
        <v>1527</v>
      </c>
      <c r="D1065" s="366">
        <v>46065.0</v>
      </c>
      <c r="E1065" s="363" t="s">
        <v>3534</v>
      </c>
      <c r="F1065" s="363" t="s">
        <v>3535</v>
      </c>
      <c r="G1065" s="363" t="s">
        <v>3536</v>
      </c>
      <c r="H1065" s="363"/>
      <c r="I1065" s="371" t="s">
        <v>1630</v>
      </c>
      <c r="J1065" s="363" t="s">
        <v>3542</v>
      </c>
      <c r="K1065" s="363" t="s">
        <v>3543</v>
      </c>
      <c r="L1065" s="365"/>
      <c r="M1065" s="368">
        <v>46069.94221329861</v>
      </c>
      <c r="N1065" s="363"/>
      <c r="O1065" s="363" t="b">
        <v>0</v>
      </c>
      <c r="P1065" s="370"/>
    </row>
    <row r="1066">
      <c r="A1066" s="363" t="s">
        <v>410</v>
      </c>
      <c r="B1066" s="363" t="s">
        <v>19</v>
      </c>
      <c r="C1066" s="363" t="s">
        <v>1451</v>
      </c>
      <c r="D1066" s="368">
        <v>45840.0</v>
      </c>
      <c r="E1066" s="363" t="s">
        <v>3547</v>
      </c>
      <c r="F1066" s="363" t="s">
        <v>3548</v>
      </c>
      <c r="G1066" s="363" t="s">
        <v>3549</v>
      </c>
      <c r="H1066" s="363" t="s">
        <v>3551</v>
      </c>
      <c r="I1066" s="363" t="s">
        <v>581</v>
      </c>
      <c r="J1066" s="363" t="s">
        <v>3552</v>
      </c>
      <c r="K1066" s="363" t="s">
        <v>3556</v>
      </c>
      <c r="L1066" s="365"/>
      <c r="M1066" s="368"/>
      <c r="N1066" s="363"/>
      <c r="O1066" s="363" t="b">
        <v>0</v>
      </c>
      <c r="P1066" s="370"/>
    </row>
    <row r="1067">
      <c r="A1067" s="363" t="s">
        <v>2992</v>
      </c>
      <c r="B1067" s="363" t="s">
        <v>53</v>
      </c>
      <c r="C1067" s="363" t="s">
        <v>1451</v>
      </c>
      <c r="D1067" s="368">
        <v>45971.0</v>
      </c>
      <c r="E1067" s="363" t="s">
        <v>3319</v>
      </c>
      <c r="F1067" s="363" t="s">
        <v>3320</v>
      </c>
      <c r="G1067" s="363" t="s">
        <v>426</v>
      </c>
      <c r="H1067" s="363" t="s">
        <v>3321</v>
      </c>
      <c r="I1067" s="363" t="s">
        <v>684</v>
      </c>
      <c r="J1067" s="363" t="s">
        <v>3322</v>
      </c>
      <c r="K1067" s="363" t="s">
        <v>3566</v>
      </c>
      <c r="L1067" s="365"/>
      <c r="M1067" s="368"/>
      <c r="N1067" s="363" t="s">
        <v>3023</v>
      </c>
      <c r="O1067" s="363" t="b">
        <v>0</v>
      </c>
      <c r="P1067" s="370"/>
    </row>
    <row r="1068">
      <c r="A1068" s="363" t="s">
        <v>22</v>
      </c>
      <c r="B1068" s="363" t="s">
        <v>19</v>
      </c>
      <c r="C1068" s="363" t="s">
        <v>1451</v>
      </c>
      <c r="D1068" s="368">
        <v>46071.0</v>
      </c>
      <c r="E1068" s="363" t="s">
        <v>3572</v>
      </c>
      <c r="F1068" s="363" t="s">
        <v>3573</v>
      </c>
      <c r="G1068" s="363" t="s">
        <v>3575</v>
      </c>
      <c r="H1068" s="363" t="s">
        <v>3576</v>
      </c>
      <c r="I1068" s="363" t="s">
        <v>3578</v>
      </c>
      <c r="J1068" s="363" t="s">
        <v>3581</v>
      </c>
      <c r="K1068" s="363" t="s">
        <v>3583</v>
      </c>
      <c r="L1068" s="365"/>
      <c r="M1068" s="369">
        <v>46084.82699954861</v>
      </c>
      <c r="N1068" s="363"/>
      <c r="O1068" s="363" t="b">
        <v>0</v>
      </c>
      <c r="P1068" s="370"/>
    </row>
    <row r="1069">
      <c r="A1069" s="363" t="s">
        <v>22</v>
      </c>
      <c r="B1069" s="363" t="s">
        <v>19</v>
      </c>
      <c r="C1069" s="363" t="s">
        <v>1451</v>
      </c>
      <c r="D1069" s="368">
        <v>46080.0</v>
      </c>
      <c r="E1069" s="363" t="s">
        <v>3593</v>
      </c>
      <c r="F1069" s="363" t="s">
        <v>3594</v>
      </c>
      <c r="G1069" s="363" t="s">
        <v>3595</v>
      </c>
      <c r="H1069" s="363" t="s">
        <v>3596</v>
      </c>
      <c r="I1069" s="363" t="s">
        <v>3597</v>
      </c>
      <c r="J1069" s="363" t="s">
        <v>3598</v>
      </c>
      <c r="K1069" s="363"/>
      <c r="L1069" s="365"/>
      <c r="M1069" s="369"/>
      <c r="N1069" s="363"/>
      <c r="O1069" s="363" t="b">
        <v>0</v>
      </c>
      <c r="P1069" s="370"/>
    </row>
    <row r="1070">
      <c r="A1070" s="363" t="s">
        <v>22</v>
      </c>
      <c r="B1070" s="363" t="s">
        <v>53</v>
      </c>
      <c r="C1070" s="363" t="s">
        <v>1410</v>
      </c>
      <c r="D1070" s="368">
        <v>45889.0</v>
      </c>
      <c r="E1070" s="363" t="s">
        <v>3602</v>
      </c>
      <c r="F1070" s="363" t="s">
        <v>3603</v>
      </c>
      <c r="G1070" s="363" t="s">
        <v>3605</v>
      </c>
      <c r="H1070" s="363" t="s">
        <v>3606</v>
      </c>
      <c r="I1070" s="363" t="s">
        <v>2998</v>
      </c>
      <c r="J1070" s="363" t="s">
        <v>3607</v>
      </c>
      <c r="K1070" s="363" t="s">
        <v>3608</v>
      </c>
      <c r="L1070" s="365"/>
      <c r="M1070" s="369">
        <v>46084.83998826389</v>
      </c>
      <c r="N1070" s="363"/>
      <c r="O1070" s="363" t="b">
        <v>0</v>
      </c>
      <c r="P1070" s="370"/>
    </row>
    <row r="1071">
      <c r="A1071" s="363" t="s">
        <v>62</v>
      </c>
      <c r="B1071" s="363" t="s">
        <v>23</v>
      </c>
      <c r="C1071" s="363" t="s">
        <v>3021</v>
      </c>
      <c r="D1071" s="366">
        <v>46076.0</v>
      </c>
      <c r="E1071" s="363" t="s">
        <v>3614</v>
      </c>
      <c r="F1071" s="363" t="s">
        <v>3616</v>
      </c>
      <c r="G1071" s="363" t="s">
        <v>3617</v>
      </c>
      <c r="H1071" s="363" t="s">
        <v>3618</v>
      </c>
      <c r="I1071" s="371" t="s">
        <v>497</v>
      </c>
      <c r="J1071" s="363" t="s">
        <v>3622</v>
      </c>
      <c r="K1071" s="363"/>
      <c r="L1071" s="365"/>
      <c r="M1071" s="368"/>
      <c r="N1071" s="363"/>
      <c r="O1071" s="363" t="b">
        <v>0</v>
      </c>
      <c r="P1071" s="370"/>
    </row>
    <row r="1072">
      <c r="A1072" s="363" t="s">
        <v>62</v>
      </c>
      <c r="B1072" s="363" t="s">
        <v>225</v>
      </c>
      <c r="C1072" s="363" t="s">
        <v>1451</v>
      </c>
      <c r="D1072" s="368">
        <v>46059.0</v>
      </c>
      <c r="E1072" s="363" t="s">
        <v>3639</v>
      </c>
      <c r="F1072" s="363" t="s">
        <v>3640</v>
      </c>
      <c r="G1072" s="363" t="s">
        <v>3641</v>
      </c>
      <c r="H1072" s="363" t="s">
        <v>3642</v>
      </c>
      <c r="I1072" s="363" t="s">
        <v>3643</v>
      </c>
      <c r="J1072" s="363" t="s">
        <v>3646</v>
      </c>
      <c r="K1072" s="363" t="s">
        <v>3648</v>
      </c>
      <c r="L1072" s="365"/>
      <c r="M1072" s="369">
        <v>46059.95002040509</v>
      </c>
      <c r="N1072" s="363"/>
      <c r="O1072" s="363" t="b">
        <v>0</v>
      </c>
      <c r="P1072" s="370"/>
    </row>
    <row r="1073">
      <c r="A1073" s="363" t="s">
        <v>135</v>
      </c>
      <c r="B1073" s="363" t="s">
        <v>225</v>
      </c>
      <c r="C1073" s="363" t="s">
        <v>1451</v>
      </c>
      <c r="D1073" s="368">
        <v>46055.0</v>
      </c>
      <c r="E1073" s="363" t="s">
        <v>3662</v>
      </c>
      <c r="F1073" s="363" t="s">
        <v>3664</v>
      </c>
      <c r="G1073" s="363" t="s">
        <v>3665</v>
      </c>
      <c r="H1073" s="363" t="s">
        <v>3668</v>
      </c>
      <c r="I1073" s="363" t="s">
        <v>980</v>
      </c>
      <c r="J1073" s="363" t="s">
        <v>3670</v>
      </c>
      <c r="K1073" s="363" t="s">
        <v>3671</v>
      </c>
      <c r="L1073" s="365"/>
      <c r="M1073" s="369">
        <v>46078.96325961806</v>
      </c>
      <c r="N1073" s="363"/>
      <c r="O1073" s="363" t="b">
        <v>0</v>
      </c>
      <c r="P1073" s="370"/>
    </row>
    <row r="1074">
      <c r="A1074" s="363" t="s">
        <v>17</v>
      </c>
      <c r="B1074" s="363" t="s">
        <v>225</v>
      </c>
      <c r="C1074" s="363" t="s">
        <v>1451</v>
      </c>
      <c r="D1074" s="368">
        <v>46037.0</v>
      </c>
      <c r="E1074" s="363" t="s">
        <v>3676</v>
      </c>
      <c r="F1074" s="363" t="s">
        <v>3678</v>
      </c>
      <c r="G1074" s="363" t="s">
        <v>3679</v>
      </c>
      <c r="H1074" s="363" t="s">
        <v>3680</v>
      </c>
      <c r="I1074" s="363" t="s">
        <v>3681</v>
      </c>
      <c r="J1074" s="363" t="s">
        <v>3682</v>
      </c>
      <c r="K1074" s="363" t="s">
        <v>3684</v>
      </c>
      <c r="L1074" s="365"/>
      <c r="M1074" s="369"/>
      <c r="N1074" s="363"/>
      <c r="O1074" s="363" t="b">
        <v>0</v>
      </c>
      <c r="P1074" s="370"/>
    </row>
    <row r="1075">
      <c r="A1075" s="363" t="s">
        <v>62</v>
      </c>
      <c r="B1075" s="363" t="s">
        <v>225</v>
      </c>
      <c r="C1075" s="363" t="s">
        <v>1451</v>
      </c>
      <c r="D1075" s="368">
        <v>46076.0</v>
      </c>
      <c r="E1075" s="363" t="s">
        <v>3689</v>
      </c>
      <c r="F1075" s="363" t="s">
        <v>3690</v>
      </c>
      <c r="G1075" s="363" t="s">
        <v>3691</v>
      </c>
      <c r="H1075" s="363" t="s">
        <v>3692</v>
      </c>
      <c r="I1075" s="363" t="s">
        <v>1760</v>
      </c>
      <c r="J1075" s="363" t="s">
        <v>3694</v>
      </c>
      <c r="K1075" s="363" t="s">
        <v>3695</v>
      </c>
      <c r="L1075" s="365"/>
      <c r="M1075" s="369">
        <v>46083.881574942134</v>
      </c>
      <c r="N1075" s="363"/>
      <c r="O1075" s="363" t="b">
        <v>0</v>
      </c>
      <c r="P1075" s="370"/>
    </row>
    <row r="1076">
      <c r="A1076" s="363" t="s">
        <v>62</v>
      </c>
      <c r="B1076" s="363" t="s">
        <v>225</v>
      </c>
      <c r="C1076" s="363" t="s">
        <v>1451</v>
      </c>
      <c r="D1076" s="368">
        <v>46058.0</v>
      </c>
      <c r="E1076" s="363" t="s">
        <v>3701</v>
      </c>
      <c r="F1076" s="363" t="s">
        <v>3702</v>
      </c>
      <c r="G1076" s="363" t="s">
        <v>3703</v>
      </c>
      <c r="H1076" s="363" t="s">
        <v>3705</v>
      </c>
      <c r="I1076" s="363" t="s">
        <v>3707</v>
      </c>
      <c r="J1076" s="363" t="s">
        <v>3709</v>
      </c>
      <c r="K1076" s="363" t="s">
        <v>3710</v>
      </c>
      <c r="L1076" s="365"/>
      <c r="M1076" s="369">
        <v>46064.899623749996</v>
      </c>
      <c r="N1076" s="363"/>
      <c r="O1076" s="363" t="b">
        <v>0</v>
      </c>
      <c r="P1076" s="370"/>
    </row>
    <row r="1077">
      <c r="A1077" s="363" t="s">
        <v>17</v>
      </c>
      <c r="B1077" s="363" t="s">
        <v>53</v>
      </c>
      <c r="C1077" s="363" t="s">
        <v>1451</v>
      </c>
      <c r="D1077" s="368">
        <v>45985.0</v>
      </c>
      <c r="E1077" s="363" t="s">
        <v>3713</v>
      </c>
      <c r="F1077" s="363" t="s">
        <v>3714</v>
      </c>
      <c r="G1077" s="363" t="s">
        <v>3715</v>
      </c>
      <c r="H1077" s="363" t="s">
        <v>3716</v>
      </c>
      <c r="I1077" s="363" t="s">
        <v>282</v>
      </c>
      <c r="J1077" s="363" t="s">
        <v>3718</v>
      </c>
      <c r="K1077" s="363" t="s">
        <v>3719</v>
      </c>
      <c r="L1077" s="365"/>
      <c r="M1077" s="369">
        <v>46084.96239836805</v>
      </c>
      <c r="N1077" s="363"/>
      <c r="O1077" s="363" t="b">
        <v>0</v>
      </c>
      <c r="P1077" s="370"/>
    </row>
    <row r="1078">
      <c r="A1078" s="363" t="s">
        <v>18</v>
      </c>
      <c r="B1078" s="363" t="s">
        <v>53</v>
      </c>
      <c r="C1078" s="363" t="s">
        <v>1451</v>
      </c>
      <c r="D1078" s="368">
        <v>45992.0</v>
      </c>
      <c r="E1078" s="363" t="s">
        <v>3454</v>
      </c>
      <c r="F1078" s="363" t="s">
        <v>3455</v>
      </c>
      <c r="G1078" s="363" t="s">
        <v>3456</v>
      </c>
      <c r="H1078" s="363" t="s">
        <v>3458</v>
      </c>
      <c r="I1078" s="363" t="s">
        <v>3359</v>
      </c>
      <c r="J1078" s="363" t="s">
        <v>3459</v>
      </c>
      <c r="K1078" s="363" t="s">
        <v>3730</v>
      </c>
      <c r="L1078" s="368"/>
      <c r="M1078" s="368">
        <v>46084.885717627316</v>
      </c>
      <c r="N1078" s="363"/>
      <c r="O1078" s="363" t="b">
        <v>0</v>
      </c>
      <c r="P1078" s="370"/>
    </row>
    <row r="1079">
      <c r="A1079" s="363" t="s">
        <v>410</v>
      </c>
      <c r="B1079" s="363" t="s">
        <v>19</v>
      </c>
      <c r="C1079" s="363" t="s">
        <v>1451</v>
      </c>
      <c r="D1079" s="368">
        <v>45972.0</v>
      </c>
      <c r="E1079" s="363" t="s">
        <v>3331</v>
      </c>
      <c r="F1079" s="363" t="s">
        <v>3332</v>
      </c>
      <c r="G1079" s="363" t="s">
        <v>3333</v>
      </c>
      <c r="H1079" s="363" t="s">
        <v>3335</v>
      </c>
      <c r="I1079" s="363" t="s">
        <v>973</v>
      </c>
      <c r="J1079" s="363" t="s">
        <v>3336</v>
      </c>
      <c r="K1079" s="363" t="s">
        <v>3741</v>
      </c>
      <c r="L1079" s="368"/>
      <c r="M1079" s="369">
        <v>46085.864904525464</v>
      </c>
      <c r="N1079" s="363"/>
      <c r="O1079" s="363" t="b">
        <v>0</v>
      </c>
      <c r="P1079" s="370"/>
    </row>
    <row r="1080">
      <c r="A1080" s="363" t="s">
        <v>18</v>
      </c>
      <c r="B1080" s="363" t="s">
        <v>53</v>
      </c>
      <c r="C1080" s="363" t="s">
        <v>1451</v>
      </c>
      <c r="D1080" s="368">
        <v>45971.0</v>
      </c>
      <c r="E1080" s="363" t="s">
        <v>3310</v>
      </c>
      <c r="F1080" s="363" t="s">
        <v>3312</v>
      </c>
      <c r="G1080" s="363" t="s">
        <v>3313</v>
      </c>
      <c r="H1080" s="363" t="s">
        <v>3314</v>
      </c>
      <c r="I1080" s="363" t="s">
        <v>1478</v>
      </c>
      <c r="J1080" s="363" t="s">
        <v>3315</v>
      </c>
      <c r="K1080" s="363" t="s">
        <v>3755</v>
      </c>
      <c r="L1080" s="368"/>
      <c r="M1080" s="369"/>
      <c r="N1080" s="363"/>
      <c r="O1080" s="363" t="b">
        <v>0</v>
      </c>
      <c r="P1080" s="370"/>
    </row>
    <row r="1081">
      <c r="A1081" s="363" t="s">
        <v>17</v>
      </c>
      <c r="B1081" s="363" t="s">
        <v>53</v>
      </c>
      <c r="C1081" s="363" t="s">
        <v>1451</v>
      </c>
      <c r="D1081" s="368">
        <v>46050.0</v>
      </c>
      <c r="E1081" s="363" t="s">
        <v>3746</v>
      </c>
      <c r="F1081" s="363" t="s">
        <v>3747</v>
      </c>
      <c r="G1081" s="363" t="s">
        <v>3748</v>
      </c>
      <c r="H1081" s="363" t="s">
        <v>3749</v>
      </c>
      <c r="I1081" s="363" t="s">
        <v>1119</v>
      </c>
      <c r="J1081" s="363" t="s">
        <v>3750</v>
      </c>
      <c r="K1081" s="363" t="s">
        <v>3768</v>
      </c>
      <c r="L1081" s="368"/>
      <c r="M1081" s="369"/>
      <c r="N1081" s="363"/>
      <c r="O1081" s="363" t="b">
        <v>0</v>
      </c>
      <c r="P1081" s="370"/>
    </row>
    <row r="1082">
      <c r="A1082" s="363" t="s">
        <v>22</v>
      </c>
      <c r="B1082" s="363" t="s">
        <v>53</v>
      </c>
      <c r="C1082" s="363" t="s">
        <v>1451</v>
      </c>
      <c r="D1082" s="368">
        <v>45887.0</v>
      </c>
      <c r="E1082" s="363" t="s">
        <v>3778</v>
      </c>
      <c r="F1082" s="363" t="s">
        <v>3779</v>
      </c>
      <c r="G1082" s="363" t="s">
        <v>3781</v>
      </c>
      <c r="H1082" s="363" t="s">
        <v>3782</v>
      </c>
      <c r="I1082" s="363" t="s">
        <v>3783</v>
      </c>
      <c r="J1082" s="363" t="s">
        <v>3785</v>
      </c>
      <c r="K1082" s="363" t="s">
        <v>3786</v>
      </c>
      <c r="L1082" s="368"/>
      <c r="M1082" s="369"/>
      <c r="N1082" s="363"/>
      <c r="O1082" s="363" t="b">
        <v>0</v>
      </c>
      <c r="P1082" s="370"/>
    </row>
    <row r="1083">
      <c r="A1083" s="363" t="s">
        <v>22</v>
      </c>
      <c r="B1083" s="363" t="s">
        <v>23</v>
      </c>
      <c r="C1083" s="363" t="s">
        <v>1451</v>
      </c>
      <c r="D1083" s="368">
        <v>45904.0</v>
      </c>
      <c r="E1083" s="363" t="s">
        <v>3791</v>
      </c>
      <c r="F1083" s="363" t="s">
        <v>3792</v>
      </c>
      <c r="G1083" s="363" t="s">
        <v>3794</v>
      </c>
      <c r="H1083" s="363" t="s">
        <v>3796</v>
      </c>
      <c r="I1083" s="363" t="s">
        <v>3209</v>
      </c>
      <c r="J1083" s="363" t="s">
        <v>3800</v>
      </c>
      <c r="K1083" s="363" t="s">
        <v>3802</v>
      </c>
      <c r="L1083" s="368"/>
      <c r="M1083" s="369">
        <v>46058.78767539352</v>
      </c>
      <c r="N1083" s="363"/>
      <c r="O1083" s="363" t="b">
        <v>0</v>
      </c>
      <c r="P1083" s="370"/>
    </row>
    <row r="1084">
      <c r="A1084" s="363" t="s">
        <v>17</v>
      </c>
      <c r="B1084" s="363" t="s">
        <v>53</v>
      </c>
      <c r="C1084" s="363" t="s">
        <v>1451</v>
      </c>
      <c r="D1084" s="368">
        <v>46036.0</v>
      </c>
      <c r="E1084" s="363" t="s">
        <v>3623</v>
      </c>
      <c r="F1084" s="363" t="s">
        <v>3625</v>
      </c>
      <c r="G1084" s="363" t="s">
        <v>3808</v>
      </c>
      <c r="H1084" s="363" t="s">
        <v>3627</v>
      </c>
      <c r="I1084" s="363" t="s">
        <v>401</v>
      </c>
      <c r="J1084" s="363" t="s">
        <v>3629</v>
      </c>
      <c r="K1084" s="363" t="s">
        <v>3810</v>
      </c>
      <c r="L1084" s="368"/>
      <c r="M1084" s="369">
        <v>46078.95922236111</v>
      </c>
      <c r="N1084" s="363"/>
      <c r="O1084" s="363" t="b">
        <v>0</v>
      </c>
      <c r="P1084" s="370"/>
    </row>
    <row r="1085">
      <c r="A1085" s="363" t="s">
        <v>17</v>
      </c>
      <c r="B1085" s="363" t="s">
        <v>53</v>
      </c>
      <c r="C1085" s="363" t="s">
        <v>1451</v>
      </c>
      <c r="D1085" s="368">
        <v>46058.0</v>
      </c>
      <c r="E1085" s="363" t="s">
        <v>3816</v>
      </c>
      <c r="F1085" s="363" t="s">
        <v>3817</v>
      </c>
      <c r="G1085" s="363" t="s">
        <v>3819</v>
      </c>
      <c r="H1085" s="363" t="s">
        <v>3820</v>
      </c>
      <c r="I1085" s="363" t="s">
        <v>581</v>
      </c>
      <c r="J1085" s="363" t="s">
        <v>3822</v>
      </c>
      <c r="K1085" s="363" t="s">
        <v>3824</v>
      </c>
      <c r="L1085" s="368"/>
      <c r="M1085" s="369">
        <v>46086.87137724537</v>
      </c>
      <c r="N1085" s="363"/>
      <c r="O1085" s="363" t="b">
        <v>0</v>
      </c>
      <c r="P1085" s="370"/>
    </row>
    <row r="1086">
      <c r="A1086" s="363" t="s">
        <v>22</v>
      </c>
      <c r="B1086" s="363" t="s">
        <v>23</v>
      </c>
      <c r="C1086" s="363" t="s">
        <v>1451</v>
      </c>
      <c r="D1086" s="368">
        <v>45896.0</v>
      </c>
      <c r="E1086" s="363" t="s">
        <v>3828</v>
      </c>
      <c r="F1086" s="363" t="s">
        <v>3830</v>
      </c>
      <c r="G1086" s="363" t="s">
        <v>3833</v>
      </c>
      <c r="H1086" s="363" t="s">
        <v>3834</v>
      </c>
      <c r="I1086" s="363" t="s">
        <v>3835</v>
      </c>
      <c r="J1086" s="363" t="s">
        <v>3836</v>
      </c>
      <c r="K1086" s="363" t="s">
        <v>3837</v>
      </c>
      <c r="L1086" s="368"/>
      <c r="M1086" s="369"/>
      <c r="N1086" s="363" t="s">
        <v>3839</v>
      </c>
      <c r="O1086" s="363" t="b">
        <v>0</v>
      </c>
      <c r="P1086" s="370"/>
    </row>
    <row r="1087">
      <c r="A1087" s="363" t="s">
        <v>410</v>
      </c>
      <c r="B1087" s="363" t="s">
        <v>23</v>
      </c>
      <c r="C1087" s="363" t="s">
        <v>1451</v>
      </c>
      <c r="D1087" s="368">
        <v>45887.0</v>
      </c>
      <c r="E1087" s="363" t="s">
        <v>3843</v>
      </c>
      <c r="F1087" s="363" t="s">
        <v>3844</v>
      </c>
      <c r="G1087" s="363" t="s">
        <v>3845</v>
      </c>
      <c r="H1087" s="363" t="s">
        <v>3846</v>
      </c>
      <c r="I1087" s="363" t="s">
        <v>3847</v>
      </c>
      <c r="J1087" s="363" t="s">
        <v>3849</v>
      </c>
      <c r="K1087" s="363" t="s">
        <v>3850</v>
      </c>
      <c r="L1087" s="363" t="s">
        <v>3851</v>
      </c>
      <c r="M1087" s="369">
        <v>46086.915437118056</v>
      </c>
      <c r="N1087" s="363"/>
      <c r="O1087" s="363" t="b">
        <v>0</v>
      </c>
      <c r="P1087" s="370"/>
    </row>
    <row r="1088">
      <c r="A1088" s="363" t="s">
        <v>17</v>
      </c>
      <c r="B1088" s="363" t="s">
        <v>225</v>
      </c>
      <c r="C1088" s="363" t="s">
        <v>1451</v>
      </c>
      <c r="D1088" s="368">
        <v>46083.0</v>
      </c>
      <c r="E1088" s="363" t="s">
        <v>3856</v>
      </c>
      <c r="F1088" s="363" t="s">
        <v>3857</v>
      </c>
      <c r="G1088" s="363" t="s">
        <v>3859</v>
      </c>
      <c r="H1088" s="363" t="s">
        <v>3860</v>
      </c>
      <c r="I1088" s="363" t="s">
        <v>686</v>
      </c>
      <c r="J1088" s="363" t="s">
        <v>3861</v>
      </c>
      <c r="K1088" s="363" t="s">
        <v>3862</v>
      </c>
      <c r="L1088" s="368"/>
      <c r="M1088" s="369">
        <v>46091.805811238424</v>
      </c>
      <c r="N1088" s="363"/>
      <c r="O1088" s="363" t="b">
        <v>0</v>
      </c>
      <c r="P1088" s="370"/>
    </row>
    <row r="1089">
      <c r="A1089" s="363" t="s">
        <v>17</v>
      </c>
      <c r="B1089" s="363" t="s">
        <v>19</v>
      </c>
      <c r="C1089" s="363" t="s">
        <v>1451</v>
      </c>
      <c r="D1089" s="368">
        <v>46100.0</v>
      </c>
      <c r="E1089" s="363" t="s">
        <v>3873</v>
      </c>
      <c r="F1089" s="363" t="s">
        <v>3874</v>
      </c>
      <c r="G1089" s="363" t="s">
        <v>3875</v>
      </c>
      <c r="H1089" s="363" t="s">
        <v>3877</v>
      </c>
      <c r="I1089" s="363" t="s">
        <v>3878</v>
      </c>
      <c r="J1089" s="363" t="s">
        <v>3879</v>
      </c>
      <c r="K1089" s="363"/>
      <c r="L1089" s="368"/>
      <c r="M1089" s="369"/>
      <c r="N1089" s="363"/>
      <c r="O1089" s="363" t="b">
        <v>0</v>
      </c>
      <c r="P1089" s="370"/>
    </row>
    <row r="1090">
      <c r="A1090" s="363" t="s">
        <v>22</v>
      </c>
      <c r="B1090" s="363" t="s">
        <v>23</v>
      </c>
      <c r="C1090" s="363" t="s">
        <v>1451</v>
      </c>
      <c r="D1090" s="368">
        <v>46098.0</v>
      </c>
      <c r="E1090" s="363" t="s">
        <v>3887</v>
      </c>
      <c r="F1090" s="363" t="s">
        <v>3888</v>
      </c>
      <c r="G1090" s="363" t="s">
        <v>3889</v>
      </c>
      <c r="H1090" s="363" t="s">
        <v>3891</v>
      </c>
      <c r="I1090" s="363" t="s">
        <v>3892</v>
      </c>
      <c r="J1090" s="363" t="s">
        <v>3893</v>
      </c>
      <c r="K1090" s="363" t="s">
        <v>3895</v>
      </c>
      <c r="L1090" s="368"/>
      <c r="M1090" s="369">
        <v>46105.93520317129</v>
      </c>
      <c r="N1090" s="363"/>
      <c r="O1090" s="363" t="b">
        <v>0</v>
      </c>
      <c r="P1090" s="370"/>
    </row>
    <row r="1091">
      <c r="A1091" s="363" t="s">
        <v>2992</v>
      </c>
      <c r="B1091" s="363" t="s">
        <v>19</v>
      </c>
      <c r="C1091" s="363" t="s">
        <v>1410</v>
      </c>
      <c r="D1091" s="368">
        <v>45978.0</v>
      </c>
      <c r="E1091" s="363" t="s">
        <v>3352</v>
      </c>
      <c r="F1091" s="363" t="s">
        <v>3353</v>
      </c>
      <c r="G1091" s="363" t="s">
        <v>3355</v>
      </c>
      <c r="H1091" s="363" t="s">
        <v>3356</v>
      </c>
      <c r="I1091" s="363" t="s">
        <v>3359</v>
      </c>
      <c r="J1091" s="363" t="s">
        <v>3360</v>
      </c>
      <c r="K1091" s="363" t="s">
        <v>3902</v>
      </c>
      <c r="L1091" s="368"/>
      <c r="M1091" s="369">
        <v>46090.98028754629</v>
      </c>
      <c r="N1091" s="363"/>
      <c r="O1091" s="363" t="b">
        <v>0</v>
      </c>
      <c r="P1091" s="370"/>
    </row>
    <row r="1092">
      <c r="A1092" s="363" t="s">
        <v>17</v>
      </c>
      <c r="B1092" s="363" t="s">
        <v>225</v>
      </c>
      <c r="C1092" s="363" t="s">
        <v>1451</v>
      </c>
      <c r="D1092" s="368">
        <v>46108.0</v>
      </c>
      <c r="E1092" s="363" t="s">
        <v>3910</v>
      </c>
      <c r="F1092" s="363" t="s">
        <v>3912</v>
      </c>
      <c r="G1092" s="363" t="s">
        <v>3913</v>
      </c>
      <c r="H1092" s="363" t="s">
        <v>3914</v>
      </c>
      <c r="I1092" s="363" t="s">
        <v>1508</v>
      </c>
      <c r="J1092" s="363" t="s">
        <v>3917</v>
      </c>
      <c r="K1092" s="363"/>
      <c r="L1092" s="368"/>
      <c r="M1092" s="369"/>
      <c r="N1092" s="363"/>
      <c r="O1092" s="363" t="b">
        <v>0</v>
      </c>
      <c r="P1092" s="370"/>
    </row>
    <row r="1093">
      <c r="A1093" s="363" t="s">
        <v>22</v>
      </c>
      <c r="B1093" s="363" t="s">
        <v>53</v>
      </c>
      <c r="C1093" s="363" t="s">
        <v>1451</v>
      </c>
      <c r="D1093" s="368">
        <v>46091.0</v>
      </c>
      <c r="E1093" s="363" t="s">
        <v>3927</v>
      </c>
      <c r="F1093" s="363" t="s">
        <v>3929</v>
      </c>
      <c r="G1093" s="363" t="s">
        <v>3930</v>
      </c>
      <c r="H1093" s="363" t="s">
        <v>3931</v>
      </c>
      <c r="I1093" s="363" t="s">
        <v>3932</v>
      </c>
      <c r="J1093" s="363" t="s">
        <v>3934</v>
      </c>
      <c r="K1093" s="363" t="s">
        <v>3935</v>
      </c>
      <c r="L1093" s="368"/>
      <c r="M1093" s="369">
        <v>46112.89476188658</v>
      </c>
      <c r="N1093" s="363"/>
      <c r="O1093" s="363" t="b">
        <v>0</v>
      </c>
      <c r="P1093" s="370"/>
    </row>
    <row r="1094">
      <c r="A1094" s="363" t="s">
        <v>22</v>
      </c>
      <c r="B1094" s="363" t="s">
        <v>23</v>
      </c>
      <c r="C1094" s="363" t="s">
        <v>1451</v>
      </c>
      <c r="D1094" s="366">
        <v>46097.0</v>
      </c>
      <c r="E1094" s="363" t="s">
        <v>3943</v>
      </c>
      <c r="F1094" s="363" t="s">
        <v>3945</v>
      </c>
      <c r="G1094" s="363" t="s">
        <v>3946</v>
      </c>
      <c r="H1094" s="363" t="s">
        <v>3947</v>
      </c>
      <c r="I1094" s="371" t="s">
        <v>497</v>
      </c>
      <c r="J1094" s="363" t="s">
        <v>3952</v>
      </c>
      <c r="K1094" s="363"/>
      <c r="L1094" s="365"/>
      <c r="M1094" s="368"/>
      <c r="N1094" s="363"/>
      <c r="O1094" s="363" t="b">
        <v>0</v>
      </c>
      <c r="P1094" s="370"/>
    </row>
    <row r="1095">
      <c r="A1095" s="363" t="s">
        <v>17</v>
      </c>
      <c r="B1095" s="363" t="s">
        <v>23</v>
      </c>
      <c r="C1095" s="363" t="s">
        <v>1451</v>
      </c>
      <c r="D1095" s="368">
        <v>46056.0</v>
      </c>
      <c r="E1095" s="363" t="s">
        <v>3793</v>
      </c>
      <c r="F1095" s="363" t="s">
        <v>3795</v>
      </c>
      <c r="G1095" s="363" t="s">
        <v>3798</v>
      </c>
      <c r="H1095" s="363" t="s">
        <v>3799</v>
      </c>
      <c r="I1095" s="363" t="s">
        <v>1174</v>
      </c>
      <c r="J1095" s="363" t="s">
        <v>3801</v>
      </c>
      <c r="K1095" s="363" t="s">
        <v>3958</v>
      </c>
      <c r="L1095" s="368"/>
      <c r="M1095" s="369">
        <v>46114.67792744213</v>
      </c>
      <c r="N1095" s="363"/>
      <c r="O1095" s="363"/>
      <c r="P1095" s="363"/>
    </row>
    <row r="1096">
      <c r="A1096" s="363" t="s">
        <v>17</v>
      </c>
      <c r="B1096" s="363" t="s">
        <v>53</v>
      </c>
      <c r="C1096" s="363" t="s">
        <v>1451</v>
      </c>
      <c r="D1096" s="368">
        <v>46113.0</v>
      </c>
      <c r="E1096" s="363" t="s">
        <v>3967</v>
      </c>
      <c r="F1096" s="363" t="s">
        <v>3969</v>
      </c>
      <c r="G1096" s="363" t="s">
        <v>3971</v>
      </c>
      <c r="H1096" s="363" t="s">
        <v>3974</v>
      </c>
      <c r="I1096" s="363" t="s">
        <v>3975</v>
      </c>
      <c r="J1096" s="363" t="s">
        <v>3976</v>
      </c>
      <c r="K1096" s="363" t="s">
        <v>3977</v>
      </c>
      <c r="L1096" s="368"/>
      <c r="M1096" s="369">
        <v>46121.75262837963</v>
      </c>
      <c r="N1096" s="363"/>
      <c r="O1096" s="363" t="b">
        <v>0</v>
      </c>
      <c r="P1096" s="363"/>
    </row>
    <row r="1097">
      <c r="A1097" s="363" t="s">
        <v>62</v>
      </c>
      <c r="B1097" s="363" t="s">
        <v>225</v>
      </c>
      <c r="C1097" s="363" t="s">
        <v>1451</v>
      </c>
      <c r="D1097" s="368">
        <v>46086.0</v>
      </c>
      <c r="E1097" s="363" t="s">
        <v>3981</v>
      </c>
      <c r="F1097" s="363" t="s">
        <v>3982</v>
      </c>
      <c r="G1097" s="363" t="s">
        <v>3983</v>
      </c>
      <c r="H1097" s="363" t="s">
        <v>3984</v>
      </c>
      <c r="I1097" s="363" t="s">
        <v>3985</v>
      </c>
      <c r="J1097" s="363" t="s">
        <v>3986</v>
      </c>
      <c r="K1097" s="363" t="s">
        <v>3987</v>
      </c>
      <c r="L1097" s="368"/>
      <c r="M1097" s="369">
        <v>46090.81503637732</v>
      </c>
      <c r="N1097" s="363"/>
      <c r="O1097" s="363" t="b">
        <v>0</v>
      </c>
      <c r="P1097" s="363"/>
    </row>
    <row r="1098">
      <c r="A1098" s="363" t="s">
        <v>62</v>
      </c>
      <c r="B1098" s="363" t="s">
        <v>225</v>
      </c>
      <c r="C1098" s="363" t="s">
        <v>1451</v>
      </c>
      <c r="D1098" s="368">
        <v>46099.0</v>
      </c>
      <c r="E1098" s="363" t="s">
        <v>3988</v>
      </c>
      <c r="F1098" s="363" t="s">
        <v>3989</v>
      </c>
      <c r="G1098" s="363" t="s">
        <v>3990</v>
      </c>
      <c r="H1098" s="363" t="s">
        <v>3991</v>
      </c>
      <c r="I1098" s="363" t="s">
        <v>2579</v>
      </c>
      <c r="J1098" s="363" t="s">
        <v>3992</v>
      </c>
      <c r="K1098" s="363"/>
      <c r="L1098" s="368"/>
      <c r="M1098" s="369"/>
      <c r="N1098" s="363"/>
      <c r="O1098" s="363"/>
      <c r="P1098" s="363"/>
    </row>
    <row r="1099">
      <c r="A1099" s="363" t="s">
        <v>62</v>
      </c>
      <c r="B1099" s="363" t="s">
        <v>225</v>
      </c>
      <c r="C1099" s="363" t="s">
        <v>1451</v>
      </c>
      <c r="D1099" s="368">
        <v>46115.0</v>
      </c>
      <c r="E1099" s="363" t="s">
        <v>3996</v>
      </c>
      <c r="F1099" s="363" t="s">
        <v>3997</v>
      </c>
      <c r="G1099" s="363" t="s">
        <v>3998</v>
      </c>
      <c r="H1099" s="363" t="s">
        <v>4000</v>
      </c>
      <c r="I1099" s="363" t="s">
        <v>2526</v>
      </c>
      <c r="J1099" s="363" t="s">
        <v>4001</v>
      </c>
      <c r="K1099" s="363"/>
      <c r="L1099" s="368"/>
      <c r="M1099" s="369"/>
      <c r="N1099" s="363"/>
      <c r="O1099" s="363" t="b">
        <v>0</v>
      </c>
      <c r="P1099" s="363"/>
    </row>
    <row r="1100">
      <c r="A1100" s="363" t="s">
        <v>22</v>
      </c>
      <c r="B1100" s="363" t="s">
        <v>225</v>
      </c>
      <c r="C1100" s="363" t="s">
        <v>1451</v>
      </c>
      <c r="D1100" s="368">
        <v>46065.0</v>
      </c>
      <c r="E1100" s="363" t="s">
        <v>2151</v>
      </c>
      <c r="F1100" s="363" t="s">
        <v>2154</v>
      </c>
      <c r="G1100" s="363" t="s">
        <v>4005</v>
      </c>
      <c r="H1100" s="363" t="s">
        <v>2158</v>
      </c>
      <c r="I1100" s="363" t="s">
        <v>1584</v>
      </c>
      <c r="J1100" s="363"/>
      <c r="K1100" s="363" t="s">
        <v>4008</v>
      </c>
      <c r="L1100" s="368"/>
      <c r="M1100" s="369">
        <v>46071.82304949074</v>
      </c>
      <c r="N1100" s="363"/>
      <c r="O1100" s="363" t="b">
        <v>0</v>
      </c>
      <c r="P1100" s="363"/>
    </row>
    <row r="1101">
      <c r="A1101" s="363" t="s">
        <v>62</v>
      </c>
      <c r="B1101" s="363" t="s">
        <v>53</v>
      </c>
      <c r="C1101" s="363" t="s">
        <v>3021</v>
      </c>
      <c r="D1101" s="368">
        <v>46125.0</v>
      </c>
      <c r="E1101" s="363" t="s">
        <v>4011</v>
      </c>
      <c r="F1101" s="363" t="s">
        <v>4013</v>
      </c>
      <c r="G1101" s="363" t="s">
        <v>4014</v>
      </c>
      <c r="H1101" s="363" t="s">
        <v>4015</v>
      </c>
      <c r="I1101" s="363" t="s">
        <v>401</v>
      </c>
      <c r="J1101" s="363" t="s">
        <v>4016</v>
      </c>
      <c r="K1101" s="363"/>
      <c r="L1101" s="368"/>
      <c r="M1101" s="369"/>
      <c r="N1101" s="363"/>
      <c r="O1101" s="363" t="b">
        <v>0</v>
      </c>
      <c r="P1101" s="363"/>
    </row>
    <row r="1102">
      <c r="A1102" s="363" t="s">
        <v>62</v>
      </c>
      <c r="B1102" s="363" t="s">
        <v>19</v>
      </c>
      <c r="C1102" s="363" t="s">
        <v>1410</v>
      </c>
      <c r="D1102" s="368">
        <v>46118.0</v>
      </c>
      <c r="E1102" s="363" t="s">
        <v>4021</v>
      </c>
      <c r="F1102" s="363" t="s">
        <v>4023</v>
      </c>
      <c r="G1102" s="363" t="s">
        <v>4025</v>
      </c>
      <c r="H1102" s="363" t="s">
        <v>4027</v>
      </c>
      <c r="I1102" s="363" t="s">
        <v>2160</v>
      </c>
      <c r="J1102" s="363" t="s">
        <v>4028</v>
      </c>
      <c r="K1102" s="363" t="s">
        <v>4029</v>
      </c>
      <c r="L1102" s="368"/>
      <c r="M1102" s="369">
        <v>46129.917691469906</v>
      </c>
      <c r="N1102" s="363"/>
      <c r="O1102" s="363" t="b">
        <v>0</v>
      </c>
      <c r="P1102" s="363"/>
    </row>
    <row r="1103">
      <c r="A1103" s="363" t="s">
        <v>62</v>
      </c>
      <c r="B1103" s="363" t="s">
        <v>53</v>
      </c>
      <c r="C1103" s="363" t="s">
        <v>3021</v>
      </c>
      <c r="D1103" s="368">
        <v>46128.0</v>
      </c>
      <c r="E1103" s="363" t="s">
        <v>4032</v>
      </c>
      <c r="F1103" s="363" t="s">
        <v>4033</v>
      </c>
      <c r="G1103" s="363" t="s">
        <v>4034</v>
      </c>
      <c r="H1103" s="363" t="s">
        <v>4036</v>
      </c>
      <c r="I1103" s="363" t="s">
        <v>2302</v>
      </c>
      <c r="J1103" s="363" t="s">
        <v>4037</v>
      </c>
      <c r="K1103" s="363" t="s">
        <v>4039</v>
      </c>
      <c r="L1103" s="368"/>
      <c r="M1103" s="369">
        <v>46135.761925983796</v>
      </c>
      <c r="N1103" s="363"/>
      <c r="O1103" s="363" t="b">
        <v>0</v>
      </c>
      <c r="P1103" s="363"/>
    </row>
    <row r="1104">
      <c r="A1104" s="363" t="s">
        <v>22</v>
      </c>
      <c r="B1104" s="363" t="s">
        <v>53</v>
      </c>
      <c r="C1104" s="363" t="s">
        <v>1451</v>
      </c>
      <c r="D1104" s="368">
        <v>46140.0</v>
      </c>
      <c r="E1104" s="363" t="s">
        <v>4041</v>
      </c>
      <c r="F1104" s="363" t="s">
        <v>4042</v>
      </c>
      <c r="G1104" s="363" t="s">
        <v>4044</v>
      </c>
      <c r="H1104" s="363" t="s">
        <v>4045</v>
      </c>
      <c r="I1104" s="363" t="s">
        <v>359</v>
      </c>
      <c r="J1104" s="363" t="s">
        <v>4047</v>
      </c>
      <c r="K1104" s="363"/>
      <c r="L1104" s="368"/>
      <c r="M1104" s="369">
        <v>46141.702655960646</v>
      </c>
      <c r="N1104" s="363"/>
      <c r="O1104" s="363" t="b">
        <v>0</v>
      </c>
      <c r="P1104" s="363"/>
    </row>
    <row r="1105">
      <c r="A1105" s="363" t="s">
        <v>22</v>
      </c>
      <c r="B1105" s="363" t="s">
        <v>23</v>
      </c>
      <c r="C1105" s="363" t="s">
        <v>1410</v>
      </c>
      <c r="D1105" s="368">
        <v>46090.0</v>
      </c>
      <c r="E1105" s="363" t="s">
        <v>4052</v>
      </c>
      <c r="F1105" s="363" t="s">
        <v>4053</v>
      </c>
      <c r="G1105" s="363" t="s">
        <v>4054</v>
      </c>
      <c r="H1105" s="363"/>
      <c r="I1105" s="363" t="s">
        <v>30</v>
      </c>
      <c r="J1105" s="363" t="s">
        <v>4055</v>
      </c>
      <c r="K1105" s="363" t="s">
        <v>4056</v>
      </c>
      <c r="L1105" s="363"/>
      <c r="M1105" s="369">
        <v>46092.70153951389</v>
      </c>
      <c r="N1105" s="363"/>
      <c r="O1105" s="363" t="b">
        <v>0</v>
      </c>
      <c r="P1105" s="370"/>
    </row>
    <row r="1106">
      <c r="A1106" s="363" t="s">
        <v>17</v>
      </c>
      <c r="B1106" s="363" t="s">
        <v>53</v>
      </c>
      <c r="C1106" s="363" t="s">
        <v>1410</v>
      </c>
      <c r="D1106" s="368">
        <v>46035.0</v>
      </c>
      <c r="E1106" s="363" t="s">
        <v>3920</v>
      </c>
      <c r="F1106" s="363" t="s">
        <v>3921</v>
      </c>
      <c r="G1106" s="363" t="s">
        <v>3923</v>
      </c>
      <c r="H1106" s="363" t="s">
        <v>3924</v>
      </c>
      <c r="I1106" s="363" t="s">
        <v>1059</v>
      </c>
      <c r="J1106" s="363" t="s">
        <v>3925</v>
      </c>
      <c r="K1106" s="363" t="s">
        <v>3926</v>
      </c>
      <c r="L1106" s="363"/>
      <c r="M1106" s="369">
        <v>46143.705536134265</v>
      </c>
      <c r="N1106" s="363" t="b">
        <v>0</v>
      </c>
      <c r="O1106" s="363"/>
      <c r="P1106" s="370"/>
    </row>
    <row r="1107">
      <c r="A1107" s="363" t="s">
        <v>18</v>
      </c>
      <c r="B1107" s="363" t="s">
        <v>53</v>
      </c>
      <c r="C1107" s="363" t="s">
        <v>1451</v>
      </c>
      <c r="D1107" s="368">
        <v>45975.0</v>
      </c>
      <c r="E1107" s="363" t="s">
        <v>4070</v>
      </c>
      <c r="F1107" s="363" t="s">
        <v>4071</v>
      </c>
      <c r="G1107" s="363" t="s">
        <v>4073</v>
      </c>
      <c r="H1107" s="363" t="s">
        <v>4075</v>
      </c>
      <c r="I1107" s="363" t="s">
        <v>4076</v>
      </c>
      <c r="J1107" s="363" t="s">
        <v>4077</v>
      </c>
      <c r="K1107" s="363" t="s">
        <v>4078</v>
      </c>
      <c r="L1107" s="363"/>
      <c r="M1107" s="369">
        <v>46111.91804819445</v>
      </c>
      <c r="N1107" s="363"/>
      <c r="O1107" s="363" t="b">
        <v>0</v>
      </c>
      <c r="P1107" s="370"/>
    </row>
    <row r="1108">
      <c r="A1108" s="363" t="s">
        <v>22</v>
      </c>
      <c r="B1108" s="363" t="s">
        <v>19</v>
      </c>
      <c r="C1108" s="363" t="s">
        <v>1451</v>
      </c>
      <c r="D1108" s="368">
        <v>46085.0</v>
      </c>
      <c r="E1108" s="363" t="s">
        <v>4082</v>
      </c>
      <c r="F1108" s="363" t="s">
        <v>4083</v>
      </c>
      <c r="G1108" s="363" t="s">
        <v>4084</v>
      </c>
      <c r="H1108" s="363" t="s">
        <v>4085</v>
      </c>
      <c r="I1108" s="363" t="s">
        <v>1170</v>
      </c>
      <c r="J1108" s="363" t="s">
        <v>4086</v>
      </c>
      <c r="K1108" s="363" t="s">
        <v>4087</v>
      </c>
      <c r="L1108" s="363"/>
      <c r="M1108" s="369">
        <v>46091.86852266204</v>
      </c>
      <c r="N1108" s="363"/>
      <c r="O1108" s="363" t="b">
        <v>0</v>
      </c>
      <c r="P1108" s="370"/>
    </row>
    <row r="1109">
      <c r="A1109" s="363" t="s">
        <v>22</v>
      </c>
      <c r="B1109" s="363" t="s">
        <v>23</v>
      </c>
      <c r="C1109" s="363" t="s">
        <v>1527</v>
      </c>
      <c r="D1109" s="366">
        <v>46150.0</v>
      </c>
      <c r="E1109" s="363" t="s">
        <v>4095</v>
      </c>
      <c r="F1109" s="363" t="s">
        <v>4097</v>
      </c>
      <c r="G1109" s="363" t="s">
        <v>4099</v>
      </c>
      <c r="H1109" s="363" t="s">
        <v>4101</v>
      </c>
      <c r="I1109" s="371" t="s">
        <v>5546</v>
      </c>
      <c r="J1109" s="363" t="s">
        <v>4110</v>
      </c>
      <c r="K1109" s="363" t="s">
        <v>4111</v>
      </c>
      <c r="L1109" s="365"/>
      <c r="M1109" s="368">
        <v>46153.83877347222</v>
      </c>
      <c r="N1109" s="363"/>
      <c r="O1109" s="363"/>
      <c r="P1109" s="370"/>
    </row>
    <row r="1110">
      <c r="A1110" s="363" t="s">
        <v>410</v>
      </c>
      <c r="B1110" s="363" t="s">
        <v>225</v>
      </c>
      <c r="C1110" s="363" t="s">
        <v>1451</v>
      </c>
      <c r="D1110" s="368">
        <v>46148.0</v>
      </c>
      <c r="E1110" s="363" t="s">
        <v>4119</v>
      </c>
      <c r="F1110" s="363" t="s">
        <v>4120</v>
      </c>
      <c r="G1110" s="363" t="s">
        <v>4121</v>
      </c>
      <c r="H1110" s="363" t="s">
        <v>4122</v>
      </c>
      <c r="I1110" s="363" t="s">
        <v>1089</v>
      </c>
      <c r="J1110" s="363" t="s">
        <v>4123</v>
      </c>
      <c r="K1110" s="363" t="s">
        <v>4124</v>
      </c>
      <c r="L1110" s="365"/>
      <c r="M1110" s="369">
        <v>46153.956735914355</v>
      </c>
      <c r="N1110" s="363"/>
      <c r="O1110" s="363" t="b">
        <v>0</v>
      </c>
      <c r="P1110" s="370"/>
    </row>
    <row r="1111">
      <c r="A1111" s="363" t="s">
        <v>22</v>
      </c>
      <c r="B1111" s="363" t="s">
        <v>53</v>
      </c>
      <c r="C1111" s="363" t="s">
        <v>1451</v>
      </c>
      <c r="D1111" s="368">
        <v>46154.0</v>
      </c>
      <c r="E1111" s="363" t="s">
        <v>4128</v>
      </c>
      <c r="F1111" s="363" t="s">
        <v>4130</v>
      </c>
      <c r="G1111" s="363" t="s">
        <v>4131</v>
      </c>
      <c r="H1111" s="363" t="s">
        <v>4132</v>
      </c>
      <c r="I1111" s="363" t="s">
        <v>4133</v>
      </c>
      <c r="J1111" s="363" t="s">
        <v>4134</v>
      </c>
      <c r="K1111" s="363" t="s">
        <v>4135</v>
      </c>
      <c r="L1111" s="365"/>
      <c r="M1111" s="369">
        <v>46155.84667262732</v>
      </c>
      <c r="N1111" s="363"/>
      <c r="O1111" s="363"/>
      <c r="P1111" s="370"/>
    </row>
    <row r="1112">
      <c r="A1112" s="363" t="s">
        <v>17</v>
      </c>
      <c r="B1112" s="363" t="s">
        <v>23</v>
      </c>
      <c r="C1112" s="363" t="s">
        <v>1451</v>
      </c>
      <c r="D1112" s="368">
        <v>46148.0</v>
      </c>
      <c r="E1112" s="363" t="s">
        <v>4141</v>
      </c>
      <c r="F1112" s="363" t="s">
        <v>4142</v>
      </c>
      <c r="G1112" s="363" t="s">
        <v>4143</v>
      </c>
      <c r="H1112" s="363" t="s">
        <v>4146</v>
      </c>
      <c r="I1112" s="363" t="s">
        <v>1181</v>
      </c>
      <c r="J1112" s="363" t="s">
        <v>4148</v>
      </c>
      <c r="K1112" s="363" t="s">
        <v>4150</v>
      </c>
      <c r="L1112" s="365"/>
      <c r="M1112" s="369">
        <v>46155.87819747685</v>
      </c>
      <c r="N1112" s="363"/>
      <c r="O1112" s="363" t="b">
        <v>0</v>
      </c>
      <c r="P1112" s="370"/>
    </row>
    <row r="1113">
      <c r="A1113" s="363" t="s">
        <v>22</v>
      </c>
      <c r="B1113" s="363" t="s">
        <v>53</v>
      </c>
      <c r="C1113" s="363" t="s">
        <v>1410</v>
      </c>
      <c r="D1113" s="368">
        <v>45861.0</v>
      </c>
      <c r="E1113" s="363" t="s">
        <v>1937</v>
      </c>
      <c r="F1113" s="363" t="s">
        <v>1939</v>
      </c>
      <c r="G1113" s="363" t="s">
        <v>4157</v>
      </c>
      <c r="H1113" s="363" t="s">
        <v>1943</v>
      </c>
      <c r="I1113" s="363" t="s">
        <v>381</v>
      </c>
      <c r="J1113" s="363" t="s">
        <v>2884</v>
      </c>
      <c r="K1113" s="363" t="s">
        <v>4159</v>
      </c>
      <c r="L1113" s="365"/>
      <c r="M1113" s="369"/>
      <c r="N1113" s="363"/>
      <c r="O1113" s="363" t="b">
        <v>0</v>
      </c>
      <c r="P1113" s="370"/>
    </row>
    <row r="1114">
      <c r="A1114" s="363" t="s">
        <v>22</v>
      </c>
      <c r="B1114" s="363" t="s">
        <v>19</v>
      </c>
      <c r="C1114" s="363" t="s">
        <v>1451</v>
      </c>
      <c r="D1114" s="368">
        <v>46063.0</v>
      </c>
      <c r="E1114" s="363" t="s">
        <v>4163</v>
      </c>
      <c r="F1114" s="363" t="s">
        <v>4164</v>
      </c>
      <c r="G1114" s="363" t="s">
        <v>4165</v>
      </c>
      <c r="H1114" s="363" t="s">
        <v>4166</v>
      </c>
      <c r="I1114" s="363" t="s">
        <v>4167</v>
      </c>
      <c r="J1114" s="363" t="s">
        <v>4168</v>
      </c>
      <c r="K1114" s="363" t="s">
        <v>4170</v>
      </c>
      <c r="L1114" s="365"/>
      <c r="M1114" s="369">
        <v>46156.931016539354</v>
      </c>
      <c r="N1114" s="363"/>
      <c r="O1114" s="363" t="b">
        <v>0</v>
      </c>
      <c r="P1114" s="370"/>
    </row>
    <row r="1115">
      <c r="A1115" s="363" t="s">
        <v>22</v>
      </c>
      <c r="B1115" s="363" t="s">
        <v>23</v>
      </c>
      <c r="C1115" s="363" t="s">
        <v>1451</v>
      </c>
      <c r="D1115" s="368">
        <v>46153.0</v>
      </c>
      <c r="E1115" s="363" t="s">
        <v>4171</v>
      </c>
      <c r="F1115" s="363" t="s">
        <v>4172</v>
      </c>
      <c r="G1115" s="363" t="s">
        <v>4173</v>
      </c>
      <c r="H1115" s="363" t="s">
        <v>4174</v>
      </c>
      <c r="I1115" s="363" t="s">
        <v>453</v>
      </c>
      <c r="J1115" s="363" t="s">
        <v>4175</v>
      </c>
      <c r="K1115" s="363" t="s">
        <v>4176</v>
      </c>
      <c r="L1115" s="365"/>
      <c r="M1115" s="369">
        <v>46156.95881871528</v>
      </c>
      <c r="N1115" s="363"/>
      <c r="O1115" s="363"/>
      <c r="P1115" s="370"/>
    </row>
    <row r="1116">
      <c r="A1116" s="363" t="s">
        <v>17</v>
      </c>
      <c r="B1116" s="363" t="s">
        <v>53</v>
      </c>
      <c r="C1116" s="363" t="s">
        <v>1451</v>
      </c>
      <c r="D1116" s="368">
        <v>46153.0</v>
      </c>
      <c r="E1116" s="363" t="s">
        <v>4178</v>
      </c>
      <c r="F1116" s="363" t="s">
        <v>4179</v>
      </c>
      <c r="G1116" s="363" t="s">
        <v>4180</v>
      </c>
      <c r="H1116" s="363" t="s">
        <v>4181</v>
      </c>
      <c r="I1116" s="363" t="s">
        <v>4183</v>
      </c>
      <c r="J1116" s="363" t="s">
        <v>4185</v>
      </c>
      <c r="K1116" s="363" t="s">
        <v>4187</v>
      </c>
      <c r="L1116" s="365"/>
      <c r="M1116" s="369">
        <v>46154.78474869213</v>
      </c>
      <c r="N1116" s="363"/>
      <c r="O1116" s="363"/>
      <c r="P1116" s="370"/>
    </row>
    <row r="1117">
      <c r="A1117" s="363" t="s">
        <v>17</v>
      </c>
      <c r="B1117" s="363" t="s">
        <v>23</v>
      </c>
      <c r="C1117" s="363" t="s">
        <v>1527</v>
      </c>
      <c r="D1117" s="368">
        <v>45922.0</v>
      </c>
      <c r="E1117" s="363" t="s">
        <v>4192</v>
      </c>
      <c r="F1117" s="363" t="s">
        <v>4193</v>
      </c>
      <c r="G1117" s="363" t="s">
        <v>4194</v>
      </c>
      <c r="H1117" s="363" t="s">
        <v>4195</v>
      </c>
      <c r="I1117" s="363" t="s">
        <v>123</v>
      </c>
      <c r="J1117" s="363" t="s">
        <v>4196</v>
      </c>
      <c r="K1117" s="363" t="s">
        <v>4197</v>
      </c>
      <c r="L1117" s="365"/>
      <c r="M1117" s="369"/>
      <c r="N1117" s="363"/>
      <c r="O1117" s="363" t="b">
        <v>0</v>
      </c>
      <c r="P1117" s="370"/>
    </row>
    <row r="1118">
      <c r="A1118" s="363" t="s">
        <v>906</v>
      </c>
      <c r="B1118" s="363" t="s">
        <v>225</v>
      </c>
      <c r="C1118" s="363" t="s">
        <v>1451</v>
      </c>
      <c r="D1118" s="368">
        <v>46150.0</v>
      </c>
      <c r="E1118" s="363" t="s">
        <v>4201</v>
      </c>
      <c r="F1118" s="363" t="s">
        <v>4202</v>
      </c>
      <c r="G1118" s="363" t="s">
        <v>4203</v>
      </c>
      <c r="H1118" s="363" t="s">
        <v>4205</v>
      </c>
      <c r="I1118" s="363" t="s">
        <v>4207</v>
      </c>
      <c r="J1118" s="363" t="s">
        <v>4208</v>
      </c>
      <c r="K1118" s="363"/>
      <c r="L1118" s="365"/>
      <c r="M1118" s="369"/>
      <c r="N1118" s="363"/>
      <c r="O1118" s="363"/>
      <c r="P1118" s="370"/>
    </row>
    <row r="1119">
      <c r="A1119" s="363" t="s">
        <v>17</v>
      </c>
      <c r="B1119" s="363" t="s">
        <v>53</v>
      </c>
      <c r="C1119" s="363" t="s">
        <v>1451</v>
      </c>
      <c r="D1119" s="368">
        <v>46160.0</v>
      </c>
      <c r="E1119" s="363" t="s">
        <v>4212</v>
      </c>
      <c r="F1119" s="363" t="s">
        <v>4213</v>
      </c>
      <c r="G1119" s="363" t="s">
        <v>4215</v>
      </c>
      <c r="H1119" s="363" t="s">
        <v>4216</v>
      </c>
      <c r="I1119" s="363" t="s">
        <v>1155</v>
      </c>
      <c r="J1119" s="363" t="s">
        <v>4218</v>
      </c>
      <c r="K1119" s="363" t="s">
        <v>4220</v>
      </c>
      <c r="L1119" s="365"/>
      <c r="M1119" s="369">
        <v>46163.90014673611</v>
      </c>
      <c r="N1119" s="363"/>
      <c r="O1119" s="363"/>
      <c r="P1119" s="370"/>
    </row>
    <row r="1120">
      <c r="A1120" s="363" t="s">
        <v>22</v>
      </c>
      <c r="B1120" s="363" t="s">
        <v>19</v>
      </c>
      <c r="C1120" s="363" t="s">
        <v>1451</v>
      </c>
      <c r="D1120" s="368">
        <v>46097.0</v>
      </c>
      <c r="E1120" s="363" t="s">
        <v>4222</v>
      </c>
      <c r="F1120" s="363" t="s">
        <v>4223</v>
      </c>
      <c r="G1120" s="363" t="s">
        <v>4225</v>
      </c>
      <c r="H1120" s="363" t="s">
        <v>4226</v>
      </c>
      <c r="I1120" s="363" t="s">
        <v>4227</v>
      </c>
      <c r="J1120" s="363" t="s">
        <v>4228</v>
      </c>
      <c r="K1120" s="363" t="s">
        <v>4229</v>
      </c>
      <c r="L1120" s="365"/>
      <c r="M1120" s="369">
        <v>46171.81052020833</v>
      </c>
      <c r="N1120" s="363"/>
      <c r="O1120" s="363" t="b">
        <v>0</v>
      </c>
      <c r="P1120" s="370"/>
    </row>
    <row r="1121">
      <c r="A1121" s="363" t="s">
        <v>22</v>
      </c>
      <c r="B1121" s="363" t="s">
        <v>23</v>
      </c>
      <c r="C1121" s="363" t="s">
        <v>1451</v>
      </c>
      <c r="D1121" s="368">
        <v>46153.0</v>
      </c>
      <c r="E1121" s="363" t="s">
        <v>4231</v>
      </c>
      <c r="F1121" s="363" t="s">
        <v>4232</v>
      </c>
      <c r="G1121" s="363" t="s">
        <v>4233</v>
      </c>
      <c r="H1121" s="363" t="s">
        <v>4234</v>
      </c>
      <c r="I1121" s="363" t="s">
        <v>4235</v>
      </c>
      <c r="J1121" s="363" t="s">
        <v>4237</v>
      </c>
      <c r="K1121" s="363" t="s">
        <v>4238</v>
      </c>
      <c r="L1121" s="365"/>
      <c r="M1121" s="369">
        <v>46160.75800221065</v>
      </c>
      <c r="N1121" s="363"/>
      <c r="O1121" s="363"/>
      <c r="P1121" s="370"/>
    </row>
    <row r="1122">
      <c r="A1122" s="363" t="s">
        <v>906</v>
      </c>
      <c r="B1122" s="363" t="s">
        <v>225</v>
      </c>
      <c r="C1122" s="363" t="s">
        <v>1451</v>
      </c>
      <c r="D1122" s="368">
        <v>46155.0</v>
      </c>
      <c r="E1122" s="363" t="s">
        <v>4243</v>
      </c>
      <c r="F1122" s="363" t="s">
        <v>4245</v>
      </c>
      <c r="G1122" s="363" t="s">
        <v>4246</v>
      </c>
      <c r="H1122" s="363" t="s">
        <v>4247</v>
      </c>
      <c r="I1122" s="363" t="s">
        <v>2554</v>
      </c>
      <c r="J1122" s="363" t="s">
        <v>4249</v>
      </c>
      <c r="K1122" s="363" t="s">
        <v>4250</v>
      </c>
      <c r="L1122" s="365"/>
      <c r="M1122" s="369">
        <v>46175.82366601852</v>
      </c>
      <c r="N1122" s="363"/>
      <c r="O1122" s="363"/>
      <c r="P1122" s="370"/>
    </row>
    <row r="1123">
      <c r="A1123" s="363" t="s">
        <v>117</v>
      </c>
      <c r="B1123" s="363" t="s">
        <v>53</v>
      </c>
      <c r="C1123" s="363" t="s">
        <v>1451</v>
      </c>
      <c r="D1123" s="368">
        <v>46174.0</v>
      </c>
      <c r="E1123" s="363" t="s">
        <v>4252</v>
      </c>
      <c r="F1123" s="363" t="s">
        <v>4253</v>
      </c>
      <c r="G1123" s="363" t="s">
        <v>4255</v>
      </c>
      <c r="H1123" s="363" t="s">
        <v>4256</v>
      </c>
      <c r="I1123" s="363" t="s">
        <v>1760</v>
      </c>
      <c r="J1123" s="363" t="s">
        <v>4258</v>
      </c>
      <c r="K1123" s="363" t="s">
        <v>4259</v>
      </c>
      <c r="L1123" s="365"/>
      <c r="M1123" s="369">
        <v>46176.93020270833</v>
      </c>
      <c r="N1123" s="363"/>
      <c r="O1123" s="363"/>
      <c r="P1123" s="370"/>
    </row>
    <row r="1124">
      <c r="A1124" s="363" t="s">
        <v>17</v>
      </c>
      <c r="B1124" s="363" t="s">
        <v>53</v>
      </c>
      <c r="C1124" s="363" t="s">
        <v>1451</v>
      </c>
      <c r="D1124" s="368">
        <v>45709.0</v>
      </c>
      <c r="E1124" s="363" t="s">
        <v>4267</v>
      </c>
      <c r="F1124" s="363" t="s">
        <v>4268</v>
      </c>
      <c r="G1124" s="363" t="s">
        <v>4269</v>
      </c>
      <c r="H1124" s="363"/>
      <c r="I1124" s="363" t="s">
        <v>534</v>
      </c>
      <c r="J1124" s="363" t="s">
        <v>4277</v>
      </c>
      <c r="K1124" s="363" t="s">
        <v>4279</v>
      </c>
      <c r="L1124" s="365"/>
      <c r="M1124" s="363" t="s">
        <v>4280</v>
      </c>
      <c r="N1124" s="363" t="s">
        <v>64</v>
      </c>
      <c r="O1124" s="363" t="b">
        <v>0</v>
      </c>
      <c r="P1124" s="370"/>
    </row>
    <row r="1125">
      <c r="A1125" s="363" t="s">
        <v>62</v>
      </c>
      <c r="B1125" s="363" t="s">
        <v>19</v>
      </c>
      <c r="C1125" s="363" t="s">
        <v>1451</v>
      </c>
      <c r="D1125" s="368">
        <v>46129.0</v>
      </c>
      <c r="E1125" s="363" t="s">
        <v>4285</v>
      </c>
      <c r="F1125" s="363" t="s">
        <v>4286</v>
      </c>
      <c r="G1125" s="363" t="s">
        <v>4287</v>
      </c>
      <c r="H1125" s="363" t="s">
        <v>4288</v>
      </c>
      <c r="I1125" s="363" t="s">
        <v>4289</v>
      </c>
      <c r="J1125" s="363" t="s">
        <v>4291</v>
      </c>
      <c r="K1125" s="363" t="s">
        <v>4292</v>
      </c>
      <c r="L1125" s="365"/>
      <c r="M1125" s="369">
        <v>46129.88202002315</v>
      </c>
      <c r="N1125" s="363"/>
      <c r="O1125" s="363" t="b">
        <v>0</v>
      </c>
      <c r="P1125" s="370"/>
    </row>
    <row r="1126">
      <c r="A1126" s="363" t="s">
        <v>22</v>
      </c>
      <c r="B1126" s="363" t="s">
        <v>53</v>
      </c>
      <c r="C1126" s="363" t="s">
        <v>1451</v>
      </c>
      <c r="D1126" s="368">
        <v>46098.0</v>
      </c>
      <c r="E1126" s="363" t="s">
        <v>4296</v>
      </c>
      <c r="F1126" s="363" t="s">
        <v>3439</v>
      </c>
      <c r="G1126" s="363" t="s">
        <v>4297</v>
      </c>
      <c r="H1126" s="363" t="s">
        <v>4298</v>
      </c>
      <c r="I1126" s="363" t="s">
        <v>4300</v>
      </c>
      <c r="J1126" s="363" t="s">
        <v>4301</v>
      </c>
      <c r="K1126" s="363" t="s">
        <v>4303</v>
      </c>
      <c r="L1126" s="365"/>
      <c r="M1126" s="369">
        <v>46183.86705583333</v>
      </c>
      <c r="N1126" s="363"/>
      <c r="O1126" s="363" t="b">
        <v>0</v>
      </c>
      <c r="P1126" s="370"/>
    </row>
    <row r="1127">
      <c r="A1127" s="363" t="s">
        <v>22</v>
      </c>
      <c r="B1127" s="363" t="s">
        <v>53</v>
      </c>
      <c r="C1127" s="363" t="s">
        <v>1451</v>
      </c>
      <c r="D1127" s="368">
        <v>46090.0</v>
      </c>
      <c r="E1127" s="363" t="s">
        <v>4305</v>
      </c>
      <c r="F1127" s="363" t="s">
        <v>4307</v>
      </c>
      <c r="G1127" s="363" t="s">
        <v>4308</v>
      </c>
      <c r="H1127" s="363" t="s">
        <v>4309</v>
      </c>
      <c r="I1127" s="363" t="s">
        <v>1405</v>
      </c>
      <c r="J1127" s="363" t="s">
        <v>4310</v>
      </c>
      <c r="K1127" s="363" t="s">
        <v>4311</v>
      </c>
      <c r="L1127" s="365"/>
      <c r="M1127" s="369">
        <v>46140.860062673615</v>
      </c>
      <c r="N1127" s="363"/>
      <c r="O1127" s="363" t="b">
        <v>0</v>
      </c>
      <c r="P1127" s="370"/>
    </row>
    <row r="1128">
      <c r="A1128" s="363" t="s">
        <v>906</v>
      </c>
      <c r="B1128" s="363" t="s">
        <v>23</v>
      </c>
      <c r="C1128" s="363" t="s">
        <v>1451</v>
      </c>
      <c r="D1128" s="366">
        <v>46181.0</v>
      </c>
      <c r="E1128" s="363" t="s">
        <v>4314</v>
      </c>
      <c r="F1128" s="363" t="s">
        <v>4315</v>
      </c>
      <c r="G1128" s="363" t="s">
        <v>4316</v>
      </c>
      <c r="H1128" s="363" t="s">
        <v>4317</v>
      </c>
      <c r="I1128" s="371" t="s">
        <v>290</v>
      </c>
      <c r="J1128" s="363" t="s">
        <v>4320</v>
      </c>
      <c r="K1128" s="363"/>
      <c r="L1128" s="363"/>
      <c r="M1128" s="363"/>
      <c r="N1128" s="363"/>
      <c r="O1128" s="363"/>
      <c r="P1128" s="363"/>
    </row>
    <row r="1129">
      <c r="A1129" s="363" t="s">
        <v>117</v>
      </c>
      <c r="B1129" s="363" t="s">
        <v>53</v>
      </c>
      <c r="C1129" s="363" t="s">
        <v>1451</v>
      </c>
      <c r="D1129" s="368">
        <v>46182.0</v>
      </c>
      <c r="E1129" s="363" t="s">
        <v>4323</v>
      </c>
      <c r="F1129" s="363" t="s">
        <v>4324</v>
      </c>
      <c r="G1129" s="363" t="s">
        <v>4325</v>
      </c>
      <c r="H1129" s="363" t="s">
        <v>4326</v>
      </c>
      <c r="I1129" s="363" t="s">
        <v>762</v>
      </c>
      <c r="J1129" s="363" t="s">
        <v>4328</v>
      </c>
      <c r="K1129" s="363" t="s">
        <v>4329</v>
      </c>
      <c r="L1129" s="363"/>
      <c r="M1129" s="369">
        <v>46185.77326019676</v>
      </c>
      <c r="N1129" s="363"/>
      <c r="O1129" s="363"/>
      <c r="P1129" s="363"/>
    </row>
    <row r="1130">
      <c r="A1130" s="363" t="s">
        <v>62</v>
      </c>
      <c r="B1130" s="363" t="s">
        <v>225</v>
      </c>
      <c r="C1130" s="363" t="s">
        <v>1451</v>
      </c>
      <c r="D1130" s="368">
        <v>46185.0</v>
      </c>
      <c r="E1130" s="363" t="s">
        <v>4335</v>
      </c>
      <c r="F1130" s="363" t="s">
        <v>4336</v>
      </c>
      <c r="G1130" s="363" t="s">
        <v>4337</v>
      </c>
      <c r="H1130" s="363" t="s">
        <v>4338</v>
      </c>
      <c r="I1130" s="363" t="s">
        <v>4339</v>
      </c>
      <c r="J1130" s="363" t="s">
        <v>4340</v>
      </c>
      <c r="K1130" s="363" t="s">
        <v>4341</v>
      </c>
      <c r="L1130" s="363"/>
      <c r="M1130" s="369">
        <v>46188.96695855324</v>
      </c>
      <c r="N1130" s="363"/>
      <c r="O1130" s="363"/>
      <c r="P1130" s="363"/>
    </row>
    <row r="1131">
      <c r="A1131" s="363" t="s">
        <v>906</v>
      </c>
      <c r="B1131" s="363" t="s">
        <v>53</v>
      </c>
      <c r="C1131" s="363" t="s">
        <v>1451</v>
      </c>
      <c r="D1131" s="368">
        <v>46183.0</v>
      </c>
      <c r="E1131" s="363" t="s">
        <v>4343</v>
      </c>
      <c r="F1131" s="363" t="s">
        <v>4344</v>
      </c>
      <c r="G1131" s="363" t="s">
        <v>4345</v>
      </c>
      <c r="H1131" s="363" t="s">
        <v>4346</v>
      </c>
      <c r="I1131" s="363" t="s">
        <v>4347</v>
      </c>
      <c r="J1131" s="363" t="s">
        <v>4348</v>
      </c>
      <c r="K1131" s="363"/>
      <c r="L1131" s="363"/>
      <c r="M1131" s="369"/>
      <c r="N1131" s="363"/>
      <c r="O1131" s="363"/>
      <c r="P1131" s="363"/>
    </row>
    <row r="1132">
      <c r="A1132" s="363" t="s">
        <v>62</v>
      </c>
      <c r="B1132" s="363" t="s">
        <v>225</v>
      </c>
      <c r="C1132" s="363" t="s">
        <v>1451</v>
      </c>
      <c r="D1132" s="368">
        <v>46128.0</v>
      </c>
      <c r="E1132" s="363" t="s">
        <v>4351</v>
      </c>
      <c r="F1132" s="363" t="s">
        <v>4353</v>
      </c>
      <c r="G1132" s="363" t="s">
        <v>4354</v>
      </c>
      <c r="H1132" s="363" t="s">
        <v>4355</v>
      </c>
      <c r="I1132" s="363" t="s">
        <v>3878</v>
      </c>
      <c r="J1132" s="363" t="s">
        <v>4357</v>
      </c>
      <c r="K1132" s="363" t="s">
        <v>4358</v>
      </c>
      <c r="L1132" s="363"/>
      <c r="M1132" s="369">
        <v>46155.95675628472</v>
      </c>
      <c r="N1132" s="363"/>
      <c r="O1132" s="363" t="b">
        <v>0</v>
      </c>
      <c r="P1132" s="363"/>
    </row>
    <row r="1133">
      <c r="A1133" s="363" t="s">
        <v>22</v>
      </c>
      <c r="B1133" s="363" t="s">
        <v>23</v>
      </c>
      <c r="C1133" s="363" t="s">
        <v>1451</v>
      </c>
      <c r="D1133" s="366">
        <v>46190.0</v>
      </c>
      <c r="E1133" s="363" t="s">
        <v>4360</v>
      </c>
      <c r="F1133" s="363" t="s">
        <v>4361</v>
      </c>
      <c r="G1133" s="363" t="s">
        <v>4363</v>
      </c>
      <c r="H1133" s="363" t="s">
        <v>4364</v>
      </c>
      <c r="I1133" s="371" t="s">
        <v>317</v>
      </c>
      <c r="J1133" s="363" t="s">
        <v>4367</v>
      </c>
      <c r="K1133" s="363" t="s">
        <v>4368</v>
      </c>
      <c r="L1133" s="363"/>
      <c r="M1133" s="368">
        <v>46196.71214645833</v>
      </c>
      <c r="N1133" s="363"/>
      <c r="O1133" s="363"/>
      <c r="P1133" s="363"/>
    </row>
    <row r="1134">
      <c r="A1134" s="363" t="s">
        <v>22</v>
      </c>
      <c r="B1134" s="363" t="s">
        <v>53</v>
      </c>
      <c r="C1134" s="363" t="s">
        <v>3021</v>
      </c>
      <c r="D1134" s="368">
        <v>46189.0</v>
      </c>
      <c r="E1134" s="363" t="s">
        <v>4372</v>
      </c>
      <c r="F1134" s="363" t="s">
        <v>4373</v>
      </c>
      <c r="G1134" s="363" t="s">
        <v>4374</v>
      </c>
      <c r="H1134" s="363" t="s">
        <v>4376</v>
      </c>
      <c r="I1134" s="363" t="s">
        <v>590</v>
      </c>
      <c r="J1134" s="363" t="s">
        <v>4377</v>
      </c>
      <c r="K1134" s="363" t="s">
        <v>4378</v>
      </c>
      <c r="L1134" s="363"/>
      <c r="M1134" s="369">
        <v>46196.746996145834</v>
      </c>
      <c r="N1134" s="363"/>
      <c r="O1134" s="363"/>
      <c r="P1134" s="363"/>
    </row>
    <row r="1135">
      <c r="A1135" s="363" t="s">
        <v>22</v>
      </c>
      <c r="B1135" s="363" t="s">
        <v>23</v>
      </c>
      <c r="C1135" s="363" t="s">
        <v>1451</v>
      </c>
      <c r="D1135" s="366">
        <v>46195.0</v>
      </c>
      <c r="E1135" s="363" t="s">
        <v>4384</v>
      </c>
      <c r="F1135" s="363" t="s">
        <v>4385</v>
      </c>
      <c r="G1135" s="363" t="s">
        <v>4387</v>
      </c>
      <c r="H1135" s="363" t="s">
        <v>4388</v>
      </c>
      <c r="I1135" s="371" t="s">
        <v>2519</v>
      </c>
      <c r="J1135" s="363" t="s">
        <v>4394</v>
      </c>
      <c r="K1135" s="363" t="s">
        <v>4395</v>
      </c>
      <c r="L1135" s="363"/>
      <c r="M1135" s="368">
        <v>46196.82500861111</v>
      </c>
      <c r="N1135" s="363"/>
      <c r="O1135" s="363"/>
      <c r="P1135" s="363"/>
    </row>
    <row r="1136">
      <c r="A1136" s="363" t="s">
        <v>62</v>
      </c>
      <c r="B1136" s="363" t="s">
        <v>25</v>
      </c>
      <c r="C1136" s="363" t="s">
        <v>1451</v>
      </c>
      <c r="D1136" s="368">
        <v>46191.0</v>
      </c>
      <c r="E1136" s="363" t="s">
        <v>4400</v>
      </c>
      <c r="F1136" s="363" t="s">
        <v>4402</v>
      </c>
      <c r="G1136" s="363" t="s">
        <v>4404</v>
      </c>
      <c r="H1136" s="363" t="s">
        <v>4406</v>
      </c>
      <c r="I1136" s="363" t="s">
        <v>947</v>
      </c>
      <c r="J1136" s="363" t="s">
        <v>4409</v>
      </c>
      <c r="K1136" s="363" t="s">
        <v>4412</v>
      </c>
      <c r="L1136" s="363"/>
      <c r="M1136" s="369">
        <v>46191.9308496875</v>
      </c>
      <c r="N1136" s="363"/>
      <c r="O1136" s="363"/>
      <c r="P1136" s="363"/>
    </row>
    <row r="1137">
      <c r="A1137" s="363" t="s">
        <v>17</v>
      </c>
      <c r="B1137" s="363" t="s">
        <v>23</v>
      </c>
      <c r="C1137" s="363" t="s">
        <v>1451</v>
      </c>
      <c r="D1137" s="368">
        <v>46160.0</v>
      </c>
      <c r="E1137" s="363" t="s">
        <v>4421</v>
      </c>
      <c r="F1137" s="363" t="s">
        <v>4423</v>
      </c>
      <c r="G1137" s="363" t="s">
        <v>4424</v>
      </c>
      <c r="H1137" s="363" t="s">
        <v>4425</v>
      </c>
      <c r="I1137" s="363" t="s">
        <v>1831</v>
      </c>
      <c r="J1137" s="363" t="s">
        <v>4427</v>
      </c>
      <c r="K1137" s="363"/>
      <c r="L1137" s="363"/>
      <c r="M1137" s="369"/>
      <c r="N1137" s="363"/>
      <c r="O1137" s="363"/>
      <c r="P1137" s="363"/>
    </row>
    <row r="1138">
      <c r="A1138" s="363" t="s">
        <v>22</v>
      </c>
      <c r="B1138" s="363" t="s">
        <v>23</v>
      </c>
      <c r="C1138" s="363" t="s">
        <v>1451</v>
      </c>
      <c r="D1138" s="368">
        <v>46191.0</v>
      </c>
      <c r="E1138" s="363" t="s">
        <v>4432</v>
      </c>
      <c r="F1138" s="363" t="s">
        <v>4433</v>
      </c>
      <c r="G1138" s="363" t="s">
        <v>4434</v>
      </c>
      <c r="H1138" s="363" t="s">
        <v>4436</v>
      </c>
      <c r="I1138" s="363" t="s">
        <v>548</v>
      </c>
      <c r="J1138" s="363" t="s">
        <v>4438</v>
      </c>
      <c r="K1138" s="363"/>
      <c r="L1138" s="363"/>
      <c r="M1138" s="369"/>
      <c r="N1138" s="363"/>
      <c r="O1138" s="363"/>
      <c r="P1138" s="363"/>
    </row>
    <row r="1139">
      <c r="A1139" s="363" t="s">
        <v>117</v>
      </c>
      <c r="B1139" s="363" t="s">
        <v>25</v>
      </c>
      <c r="C1139" s="363" t="s">
        <v>1451</v>
      </c>
      <c r="D1139" s="368">
        <v>46197.0</v>
      </c>
      <c r="E1139" s="363" t="s">
        <v>4441</v>
      </c>
      <c r="F1139" s="363" t="s">
        <v>4442</v>
      </c>
      <c r="G1139" s="363" t="s">
        <v>4443</v>
      </c>
      <c r="H1139" s="363" t="s">
        <v>4445</v>
      </c>
      <c r="I1139" s="363" t="s">
        <v>4446</v>
      </c>
      <c r="J1139" s="363" t="s">
        <v>4450</v>
      </c>
      <c r="K1139" s="363"/>
      <c r="L1139" s="363"/>
      <c r="M1139" s="369"/>
      <c r="N1139" s="363"/>
      <c r="O1139" s="363"/>
      <c r="P1139" s="363"/>
    </row>
    <row r="1140">
      <c r="A1140" s="363" t="s">
        <v>22</v>
      </c>
      <c r="B1140" s="363" t="s">
        <v>53</v>
      </c>
      <c r="C1140" s="363" t="s">
        <v>1451</v>
      </c>
      <c r="D1140" s="368">
        <v>46031.0</v>
      </c>
      <c r="E1140" s="363" t="s">
        <v>3229</v>
      </c>
      <c r="F1140" s="363" t="s">
        <v>3570</v>
      </c>
      <c r="G1140" s="363" t="s">
        <v>4452</v>
      </c>
      <c r="H1140" s="363" t="s">
        <v>4453</v>
      </c>
      <c r="I1140" s="363" t="s">
        <v>1654</v>
      </c>
      <c r="J1140" s="363" t="s">
        <v>3577</v>
      </c>
      <c r="K1140" s="363" t="s">
        <v>4455</v>
      </c>
      <c r="L1140" s="363"/>
      <c r="M1140" s="369">
        <v>46183.86528413194</v>
      </c>
      <c r="N1140" s="363"/>
      <c r="O1140" s="363" t="b">
        <v>0</v>
      </c>
      <c r="P1140" s="363"/>
    </row>
    <row r="1141">
      <c r="A1141" s="363" t="s">
        <v>135</v>
      </c>
      <c r="B1141" s="363" t="s">
        <v>53</v>
      </c>
      <c r="C1141" s="363" t="s">
        <v>1451</v>
      </c>
      <c r="D1141" s="368">
        <v>46177.0</v>
      </c>
      <c r="E1141" s="363" t="s">
        <v>4461</v>
      </c>
      <c r="F1141" s="363" t="s">
        <v>4462</v>
      </c>
      <c r="G1141" s="363" t="s">
        <v>4463</v>
      </c>
      <c r="H1141" s="363" t="s">
        <v>4464</v>
      </c>
      <c r="I1141" s="363" t="s">
        <v>667</v>
      </c>
      <c r="J1141" s="363" t="s">
        <v>4465</v>
      </c>
      <c r="K1141" s="363" t="s">
        <v>4467</v>
      </c>
      <c r="L1141" s="363"/>
      <c r="M1141" s="369">
        <v>46203.793512013886</v>
      </c>
      <c r="N1141" s="363"/>
      <c r="O1141" s="363"/>
      <c r="P1141" s="363"/>
    </row>
    <row r="1142">
      <c r="A1142" s="363" t="s">
        <v>135</v>
      </c>
      <c r="B1142" s="363" t="s">
        <v>225</v>
      </c>
      <c r="C1142" s="363" t="s">
        <v>1451</v>
      </c>
      <c r="D1142" s="368"/>
      <c r="E1142" s="363" t="s">
        <v>4472</v>
      </c>
      <c r="F1142" s="363" t="s">
        <v>4473</v>
      </c>
      <c r="G1142" s="363" t="s">
        <v>4474</v>
      </c>
      <c r="H1142" s="363" t="s">
        <v>4476</v>
      </c>
      <c r="I1142" s="363" t="s">
        <v>4478</v>
      </c>
      <c r="J1142" s="363" t="s">
        <v>4479</v>
      </c>
      <c r="K1142" s="363" t="s">
        <v>4480</v>
      </c>
      <c r="L1142" s="363"/>
      <c r="M1142" s="369">
        <v>46142.89162108796</v>
      </c>
      <c r="N1142" s="363"/>
      <c r="O1142" s="363"/>
      <c r="P1142" s="363" t="b">
        <v>0</v>
      </c>
    </row>
    <row r="1143">
      <c r="A1143" s="363" t="s">
        <v>410</v>
      </c>
      <c r="B1143" s="363" t="s">
        <v>225</v>
      </c>
      <c r="C1143" s="363" t="s">
        <v>1451</v>
      </c>
      <c r="D1143" s="368">
        <v>46108.0</v>
      </c>
      <c r="E1143" s="363" t="s">
        <v>4489</v>
      </c>
      <c r="F1143" s="363" t="s">
        <v>4490</v>
      </c>
      <c r="G1143" s="363" t="s">
        <v>4491</v>
      </c>
      <c r="H1143" s="363" t="s">
        <v>4493</v>
      </c>
      <c r="I1143" s="363" t="s">
        <v>4391</v>
      </c>
      <c r="J1143" s="363" t="s">
        <v>4494</v>
      </c>
      <c r="K1143" s="363" t="s">
        <v>4495</v>
      </c>
      <c r="L1143" s="363"/>
      <c r="M1143" s="369">
        <v>46135.874155</v>
      </c>
      <c r="N1143" s="363"/>
      <c r="O1143" s="363"/>
      <c r="P1143" s="363"/>
    </row>
    <row r="1144">
      <c r="A1144" s="363" t="s">
        <v>62</v>
      </c>
      <c r="B1144" s="363" t="s">
        <v>225</v>
      </c>
      <c r="C1144" s="363" t="s">
        <v>1451</v>
      </c>
      <c r="D1144" s="368">
        <v>46030.0</v>
      </c>
      <c r="E1144" s="363" t="s">
        <v>4498</v>
      </c>
      <c r="F1144" s="363" t="s">
        <v>4500</v>
      </c>
      <c r="G1144" s="363" t="s">
        <v>4501</v>
      </c>
      <c r="H1144" s="363" t="s">
        <v>4502</v>
      </c>
      <c r="I1144" s="363" t="s">
        <v>240</v>
      </c>
      <c r="J1144" s="363" t="s">
        <v>4503</v>
      </c>
      <c r="K1144" s="363" t="s">
        <v>4504</v>
      </c>
      <c r="L1144" s="363"/>
      <c r="M1144" s="369"/>
      <c r="N1144" s="363" t="b">
        <v>0</v>
      </c>
      <c r="O1144" s="363"/>
      <c r="P1144" s="363"/>
    </row>
    <row r="1145">
      <c r="A1145" s="363" t="s">
        <v>17</v>
      </c>
      <c r="B1145" s="363" t="s">
        <v>225</v>
      </c>
      <c r="C1145" s="363" t="s">
        <v>1451</v>
      </c>
      <c r="D1145" s="368">
        <v>46111.0</v>
      </c>
      <c r="E1145" s="363" t="s">
        <v>4506</v>
      </c>
      <c r="F1145" s="363" t="s">
        <v>4507</v>
      </c>
      <c r="G1145" s="363" t="s">
        <v>4508</v>
      </c>
      <c r="H1145" s="363" t="s">
        <v>4509</v>
      </c>
      <c r="I1145" s="363" t="s">
        <v>4510</v>
      </c>
      <c r="J1145" s="363" t="s">
        <v>4511</v>
      </c>
      <c r="K1145" s="363" t="s">
        <v>4513</v>
      </c>
      <c r="L1145" s="363"/>
      <c r="M1145" s="369">
        <v>46183.94813109953</v>
      </c>
      <c r="N1145" s="363"/>
      <c r="O1145" s="363" t="b">
        <v>0</v>
      </c>
      <c r="P1145" s="363"/>
    </row>
    <row r="1146">
      <c r="A1146" s="363" t="s">
        <v>906</v>
      </c>
      <c r="B1146" s="363" t="s">
        <v>225</v>
      </c>
      <c r="C1146" s="363" t="s">
        <v>1451</v>
      </c>
      <c r="D1146" s="368">
        <v>46163.0</v>
      </c>
      <c r="E1146" s="363" t="s">
        <v>4517</v>
      </c>
      <c r="F1146" s="363" t="s">
        <v>4518</v>
      </c>
      <c r="G1146" s="363" t="s">
        <v>4519</v>
      </c>
      <c r="H1146" s="363" t="s">
        <v>4520</v>
      </c>
      <c r="I1146" s="363" t="s">
        <v>1811</v>
      </c>
      <c r="J1146" s="363" t="s">
        <v>4521</v>
      </c>
      <c r="K1146" s="363"/>
      <c r="L1146" s="363"/>
      <c r="M1146" s="369"/>
      <c r="N1146" s="363"/>
      <c r="O1146" s="363"/>
      <c r="P1146" s="363"/>
    </row>
    <row r="1147">
      <c r="A1147" s="363" t="s">
        <v>410</v>
      </c>
      <c r="B1147" s="363" t="s">
        <v>225</v>
      </c>
      <c r="C1147" s="363" t="s">
        <v>1451</v>
      </c>
      <c r="D1147" s="368">
        <v>46140.0</v>
      </c>
      <c r="E1147" s="363" t="s">
        <v>4526</v>
      </c>
      <c r="F1147" s="363" t="s">
        <v>4527</v>
      </c>
      <c r="G1147" s="363" t="s">
        <v>4528</v>
      </c>
      <c r="H1147" s="363" t="s">
        <v>4530</v>
      </c>
      <c r="I1147" s="363" t="s">
        <v>2554</v>
      </c>
      <c r="J1147" s="363" t="s">
        <v>4531</v>
      </c>
      <c r="K1147" s="363" t="s">
        <v>4532</v>
      </c>
      <c r="L1147" s="363"/>
      <c r="M1147" s="369">
        <v>46183.861565555555</v>
      </c>
      <c r="N1147" s="363"/>
      <c r="O1147" s="363" t="b">
        <v>0</v>
      </c>
      <c r="P1147" s="363"/>
    </row>
    <row r="1148">
      <c r="A1148" s="363" t="s">
        <v>62</v>
      </c>
      <c r="B1148" s="363" t="s">
        <v>225</v>
      </c>
      <c r="C1148" s="363" t="s">
        <v>1451</v>
      </c>
      <c r="D1148" s="368">
        <v>46070.0</v>
      </c>
      <c r="E1148" s="363" t="s">
        <v>4270</v>
      </c>
      <c r="F1148" s="363" t="s">
        <v>4272</v>
      </c>
      <c r="G1148" s="363" t="s">
        <v>4273</v>
      </c>
      <c r="H1148" s="363" t="s">
        <v>4274</v>
      </c>
      <c r="I1148" s="363" t="s">
        <v>4537</v>
      </c>
      <c r="J1148" s="363" t="s">
        <v>4276</v>
      </c>
      <c r="K1148" s="363" t="s">
        <v>4278</v>
      </c>
      <c r="L1148" s="363"/>
      <c r="M1148" s="369">
        <v>46071.82264628472</v>
      </c>
      <c r="N1148" s="363"/>
      <c r="O1148" s="363" t="b">
        <v>0</v>
      </c>
      <c r="P1148" s="363"/>
    </row>
    <row r="1149">
      <c r="A1149" s="363" t="s">
        <v>135</v>
      </c>
      <c r="B1149" s="363" t="s">
        <v>225</v>
      </c>
      <c r="C1149" s="363" t="s">
        <v>1451</v>
      </c>
      <c r="D1149" s="368">
        <v>46009.0</v>
      </c>
      <c r="E1149" s="363" t="s">
        <v>4092</v>
      </c>
      <c r="F1149" s="363" t="s">
        <v>4093</v>
      </c>
      <c r="G1149" s="363" t="s">
        <v>4096</v>
      </c>
      <c r="H1149" s="363" t="s">
        <v>4098</v>
      </c>
      <c r="I1149" s="363" t="s">
        <v>4100</v>
      </c>
      <c r="J1149" s="363" t="s">
        <v>4103</v>
      </c>
      <c r="K1149" s="363" t="s">
        <v>4541</v>
      </c>
      <c r="L1149" s="363"/>
      <c r="M1149" s="369"/>
      <c r="N1149" s="363"/>
      <c r="O1149" s="363" t="b">
        <v>0</v>
      </c>
      <c r="P1149" s="363"/>
    </row>
    <row r="1150">
      <c r="A1150" s="363" t="s">
        <v>135</v>
      </c>
      <c r="B1150" s="363" t="s">
        <v>225</v>
      </c>
      <c r="C1150" s="363" t="s">
        <v>1451</v>
      </c>
      <c r="D1150" s="368">
        <v>45664.0</v>
      </c>
      <c r="E1150" s="363" t="s">
        <v>3553</v>
      </c>
      <c r="F1150" s="363" t="s">
        <v>3555</v>
      </c>
      <c r="G1150" s="363" t="s">
        <v>3557</v>
      </c>
      <c r="H1150" s="363" t="s">
        <v>3558</v>
      </c>
      <c r="I1150" s="363" t="s">
        <v>2317</v>
      </c>
      <c r="J1150" s="363" t="s">
        <v>3560</v>
      </c>
      <c r="K1150" s="363" t="s">
        <v>4545</v>
      </c>
      <c r="L1150" s="363"/>
      <c r="M1150" s="369">
        <v>46099.915542546296</v>
      </c>
      <c r="N1150" s="363"/>
      <c r="O1150" s="363" t="b">
        <v>0</v>
      </c>
      <c r="P1150" s="363"/>
    </row>
    <row r="1151">
      <c r="A1151" s="363" t="s">
        <v>62</v>
      </c>
      <c r="B1151" s="363" t="s">
        <v>225</v>
      </c>
      <c r="C1151" s="363" t="s">
        <v>1451</v>
      </c>
      <c r="D1151" s="368">
        <v>46071.0</v>
      </c>
      <c r="E1151" s="363" t="s">
        <v>4415</v>
      </c>
      <c r="F1151" s="363" t="s">
        <v>4416</v>
      </c>
      <c r="G1151" s="363" t="s">
        <v>4418</v>
      </c>
      <c r="H1151" s="363" t="s">
        <v>4419</v>
      </c>
      <c r="I1151" s="363" t="s">
        <v>1089</v>
      </c>
      <c r="J1151" s="363"/>
      <c r="K1151" s="363" t="s">
        <v>4548</v>
      </c>
      <c r="L1151" s="363"/>
      <c r="M1151" s="369">
        <v>46099.91007972222</v>
      </c>
      <c r="N1151" s="363"/>
      <c r="O1151" s="363" t="b">
        <v>0</v>
      </c>
      <c r="P1151" s="363"/>
    </row>
    <row r="1152">
      <c r="A1152" s="363" t="s">
        <v>62</v>
      </c>
      <c r="B1152" s="363" t="s">
        <v>225</v>
      </c>
      <c r="C1152" s="363" t="s">
        <v>1451</v>
      </c>
      <c r="D1152" s="368">
        <v>46080.0</v>
      </c>
      <c r="E1152" s="363" t="s">
        <v>4482</v>
      </c>
      <c r="F1152" s="363" t="s">
        <v>4483</v>
      </c>
      <c r="G1152" s="363" t="s">
        <v>4484</v>
      </c>
      <c r="H1152" s="363" t="s">
        <v>4485</v>
      </c>
      <c r="I1152" s="363" t="s">
        <v>850</v>
      </c>
      <c r="J1152" s="363"/>
      <c r="K1152" s="363" t="s">
        <v>4550</v>
      </c>
      <c r="L1152" s="363"/>
      <c r="M1152" s="369">
        <v>46085.007273807874</v>
      </c>
      <c r="N1152" s="363"/>
      <c r="O1152" s="363" t="b">
        <v>0</v>
      </c>
      <c r="P1152" s="363"/>
    </row>
    <row r="1153">
      <c r="A1153" s="363" t="s">
        <v>135</v>
      </c>
      <c r="B1153" s="363" t="s">
        <v>225</v>
      </c>
      <c r="C1153" s="363" t="s">
        <v>1451</v>
      </c>
      <c r="D1153" s="368">
        <v>46013.0</v>
      </c>
      <c r="E1153" s="363" t="s">
        <v>4552</v>
      </c>
      <c r="F1153" s="363" t="s">
        <v>4553</v>
      </c>
      <c r="G1153" s="363">
        <v>6.464509256E9</v>
      </c>
      <c r="H1153" s="363" t="s">
        <v>4555</v>
      </c>
      <c r="I1153" s="363" t="s">
        <v>3209</v>
      </c>
      <c r="J1153" s="363" t="s">
        <v>4556</v>
      </c>
      <c r="K1153" s="363" t="s">
        <v>4557</v>
      </c>
      <c r="L1153" s="363"/>
      <c r="M1153" s="369"/>
      <c r="N1153" s="363" t="b">
        <v>0</v>
      </c>
      <c r="O1153" s="363"/>
      <c r="P1153" s="363"/>
    </row>
    <row r="1154">
      <c r="A1154" s="363" t="s">
        <v>17</v>
      </c>
      <c r="B1154" s="363" t="s">
        <v>225</v>
      </c>
      <c r="C1154" s="363" t="s">
        <v>1451</v>
      </c>
      <c r="D1154" s="368">
        <v>46038.0</v>
      </c>
      <c r="E1154" s="363" t="s">
        <v>3645</v>
      </c>
      <c r="F1154" s="363" t="s">
        <v>3647</v>
      </c>
      <c r="G1154" s="363" t="s">
        <v>3649</v>
      </c>
      <c r="H1154" s="363" t="s">
        <v>3650</v>
      </c>
      <c r="I1154" s="363" t="s">
        <v>2827</v>
      </c>
      <c r="J1154" s="363" t="s">
        <v>3652</v>
      </c>
      <c r="K1154" s="363" t="s">
        <v>4561</v>
      </c>
      <c r="L1154" s="363"/>
      <c r="M1154" s="369"/>
      <c r="N1154" s="363"/>
      <c r="O1154" s="363" t="b">
        <v>0</v>
      </c>
      <c r="P1154" s="363"/>
    </row>
    <row r="1155">
      <c r="A1155" s="363" t="s">
        <v>62</v>
      </c>
      <c r="B1155" s="363" t="s">
        <v>225</v>
      </c>
      <c r="C1155" s="363" t="s">
        <v>1451</v>
      </c>
      <c r="D1155" s="368">
        <v>46043.0</v>
      </c>
      <c r="E1155" s="363" t="s">
        <v>3904</v>
      </c>
      <c r="F1155" s="363" t="s">
        <v>3905</v>
      </c>
      <c r="G1155" s="363" t="s">
        <v>3906</v>
      </c>
      <c r="H1155" s="363" t="s">
        <v>3907</v>
      </c>
      <c r="I1155" s="363" t="s">
        <v>497</v>
      </c>
      <c r="J1155" s="363" t="s">
        <v>3908</v>
      </c>
      <c r="K1155" s="363" t="s">
        <v>1000</v>
      </c>
      <c r="L1155" s="363"/>
      <c r="M1155" s="369">
        <v>46099.91582545139</v>
      </c>
      <c r="N1155" s="363"/>
      <c r="O1155" s="363"/>
      <c r="P1155" s="363"/>
    </row>
    <row r="1156">
      <c r="A1156" s="363" t="s">
        <v>62</v>
      </c>
      <c r="B1156" s="363" t="s">
        <v>225</v>
      </c>
      <c r="C1156" s="363" t="s">
        <v>1451</v>
      </c>
      <c r="D1156" s="368">
        <v>46052.0</v>
      </c>
      <c r="E1156" s="363" t="s">
        <v>3758</v>
      </c>
      <c r="F1156" s="363" t="s">
        <v>3759</v>
      </c>
      <c r="G1156" s="363" t="s">
        <v>3760</v>
      </c>
      <c r="H1156" s="363" t="s">
        <v>3761</v>
      </c>
      <c r="I1156" s="363" t="s">
        <v>4568</v>
      </c>
      <c r="J1156" s="363" t="s">
        <v>3764</v>
      </c>
      <c r="K1156" s="363" t="s">
        <v>4569</v>
      </c>
      <c r="L1156" s="363"/>
      <c r="M1156" s="369">
        <v>46064.882049907406</v>
      </c>
      <c r="N1156" s="363"/>
      <c r="O1156" s="363" t="b">
        <v>0</v>
      </c>
      <c r="P1156" s="363"/>
    </row>
    <row r="1157">
      <c r="A1157" s="363" t="s">
        <v>135</v>
      </c>
      <c r="B1157" s="363" t="s">
        <v>225</v>
      </c>
      <c r="C1157" s="363" t="s">
        <v>1451</v>
      </c>
      <c r="D1157" s="368">
        <v>46203.0</v>
      </c>
      <c r="E1157" s="363" t="s">
        <v>4572</v>
      </c>
      <c r="F1157" s="363" t="s">
        <v>4573</v>
      </c>
      <c r="G1157" s="363" t="s">
        <v>4574</v>
      </c>
      <c r="H1157" s="363" t="s">
        <v>4575</v>
      </c>
      <c r="I1157" s="363" t="s">
        <v>1811</v>
      </c>
      <c r="J1157" s="363" t="s">
        <v>4576</v>
      </c>
      <c r="K1157" s="363" t="s">
        <v>4577</v>
      </c>
      <c r="L1157" s="363"/>
      <c r="M1157" s="369">
        <v>46205.786410416666</v>
      </c>
      <c r="N1157" s="363"/>
      <c r="O1157" s="363"/>
      <c r="P1157" s="363"/>
    </row>
    <row r="1158">
      <c r="A1158" s="363" t="s">
        <v>17</v>
      </c>
      <c r="B1158" s="363" t="s">
        <v>225</v>
      </c>
      <c r="C1158" s="363" t="s">
        <v>1451</v>
      </c>
      <c r="D1158" s="368">
        <v>46129.0</v>
      </c>
      <c r="E1158" s="363" t="s">
        <v>4581</v>
      </c>
      <c r="F1158" s="363" t="s">
        <v>4582</v>
      </c>
      <c r="G1158" s="363" t="s">
        <v>4583</v>
      </c>
      <c r="H1158" s="363" t="s">
        <v>4584</v>
      </c>
      <c r="I1158" s="363" t="s">
        <v>4585</v>
      </c>
      <c r="J1158" s="363" t="s">
        <v>4586</v>
      </c>
      <c r="K1158" s="363" t="s">
        <v>4587</v>
      </c>
      <c r="L1158" s="363"/>
      <c r="M1158" s="369">
        <v>46205.85051898148</v>
      </c>
      <c r="N1158" s="363"/>
      <c r="O1158" s="363" t="b">
        <v>0</v>
      </c>
      <c r="P1158" s="363"/>
    </row>
    <row r="1159">
      <c r="A1159" s="363" t="s">
        <v>62</v>
      </c>
      <c r="B1159" s="363" t="s">
        <v>225</v>
      </c>
      <c r="C1159" s="363" t="s">
        <v>1451</v>
      </c>
      <c r="D1159" s="368">
        <v>46126.0</v>
      </c>
      <c r="E1159" s="363" t="s">
        <v>4589</v>
      </c>
      <c r="F1159" s="363" t="s">
        <v>4590</v>
      </c>
      <c r="G1159" s="363" t="s">
        <v>4591</v>
      </c>
      <c r="H1159" s="363" t="s">
        <v>4592</v>
      </c>
      <c r="I1159" s="363" t="s">
        <v>2526</v>
      </c>
      <c r="J1159" s="363" t="s">
        <v>4595</v>
      </c>
      <c r="K1159" s="363" t="s">
        <v>4596</v>
      </c>
      <c r="L1159" s="363"/>
      <c r="M1159" s="369">
        <v>46155.95913042824</v>
      </c>
      <c r="N1159" s="363"/>
      <c r="O1159" s="363" t="b">
        <v>0</v>
      </c>
      <c r="P1159" s="363"/>
    </row>
    <row r="1160">
      <c r="A1160" s="363" t="s">
        <v>17</v>
      </c>
      <c r="B1160" s="363" t="s">
        <v>25</v>
      </c>
      <c r="C1160" s="363" t="s">
        <v>1527</v>
      </c>
      <c r="D1160" s="368">
        <v>46209.0</v>
      </c>
      <c r="E1160" s="363" t="s">
        <v>4599</v>
      </c>
      <c r="F1160" s="363" t="s">
        <v>4601</v>
      </c>
      <c r="G1160" s="363" t="s">
        <v>4602</v>
      </c>
      <c r="H1160" s="363" t="s">
        <v>4603</v>
      </c>
      <c r="I1160" s="363" t="s">
        <v>4604</v>
      </c>
      <c r="J1160" s="363" t="s">
        <v>4605</v>
      </c>
      <c r="K1160" s="363"/>
      <c r="L1160" s="363"/>
      <c r="M1160" s="369"/>
      <c r="N1160" s="363"/>
      <c r="O1160" s="363"/>
      <c r="P1160" s="363"/>
    </row>
    <row r="1161">
      <c r="A1161" s="363" t="s">
        <v>17</v>
      </c>
      <c r="B1161" s="363" t="s">
        <v>53</v>
      </c>
      <c r="C1161" s="363" t="s">
        <v>1451</v>
      </c>
      <c r="D1161" s="368">
        <v>46038.0</v>
      </c>
      <c r="E1161" s="363" t="s">
        <v>3657</v>
      </c>
      <c r="F1161" s="363" t="s">
        <v>3658</v>
      </c>
      <c r="G1161" s="363" t="s">
        <v>4608</v>
      </c>
      <c r="H1161" s="363" t="s">
        <v>3661</v>
      </c>
      <c r="I1161" s="363" t="s">
        <v>1467</v>
      </c>
      <c r="J1161" s="363" t="s">
        <v>3663</v>
      </c>
      <c r="K1161" s="363" t="s">
        <v>4611</v>
      </c>
      <c r="L1161" s="363"/>
      <c r="M1161" s="369">
        <v>46183.86926049768</v>
      </c>
      <c r="N1161" s="363"/>
      <c r="O1161" s="363" t="b">
        <v>0</v>
      </c>
      <c r="P1161" s="363"/>
    </row>
    <row r="1162">
      <c r="A1162" s="363" t="s">
        <v>22</v>
      </c>
      <c r="B1162" s="363" t="s">
        <v>225</v>
      </c>
      <c r="C1162" s="363" t="s">
        <v>1451</v>
      </c>
      <c r="D1162" s="368">
        <v>46210.0</v>
      </c>
      <c r="E1162" s="363" t="s">
        <v>4616</v>
      </c>
      <c r="F1162" s="363" t="s">
        <v>4619</v>
      </c>
      <c r="G1162" s="363" t="s">
        <v>4620</v>
      </c>
      <c r="H1162" s="363" t="s">
        <v>4621</v>
      </c>
      <c r="I1162" s="363" t="s">
        <v>548</v>
      </c>
      <c r="J1162" s="363" t="s">
        <v>4623</v>
      </c>
      <c r="K1162" s="363" t="s">
        <v>4624</v>
      </c>
      <c r="L1162" s="363"/>
      <c r="M1162" s="369">
        <v>46217.853896851855</v>
      </c>
      <c r="N1162" s="363"/>
      <c r="O1162" s="363"/>
      <c r="P1162" s="363"/>
    </row>
    <row r="1163">
      <c r="A1163" s="363" t="s">
        <v>17</v>
      </c>
      <c r="B1163" s="363" t="s">
        <v>53</v>
      </c>
      <c r="C1163" s="363" t="s">
        <v>1451</v>
      </c>
      <c r="D1163" s="368">
        <v>46198.0</v>
      </c>
      <c r="E1163" s="363" t="s">
        <v>4628</v>
      </c>
      <c r="F1163" s="363" t="s">
        <v>4630</v>
      </c>
      <c r="G1163" s="363" t="s">
        <v>4631</v>
      </c>
      <c r="H1163" s="363" t="s">
        <v>4632</v>
      </c>
      <c r="I1163" s="363" t="s">
        <v>686</v>
      </c>
      <c r="J1163" s="363" t="s">
        <v>4634</v>
      </c>
      <c r="K1163" s="363" t="s">
        <v>4635</v>
      </c>
      <c r="L1163" s="363"/>
      <c r="M1163" s="369">
        <v>46218.68578679398</v>
      </c>
      <c r="N1163" s="363"/>
      <c r="O1163" s="363"/>
      <c r="P1163" s="363"/>
    </row>
    <row r="1164">
      <c r="A1164" s="363" t="s">
        <v>410</v>
      </c>
      <c r="B1164" s="363" t="s">
        <v>53</v>
      </c>
      <c r="C1164" s="363" t="s">
        <v>1451</v>
      </c>
      <c r="D1164" s="368">
        <v>46216.0</v>
      </c>
      <c r="E1164" s="363" t="s">
        <v>4640</v>
      </c>
      <c r="F1164" s="363" t="s">
        <v>4642</v>
      </c>
      <c r="G1164" s="363" t="s">
        <v>4643</v>
      </c>
      <c r="H1164" s="363" t="s">
        <v>4644</v>
      </c>
      <c r="I1164" s="363" t="s">
        <v>1170</v>
      </c>
      <c r="J1164" s="363" t="s">
        <v>4646</v>
      </c>
      <c r="K1164" s="363" t="s">
        <v>4648</v>
      </c>
      <c r="L1164" s="363"/>
      <c r="M1164" s="369">
        <v>46219.80051747685</v>
      </c>
      <c r="N1164" s="363"/>
      <c r="O1164" s="363"/>
      <c r="P1164" s="363"/>
    </row>
    <row r="1165">
      <c r="A1165" s="363" t="s">
        <v>17</v>
      </c>
      <c r="B1165" s="363" t="s">
        <v>53</v>
      </c>
      <c r="C1165" s="363" t="s">
        <v>1451</v>
      </c>
      <c r="D1165" s="368">
        <v>46188.0</v>
      </c>
      <c r="E1165" s="363" t="s">
        <v>4653</v>
      </c>
      <c r="F1165" s="363" t="s">
        <v>4654</v>
      </c>
      <c r="G1165" s="363">
        <v>7.08263323E9</v>
      </c>
      <c r="H1165" s="363" t="s">
        <v>4655</v>
      </c>
      <c r="I1165" s="363" t="s">
        <v>4183</v>
      </c>
      <c r="J1165" s="363" t="s">
        <v>4657</v>
      </c>
      <c r="K1165" s="363" t="s">
        <v>4658</v>
      </c>
      <c r="L1165" s="363"/>
      <c r="M1165" s="369">
        <v>46189.781573113425</v>
      </c>
      <c r="N1165" s="363"/>
      <c r="O1165" s="363"/>
      <c r="P1165" s="363"/>
    </row>
    <row r="1166">
      <c r="A1166" s="363" t="s">
        <v>410</v>
      </c>
      <c r="B1166" s="363" t="s">
        <v>53</v>
      </c>
      <c r="C1166" s="363" t="s">
        <v>1451</v>
      </c>
      <c r="D1166" s="368">
        <v>46143.0</v>
      </c>
      <c r="E1166" s="363" t="s">
        <v>4661</v>
      </c>
      <c r="F1166" s="363" t="s">
        <v>4662</v>
      </c>
      <c r="G1166" s="363" t="s">
        <v>4663</v>
      </c>
      <c r="H1166" s="363" t="s">
        <v>4664</v>
      </c>
      <c r="I1166" s="363" t="s">
        <v>290</v>
      </c>
      <c r="J1166" s="363" t="s">
        <v>4665</v>
      </c>
      <c r="K1166" s="363" t="s">
        <v>4666</v>
      </c>
      <c r="L1166" s="363"/>
      <c r="M1166" s="369">
        <v>46175.81948759259</v>
      </c>
      <c r="N1166" s="363"/>
      <c r="O1166" s="363" t="b">
        <v>0</v>
      </c>
      <c r="P1166" s="363"/>
    </row>
    <row r="1167">
      <c r="A1167" s="363" t="s">
        <v>62</v>
      </c>
      <c r="B1167" s="363" t="s">
        <v>53</v>
      </c>
      <c r="C1167" s="363" t="s">
        <v>3021</v>
      </c>
      <c r="D1167" s="368">
        <v>46121.0</v>
      </c>
      <c r="E1167" s="363" t="s">
        <v>4668</v>
      </c>
      <c r="F1167" s="363" t="s">
        <v>4669</v>
      </c>
      <c r="G1167" s="363" t="s">
        <v>4670</v>
      </c>
      <c r="H1167" s="363" t="s">
        <v>4671</v>
      </c>
      <c r="I1167" s="363" t="s">
        <v>762</v>
      </c>
      <c r="J1167" s="363" t="s">
        <v>4674</v>
      </c>
      <c r="K1167" s="363" t="s">
        <v>4675</v>
      </c>
      <c r="L1167" s="363"/>
      <c r="M1167" s="369">
        <v>46122.88462332176</v>
      </c>
      <c r="N1167" s="363"/>
      <c r="O1167" s="363" t="b">
        <v>0</v>
      </c>
      <c r="P1167" s="363"/>
    </row>
    <row r="1168">
      <c r="A1168" s="363" t="s">
        <v>62</v>
      </c>
      <c r="B1168" s="363" t="s">
        <v>53</v>
      </c>
      <c r="C1168" s="363" t="s">
        <v>1451</v>
      </c>
      <c r="D1168" s="368">
        <v>45985.0</v>
      </c>
      <c r="E1168" s="363" t="s">
        <v>3404</v>
      </c>
      <c r="F1168" s="363" t="s">
        <v>3406</v>
      </c>
      <c r="G1168" s="363" t="s">
        <v>3407</v>
      </c>
      <c r="H1168" s="363" t="s">
        <v>3408</v>
      </c>
      <c r="I1168" s="363" t="s">
        <v>2930</v>
      </c>
      <c r="J1168" s="363" t="s">
        <v>3409</v>
      </c>
      <c r="K1168" s="363" t="s">
        <v>4681</v>
      </c>
      <c r="L1168" s="363"/>
      <c r="M1168" s="369"/>
      <c r="N1168" s="363"/>
      <c r="O1168" s="363" t="b">
        <v>0</v>
      </c>
      <c r="P1168" s="363"/>
    </row>
    <row r="1169">
      <c r="A1169" s="363" t="s">
        <v>62</v>
      </c>
      <c r="B1169" s="363" t="s">
        <v>53</v>
      </c>
      <c r="C1169" s="363" t="s">
        <v>1451</v>
      </c>
      <c r="D1169" s="368">
        <v>45981.0</v>
      </c>
      <c r="E1169" s="363" t="s">
        <v>4684</v>
      </c>
      <c r="F1169" s="363" t="s">
        <v>4685</v>
      </c>
      <c r="G1169" s="363" t="s">
        <v>4686</v>
      </c>
      <c r="H1169" s="363" t="s">
        <v>4687</v>
      </c>
      <c r="I1169" s="363" t="s">
        <v>69</v>
      </c>
      <c r="J1169" s="363" t="s">
        <v>4688</v>
      </c>
      <c r="K1169" s="363" t="s">
        <v>4689</v>
      </c>
      <c r="L1169" s="363"/>
      <c r="M1169" s="369"/>
      <c r="N1169" s="363"/>
      <c r="O1169" s="363" t="b">
        <v>0</v>
      </c>
      <c r="P1169" s="363"/>
    </row>
    <row r="1170">
      <c r="A1170" s="363" t="s">
        <v>410</v>
      </c>
      <c r="B1170" s="363" t="s">
        <v>53</v>
      </c>
      <c r="C1170" s="363" t="s">
        <v>1451</v>
      </c>
      <c r="D1170" s="368">
        <v>45847.0</v>
      </c>
      <c r="E1170" s="363" t="s">
        <v>4691</v>
      </c>
      <c r="F1170" s="363" t="s">
        <v>4692</v>
      </c>
      <c r="G1170" s="363" t="s">
        <v>4693</v>
      </c>
      <c r="H1170" s="363" t="s">
        <v>4694</v>
      </c>
      <c r="I1170" s="363" t="s">
        <v>4695</v>
      </c>
      <c r="J1170" s="363" t="s">
        <v>4333</v>
      </c>
      <c r="K1170" s="363" t="s">
        <v>4697</v>
      </c>
      <c r="L1170" s="363"/>
      <c r="M1170" s="369">
        <v>46183.84239305556</v>
      </c>
      <c r="N1170" s="363"/>
      <c r="O1170" s="363" t="b">
        <v>0</v>
      </c>
      <c r="P1170" s="363"/>
    </row>
    <row r="1171">
      <c r="A1171" s="363" t="s">
        <v>22</v>
      </c>
      <c r="B1171" s="363" t="s">
        <v>53</v>
      </c>
      <c r="C1171" s="363" t="s">
        <v>1451</v>
      </c>
      <c r="D1171" s="368">
        <v>45761.0</v>
      </c>
      <c r="E1171" s="363" t="s">
        <v>4700</v>
      </c>
      <c r="F1171" s="363" t="s">
        <v>4701</v>
      </c>
      <c r="G1171" s="363" t="s">
        <v>4702</v>
      </c>
      <c r="H1171" s="363" t="s">
        <v>4703</v>
      </c>
      <c r="I1171" s="363" t="s">
        <v>2096</v>
      </c>
      <c r="J1171" s="363" t="s">
        <v>4704</v>
      </c>
      <c r="K1171" s="363" t="s">
        <v>4705</v>
      </c>
      <c r="L1171" s="363"/>
      <c r="M1171" s="369"/>
      <c r="N1171" s="363"/>
      <c r="O1171" s="363" t="b">
        <v>0</v>
      </c>
      <c r="P1171" s="363"/>
    </row>
    <row r="1172">
      <c r="A1172" s="363" t="s">
        <v>22</v>
      </c>
      <c r="B1172" s="363" t="s">
        <v>53</v>
      </c>
      <c r="C1172" s="363" t="s">
        <v>1451</v>
      </c>
      <c r="D1172" s="368">
        <v>46055.0</v>
      </c>
      <c r="E1172" s="363" t="s">
        <v>3769</v>
      </c>
      <c r="F1172" s="363" t="s">
        <v>3770</v>
      </c>
      <c r="G1172" s="363" t="s">
        <v>3771</v>
      </c>
      <c r="H1172" s="363" t="s">
        <v>3773</v>
      </c>
      <c r="I1172" s="363" t="s">
        <v>1146</v>
      </c>
      <c r="J1172" s="363" t="s">
        <v>4189</v>
      </c>
      <c r="K1172" s="363" t="s">
        <v>4712</v>
      </c>
      <c r="L1172" s="363"/>
      <c r="M1172" s="369">
        <v>46183.89228270833</v>
      </c>
      <c r="N1172" s="363"/>
      <c r="O1172" s="363"/>
      <c r="P1172" s="363"/>
    </row>
    <row r="1173">
      <c r="A1173" s="363" t="s">
        <v>17</v>
      </c>
      <c r="B1173" s="363" t="s">
        <v>53</v>
      </c>
      <c r="C1173" s="363" t="s">
        <v>1451</v>
      </c>
      <c r="D1173" s="368">
        <v>46051.0</v>
      </c>
      <c r="E1173" s="363" t="s">
        <v>3866</v>
      </c>
      <c r="F1173" s="363" t="s">
        <v>3867</v>
      </c>
      <c r="G1173" s="363" t="s">
        <v>3868</v>
      </c>
      <c r="H1173" s="363" t="s">
        <v>3869</v>
      </c>
      <c r="I1173" s="363" t="s">
        <v>1244</v>
      </c>
      <c r="J1173" s="363" t="s">
        <v>3870</v>
      </c>
      <c r="K1173" s="363" t="s">
        <v>4718</v>
      </c>
      <c r="L1173" s="363"/>
      <c r="M1173" s="369">
        <v>46177.83511255787</v>
      </c>
      <c r="N1173" s="363"/>
      <c r="O1173" s="363"/>
      <c r="P1173" s="363"/>
    </row>
    <row r="1174">
      <c r="A1174" s="363" t="s">
        <v>62</v>
      </c>
      <c r="B1174" s="363" t="s">
        <v>53</v>
      </c>
      <c r="C1174" s="363" t="s">
        <v>1451</v>
      </c>
      <c r="D1174" s="368">
        <v>45944.0</v>
      </c>
      <c r="E1174" s="363" t="s">
        <v>3298</v>
      </c>
      <c r="F1174" s="363" t="s">
        <v>3299</v>
      </c>
      <c r="G1174" s="363" t="s">
        <v>3300</v>
      </c>
      <c r="H1174" s="363" t="s">
        <v>3301</v>
      </c>
      <c r="I1174" s="363" t="s">
        <v>3302</v>
      </c>
      <c r="J1174" s="363" t="s">
        <v>3304</v>
      </c>
      <c r="K1174" s="363" t="s">
        <v>4730</v>
      </c>
      <c r="L1174" s="363"/>
      <c r="M1174" s="369"/>
      <c r="N1174" s="363"/>
      <c r="O1174" s="363" t="b">
        <v>0</v>
      </c>
      <c r="P1174" s="363"/>
    </row>
    <row r="1175">
      <c r="A1175" s="363" t="s">
        <v>22</v>
      </c>
      <c r="B1175" s="363" t="s">
        <v>53</v>
      </c>
      <c r="C1175" s="363" t="s">
        <v>1451</v>
      </c>
      <c r="D1175" s="368">
        <v>45895.0</v>
      </c>
      <c r="E1175" s="363" t="s">
        <v>4737</v>
      </c>
      <c r="F1175" s="363" t="s">
        <v>4738</v>
      </c>
      <c r="G1175" s="363" t="s">
        <v>4739</v>
      </c>
      <c r="H1175" s="363" t="s">
        <v>4741</v>
      </c>
      <c r="I1175" s="363" t="s">
        <v>123</v>
      </c>
      <c r="J1175" s="363" t="s">
        <v>4743</v>
      </c>
      <c r="K1175" s="363" t="s">
        <v>4744</v>
      </c>
      <c r="L1175" s="363"/>
      <c r="M1175" s="369"/>
      <c r="N1175" s="363"/>
      <c r="O1175" s="363" t="b">
        <v>0</v>
      </c>
      <c r="P1175" s="363"/>
    </row>
    <row r="1176">
      <c r="A1176" s="363" t="s">
        <v>22</v>
      </c>
      <c r="B1176" s="363" t="s">
        <v>53</v>
      </c>
      <c r="C1176" s="363" t="s">
        <v>1451</v>
      </c>
      <c r="D1176" s="368">
        <v>45880.0</v>
      </c>
      <c r="E1176" s="363" t="s">
        <v>4751</v>
      </c>
      <c r="F1176" s="363" t="s">
        <v>4752</v>
      </c>
      <c r="G1176" s="363" t="s">
        <v>4754</v>
      </c>
      <c r="H1176" s="363" t="s">
        <v>4757</v>
      </c>
      <c r="I1176" s="363" t="s">
        <v>1760</v>
      </c>
      <c r="J1176" s="363" t="s">
        <v>4758</v>
      </c>
      <c r="K1176" s="363" t="s">
        <v>4760</v>
      </c>
      <c r="L1176" s="363"/>
      <c r="M1176" s="369"/>
      <c r="N1176" s="363"/>
      <c r="O1176" s="363" t="b">
        <v>0</v>
      </c>
      <c r="P1176" s="363"/>
    </row>
    <row r="1177">
      <c r="A1177" s="363" t="s">
        <v>410</v>
      </c>
      <c r="B1177" s="363" t="s">
        <v>53</v>
      </c>
      <c r="C1177" s="363" t="s">
        <v>1451</v>
      </c>
      <c r="D1177" s="368">
        <v>45873.0</v>
      </c>
      <c r="E1177" s="363" t="s">
        <v>4767</v>
      </c>
      <c r="F1177" s="363" t="s">
        <v>4768</v>
      </c>
      <c r="G1177" s="363" t="s">
        <v>4769</v>
      </c>
      <c r="H1177" s="363" t="s">
        <v>4771</v>
      </c>
      <c r="I1177" s="363" t="s">
        <v>3372</v>
      </c>
      <c r="J1177" s="363" t="s">
        <v>4772</v>
      </c>
      <c r="K1177" s="363" t="s">
        <v>4774</v>
      </c>
      <c r="L1177" s="363"/>
      <c r="M1177" s="369">
        <v>46112.895914768524</v>
      </c>
      <c r="N1177" s="363"/>
      <c r="O1177" s="363" t="b">
        <v>0</v>
      </c>
      <c r="P1177" s="363"/>
    </row>
    <row r="1178">
      <c r="A1178" s="363" t="s">
        <v>22</v>
      </c>
      <c r="B1178" s="363" t="s">
        <v>53</v>
      </c>
      <c r="C1178" s="363" t="s">
        <v>1451</v>
      </c>
      <c r="D1178" s="368">
        <v>46114.0</v>
      </c>
      <c r="E1178" s="363" t="s">
        <v>4779</v>
      </c>
      <c r="F1178" s="363" t="s">
        <v>4780</v>
      </c>
      <c r="G1178" s="363" t="s">
        <v>4781</v>
      </c>
      <c r="H1178" s="363" t="s">
        <v>4782</v>
      </c>
      <c r="I1178" s="363" t="s">
        <v>174</v>
      </c>
      <c r="J1178" s="363" t="s">
        <v>4784</v>
      </c>
      <c r="K1178" s="363" t="s">
        <v>4785</v>
      </c>
      <c r="L1178" s="363"/>
      <c r="M1178" s="369">
        <v>46160.933910300926</v>
      </c>
      <c r="N1178" s="363"/>
      <c r="O1178" s="363" t="b">
        <v>0</v>
      </c>
      <c r="P1178" s="363"/>
    </row>
    <row r="1179">
      <c r="A1179" s="363" t="s">
        <v>22</v>
      </c>
      <c r="B1179" s="363" t="s">
        <v>53</v>
      </c>
      <c r="C1179" s="363" t="s">
        <v>1451</v>
      </c>
      <c r="D1179" s="368">
        <v>46100.0</v>
      </c>
      <c r="E1179" s="363" t="s">
        <v>829</v>
      </c>
      <c r="F1179" s="363" t="s">
        <v>4792</v>
      </c>
      <c r="G1179" s="363" t="s">
        <v>4793</v>
      </c>
      <c r="H1179" s="363" t="s">
        <v>4794</v>
      </c>
      <c r="I1179" s="363" t="s">
        <v>1760</v>
      </c>
      <c r="J1179" s="363" t="s">
        <v>833</v>
      </c>
      <c r="K1179" s="363" t="s">
        <v>4797</v>
      </c>
      <c r="L1179" s="363"/>
      <c r="M1179" s="369">
        <v>46146.82493420139</v>
      </c>
      <c r="N1179" s="363"/>
      <c r="O1179" s="363" t="b">
        <v>0</v>
      </c>
      <c r="P1179" s="363"/>
    </row>
    <row r="1180">
      <c r="A1180" s="363" t="s">
        <v>155</v>
      </c>
      <c r="B1180" s="363" t="s">
        <v>53</v>
      </c>
      <c r="C1180" s="363" t="s">
        <v>1451</v>
      </c>
      <c r="D1180" s="368">
        <v>46220.0</v>
      </c>
      <c r="E1180" s="363" t="s">
        <v>4798</v>
      </c>
      <c r="F1180" s="363" t="s">
        <v>4799</v>
      </c>
      <c r="G1180" s="363">
        <v>8.135336599E9</v>
      </c>
      <c r="H1180" s="363" t="s">
        <v>4800</v>
      </c>
      <c r="I1180" s="363" t="s">
        <v>115</v>
      </c>
      <c r="J1180" s="363" t="s">
        <v>4801</v>
      </c>
      <c r="K1180" s="363" t="s">
        <v>4802</v>
      </c>
      <c r="L1180" s="363"/>
      <c r="M1180" s="369">
        <v>46223.80770564815</v>
      </c>
      <c r="N1180" s="363"/>
      <c r="O1180" s="363"/>
      <c r="P1180" s="363"/>
    </row>
    <row r="1181">
      <c r="A1181" s="363" t="s">
        <v>155</v>
      </c>
      <c r="B1181" s="363" t="s">
        <v>25</v>
      </c>
      <c r="C1181" s="363" t="s">
        <v>3021</v>
      </c>
      <c r="D1181" s="368">
        <v>46220.0</v>
      </c>
      <c r="E1181" s="363" t="s">
        <v>4805</v>
      </c>
      <c r="F1181" s="363" t="s">
        <v>4806</v>
      </c>
      <c r="G1181" s="363" t="s">
        <v>4807</v>
      </c>
      <c r="H1181" s="363" t="s">
        <v>4808</v>
      </c>
      <c r="I1181" s="363" t="s">
        <v>2192</v>
      </c>
      <c r="J1181" s="363" t="s">
        <v>4809</v>
      </c>
      <c r="K1181" s="363" t="s">
        <v>4810</v>
      </c>
      <c r="L1181" s="363"/>
      <c r="M1181" s="369">
        <v>46223.94697377315</v>
      </c>
      <c r="N1181" s="363"/>
      <c r="O1181" s="363"/>
      <c r="P1181" s="363"/>
    </row>
    <row r="1182">
      <c r="A1182" s="363" t="s">
        <v>410</v>
      </c>
      <c r="B1182" s="363" t="s">
        <v>53</v>
      </c>
      <c r="C1182" s="363" t="s">
        <v>1451</v>
      </c>
      <c r="D1182" s="366">
        <v>46073.0</v>
      </c>
      <c r="E1182" s="363" t="s">
        <v>4811</v>
      </c>
      <c r="F1182" s="363" t="s">
        <v>4812</v>
      </c>
      <c r="G1182" s="363" t="s">
        <v>4813</v>
      </c>
      <c r="H1182" s="363" t="s">
        <v>4814</v>
      </c>
      <c r="I1182" s="371" t="s">
        <v>558</v>
      </c>
      <c r="J1182" s="363" t="s">
        <v>4819</v>
      </c>
      <c r="K1182" s="363" t="s">
        <v>4820</v>
      </c>
      <c r="L1182" s="365"/>
      <c r="M1182" s="423">
        <v>46218.90656950232</v>
      </c>
      <c r="N1182" s="363"/>
      <c r="O1182" s="363" t="b">
        <v>0</v>
      </c>
      <c r="P1182" s="363" t="s">
        <v>86</v>
      </c>
    </row>
    <row r="1183">
      <c r="A1183" s="363" t="s">
        <v>62</v>
      </c>
      <c r="B1183" s="363" t="s">
        <v>53</v>
      </c>
      <c r="C1183" s="363" t="s">
        <v>1451</v>
      </c>
      <c r="D1183" s="368">
        <v>46073.0</v>
      </c>
      <c r="E1183" s="363" t="s">
        <v>4401</v>
      </c>
      <c r="F1183" s="363" t="s">
        <v>4403</v>
      </c>
      <c r="G1183" s="363" t="s">
        <v>4405</v>
      </c>
      <c r="H1183" s="363" t="s">
        <v>4408</v>
      </c>
      <c r="I1183" s="363" t="s">
        <v>445</v>
      </c>
      <c r="J1183" s="363" t="s">
        <v>4410</v>
      </c>
      <c r="K1183" s="363" t="s">
        <v>4831</v>
      </c>
      <c r="L1183" s="363"/>
      <c r="M1183" s="369">
        <v>46084.891599062496</v>
      </c>
      <c r="N1183" s="363"/>
      <c r="O1183" s="363" t="b">
        <v>0</v>
      </c>
      <c r="P1183" s="363"/>
    </row>
    <row r="1184">
      <c r="A1184" s="363" t="s">
        <v>135</v>
      </c>
      <c r="B1184" s="363" t="s">
        <v>25</v>
      </c>
      <c r="C1184" s="363" t="s">
        <v>1451</v>
      </c>
      <c r="D1184" s="368">
        <v>46197.0</v>
      </c>
      <c r="E1184" s="363" t="s">
        <v>4832</v>
      </c>
      <c r="F1184" s="363" t="s">
        <v>4834</v>
      </c>
      <c r="G1184" s="363" t="s">
        <v>4835</v>
      </c>
      <c r="H1184" s="363" t="s">
        <v>4836</v>
      </c>
      <c r="I1184" s="363" t="s">
        <v>4837</v>
      </c>
      <c r="J1184" s="363" t="s">
        <v>4838</v>
      </c>
      <c r="K1184" s="363"/>
      <c r="L1184" s="363"/>
      <c r="M1184" s="369"/>
      <c r="N1184" s="363"/>
      <c r="O1184" s="363"/>
      <c r="P1184" s="363"/>
    </row>
    <row r="1185">
      <c r="A1185" s="363" t="s">
        <v>17</v>
      </c>
      <c r="B1185" s="363" t="s">
        <v>53</v>
      </c>
      <c r="C1185" s="363" t="s">
        <v>1451</v>
      </c>
      <c r="D1185" s="368">
        <v>46111.0</v>
      </c>
      <c r="E1185" s="363" t="s">
        <v>4840</v>
      </c>
      <c r="F1185" s="363" t="s">
        <v>4841</v>
      </c>
      <c r="G1185" s="363">
        <v>8.477076869E9</v>
      </c>
      <c r="H1185" s="363" t="s">
        <v>4842</v>
      </c>
      <c r="I1185" s="363" t="s">
        <v>4227</v>
      </c>
      <c r="J1185" s="363" t="s">
        <v>4843</v>
      </c>
      <c r="K1185" s="363" t="s">
        <v>4844</v>
      </c>
      <c r="L1185" s="363"/>
      <c r="M1185" s="369">
        <v>46184.8634702662</v>
      </c>
      <c r="N1185" s="363"/>
      <c r="O1185" s="363" t="b">
        <v>0</v>
      </c>
      <c r="P1185" s="363"/>
    </row>
    <row r="1186">
      <c r="A1186" s="363" t="s">
        <v>22</v>
      </c>
      <c r="B1186" s="363" t="s">
        <v>23</v>
      </c>
      <c r="C1186" s="363" t="s">
        <v>1451</v>
      </c>
      <c r="D1186" s="379">
        <v>46225.0</v>
      </c>
      <c r="E1186" s="363" t="s">
        <v>4846</v>
      </c>
      <c r="F1186" s="363" t="s">
        <v>4847</v>
      </c>
      <c r="G1186" s="363" t="s">
        <v>4848</v>
      </c>
      <c r="H1186" s="363" t="s">
        <v>4849</v>
      </c>
      <c r="I1186" s="371" t="s">
        <v>1831</v>
      </c>
      <c r="J1186" s="363" t="s">
        <v>4854</v>
      </c>
      <c r="K1186" s="363" t="s">
        <v>4856</v>
      </c>
      <c r="L1186" s="363"/>
      <c r="M1186" s="368">
        <v>46231.779421342595</v>
      </c>
      <c r="N1186" s="363"/>
      <c r="O1186" s="363"/>
      <c r="P1186" s="363"/>
    </row>
    <row r="1187">
      <c r="A1187" s="363" t="s">
        <v>62</v>
      </c>
      <c r="B1187" s="363" t="s">
        <v>23</v>
      </c>
      <c r="C1187" s="363" t="s">
        <v>3021</v>
      </c>
      <c r="D1187" s="368">
        <v>46120.0</v>
      </c>
      <c r="E1187" s="363" t="s">
        <v>4857</v>
      </c>
      <c r="F1187" s="363" t="s">
        <v>4858</v>
      </c>
      <c r="G1187" s="363" t="s">
        <v>4859</v>
      </c>
      <c r="H1187" s="363" t="s">
        <v>4860</v>
      </c>
      <c r="I1187" s="363" t="s">
        <v>1181</v>
      </c>
      <c r="J1187" s="363" t="s">
        <v>4864</v>
      </c>
      <c r="K1187" s="363" t="s">
        <v>4865</v>
      </c>
      <c r="L1187" s="363"/>
      <c r="M1187" s="369">
        <v>46232.757123773146</v>
      </c>
      <c r="N1187" s="363"/>
      <c r="O1187" s="363" t="b">
        <v>0</v>
      </c>
      <c r="P1187" s="363"/>
    </row>
    <row r="1188">
      <c r="A1188" s="363" t="s">
        <v>155</v>
      </c>
      <c r="B1188" s="363" t="s">
        <v>23</v>
      </c>
      <c r="C1188" s="363" t="s">
        <v>1451</v>
      </c>
      <c r="D1188" s="368">
        <v>46233.0</v>
      </c>
      <c r="E1188" s="363" t="s">
        <v>4873</v>
      </c>
      <c r="F1188" s="363" t="s">
        <v>4874</v>
      </c>
      <c r="G1188" s="363" t="s">
        <v>4875</v>
      </c>
      <c r="H1188" s="363" t="s">
        <v>4877</v>
      </c>
      <c r="I1188" s="363" t="s">
        <v>4879</v>
      </c>
      <c r="J1188" s="363" t="s">
        <v>4882</v>
      </c>
      <c r="K1188" s="363"/>
      <c r="L1188" s="363"/>
      <c r="M1188" s="369"/>
      <c r="N1188" s="363"/>
      <c r="O1188" s="363"/>
      <c r="P1188" s="363"/>
    </row>
    <row r="1189">
      <c r="A1189" s="363" t="s">
        <v>117</v>
      </c>
      <c r="B1189" s="363" t="s">
        <v>53</v>
      </c>
      <c r="C1189" s="363" t="s">
        <v>1451</v>
      </c>
      <c r="D1189" s="368">
        <v>46196.0</v>
      </c>
      <c r="E1189" s="363" t="s">
        <v>4889</v>
      </c>
      <c r="F1189" s="363" t="s">
        <v>4890</v>
      </c>
      <c r="G1189" s="363" t="s">
        <v>4891</v>
      </c>
      <c r="H1189" s="363" t="s">
        <v>4892</v>
      </c>
      <c r="I1189" s="363" t="s">
        <v>4893</v>
      </c>
      <c r="J1189" s="363" t="s">
        <v>4894</v>
      </c>
      <c r="K1189" s="363" t="s">
        <v>4895</v>
      </c>
      <c r="L1189" s="363"/>
      <c r="M1189" s="369">
        <v>46237.806406435186</v>
      </c>
      <c r="N1189" s="363"/>
      <c r="O1189" s="363"/>
      <c r="P1189" s="363"/>
    </row>
    <row r="1190">
      <c r="A1190" s="363" t="s">
        <v>155</v>
      </c>
      <c r="B1190" s="363" t="s">
        <v>225</v>
      </c>
      <c r="C1190" s="363" t="s">
        <v>1451</v>
      </c>
      <c r="D1190" s="368">
        <v>46220.0</v>
      </c>
      <c r="E1190" s="363" t="s">
        <v>4905</v>
      </c>
      <c r="F1190" s="363" t="s">
        <v>4906</v>
      </c>
      <c r="G1190" s="363" t="s">
        <v>4907</v>
      </c>
      <c r="H1190" s="363" t="s">
        <v>4909</v>
      </c>
      <c r="I1190" s="363" t="s">
        <v>3878</v>
      </c>
      <c r="J1190" s="363" t="s">
        <v>4912</v>
      </c>
      <c r="K1190" s="363"/>
      <c r="L1190" s="363"/>
      <c r="M1190" s="369"/>
      <c r="N1190" s="363"/>
      <c r="O1190" s="363"/>
      <c r="P1190" s="363"/>
    </row>
    <row r="1191">
      <c r="A1191" s="363" t="s">
        <v>155</v>
      </c>
      <c r="B1191" s="363" t="s">
        <v>225</v>
      </c>
      <c r="C1191" s="363" t="s">
        <v>1451</v>
      </c>
      <c r="D1191" s="368">
        <v>46220.0</v>
      </c>
      <c r="E1191" s="363" t="s">
        <v>4919</v>
      </c>
      <c r="F1191" s="363" t="s">
        <v>4920</v>
      </c>
      <c r="G1191" s="363" t="s">
        <v>4921</v>
      </c>
      <c r="H1191" s="363" t="s">
        <v>4923</v>
      </c>
      <c r="I1191" s="363" t="s">
        <v>1076</v>
      </c>
      <c r="J1191" s="363" t="s">
        <v>4924</v>
      </c>
      <c r="K1191" s="363" t="s">
        <v>4926</v>
      </c>
      <c r="L1191" s="363"/>
      <c r="M1191" s="369">
        <v>46223.960742372685</v>
      </c>
      <c r="N1191" s="363"/>
      <c r="O1191" s="363"/>
      <c r="P1191" s="363"/>
    </row>
    <row r="1192">
      <c r="A1192" s="363" t="s">
        <v>224</v>
      </c>
      <c r="B1192" s="363" t="s">
        <v>225</v>
      </c>
      <c r="C1192" s="363" t="s">
        <v>1451</v>
      </c>
      <c r="D1192" s="368">
        <v>46231.0</v>
      </c>
      <c r="E1192" s="363" t="s">
        <v>4930</v>
      </c>
      <c r="F1192" s="363" t="s">
        <v>4931</v>
      </c>
      <c r="G1192" s="363" t="s">
        <v>4932</v>
      </c>
      <c r="H1192" s="363" t="s">
        <v>4934</v>
      </c>
      <c r="I1192" s="363" t="s">
        <v>4935</v>
      </c>
      <c r="J1192" s="363" t="s">
        <v>4937</v>
      </c>
      <c r="K1192" s="363"/>
      <c r="L1192" s="363"/>
      <c r="M1192" s="369"/>
      <c r="N1192" s="363"/>
      <c r="O1192" s="363"/>
      <c r="P1192" s="363"/>
    </row>
    <row r="1193">
      <c r="A1193" s="363" t="s">
        <v>22</v>
      </c>
      <c r="B1193" s="363" t="s">
        <v>53</v>
      </c>
      <c r="C1193" s="363" t="s">
        <v>1451</v>
      </c>
      <c r="D1193" s="368">
        <v>46114.0</v>
      </c>
      <c r="E1193" s="363" t="s">
        <v>4940</v>
      </c>
      <c r="F1193" s="363" t="s">
        <v>4941</v>
      </c>
      <c r="G1193" s="363" t="s">
        <v>4942</v>
      </c>
      <c r="H1193" s="363" t="s">
        <v>4943</v>
      </c>
      <c r="I1193" s="363" t="s">
        <v>762</v>
      </c>
      <c r="J1193" s="363" t="s">
        <v>4944</v>
      </c>
      <c r="K1193" s="363" t="s">
        <v>4946</v>
      </c>
      <c r="L1193" s="363"/>
      <c r="M1193" s="369">
        <v>46115.791213020835</v>
      </c>
      <c r="N1193" s="363"/>
      <c r="O1193" s="363" t="b">
        <v>0</v>
      </c>
      <c r="P1193" s="363"/>
    </row>
    <row r="1194">
      <c r="A1194" s="363" t="s">
        <v>117</v>
      </c>
      <c r="B1194" s="363" t="s">
        <v>53</v>
      </c>
      <c r="C1194" s="363" t="s">
        <v>1451</v>
      </c>
      <c r="D1194" s="368">
        <v>46239.0</v>
      </c>
      <c r="E1194" s="363" t="s">
        <v>4951</v>
      </c>
      <c r="F1194" s="363" t="s">
        <v>4952</v>
      </c>
      <c r="G1194" s="363" t="s">
        <v>4953</v>
      </c>
      <c r="H1194" s="363" t="s">
        <v>4955</v>
      </c>
      <c r="I1194" s="363" t="s">
        <v>4956</v>
      </c>
      <c r="J1194" s="363" t="s">
        <v>4957</v>
      </c>
      <c r="K1194" s="363" t="s">
        <v>4958</v>
      </c>
      <c r="L1194" s="363"/>
      <c r="M1194" s="369">
        <v>46240.73095159722</v>
      </c>
      <c r="N1194" s="363"/>
      <c r="O1194" s="363"/>
      <c r="P1194" s="363"/>
    </row>
    <row r="1195">
      <c r="A1195" s="363" t="s">
        <v>18</v>
      </c>
      <c r="B1195" s="363" t="s">
        <v>19</v>
      </c>
      <c r="C1195" s="363" t="s">
        <v>1451</v>
      </c>
      <c r="D1195" s="368">
        <v>46182.0</v>
      </c>
      <c r="E1195" s="363" t="s">
        <v>4960</v>
      </c>
      <c r="F1195" s="363" t="s">
        <v>4961</v>
      </c>
      <c r="G1195" s="363" t="s">
        <v>4962</v>
      </c>
      <c r="H1195" s="363" t="s">
        <v>4963</v>
      </c>
      <c r="I1195" s="363" t="s">
        <v>4964</v>
      </c>
      <c r="J1195" s="363" t="s">
        <v>4965</v>
      </c>
      <c r="K1195" s="363" t="s">
        <v>4966</v>
      </c>
      <c r="L1195" s="363"/>
      <c r="M1195" s="369">
        <v>46213.92159616898</v>
      </c>
      <c r="N1195" s="363"/>
      <c r="O1195" s="363"/>
      <c r="P1195" s="363"/>
    </row>
    <row r="1196">
      <c r="A1196" s="363" t="s">
        <v>224</v>
      </c>
      <c r="B1196" s="363" t="s">
        <v>225</v>
      </c>
      <c r="C1196" s="363" t="s">
        <v>1451</v>
      </c>
      <c r="D1196" s="368">
        <v>46239.0</v>
      </c>
      <c r="E1196" s="363" t="s">
        <v>4968</v>
      </c>
      <c r="F1196" s="363" t="s">
        <v>4969</v>
      </c>
      <c r="G1196" s="363" t="s">
        <v>4970</v>
      </c>
      <c r="H1196" s="363" t="s">
        <v>4971</v>
      </c>
      <c r="I1196" s="363" t="s">
        <v>843</v>
      </c>
      <c r="J1196" s="363" t="s">
        <v>4973</v>
      </c>
      <c r="K1196" s="363" t="s">
        <v>4975</v>
      </c>
      <c r="L1196" s="363"/>
      <c r="M1196" s="369">
        <v>46240.91997777778</v>
      </c>
      <c r="N1196" s="363"/>
      <c r="O1196" s="363"/>
      <c r="P1196" s="363"/>
    </row>
    <row r="1197">
      <c r="A1197" s="363" t="s">
        <v>62</v>
      </c>
      <c r="B1197" s="363" t="s">
        <v>23</v>
      </c>
      <c r="C1197" s="363" t="s">
        <v>3021</v>
      </c>
      <c r="D1197" s="368">
        <v>45982.0</v>
      </c>
      <c r="E1197" s="363" t="s">
        <v>3964</v>
      </c>
      <c r="F1197" s="363" t="s">
        <v>3965</v>
      </c>
      <c r="G1197" s="363" t="s">
        <v>3966</v>
      </c>
      <c r="H1197" s="363" t="s">
        <v>3970</v>
      </c>
      <c r="I1197" s="363" t="s">
        <v>1467</v>
      </c>
      <c r="J1197" s="363" t="s">
        <v>4981</v>
      </c>
      <c r="K1197" s="363"/>
      <c r="L1197" s="363"/>
      <c r="M1197" s="369"/>
      <c r="N1197" s="363" t="b">
        <v>0</v>
      </c>
      <c r="O1197" s="363"/>
      <c r="P1197" s="363"/>
    </row>
    <row r="1198">
      <c r="A1198" s="363" t="s">
        <v>22</v>
      </c>
      <c r="B1198" s="363" t="s">
        <v>19</v>
      </c>
      <c r="C1198" s="363" t="s">
        <v>1451</v>
      </c>
      <c r="D1198" s="368">
        <v>46163.0</v>
      </c>
      <c r="E1198" s="363" t="s">
        <v>4984</v>
      </c>
      <c r="F1198" s="363" t="s">
        <v>4985</v>
      </c>
      <c r="G1198" s="363" t="s">
        <v>4986</v>
      </c>
      <c r="H1198" s="363" t="s">
        <v>4988</v>
      </c>
      <c r="I1198" s="363" t="s">
        <v>115</v>
      </c>
      <c r="J1198" s="363" t="s">
        <v>4990</v>
      </c>
      <c r="K1198" s="363" t="s">
        <v>4992</v>
      </c>
      <c r="L1198" s="363"/>
      <c r="M1198" s="369">
        <v>46175.88409202546</v>
      </c>
      <c r="N1198" s="363"/>
      <c r="O1198" s="363"/>
      <c r="P1198" s="363"/>
    </row>
    <row r="1199">
      <c r="A1199" s="363" t="s">
        <v>155</v>
      </c>
      <c r="B1199" s="363" t="s">
        <v>251</v>
      </c>
      <c r="C1199" s="363" t="s">
        <v>1451</v>
      </c>
      <c r="D1199" s="368">
        <v>46252.0</v>
      </c>
      <c r="E1199" s="363" t="s">
        <v>4400</v>
      </c>
      <c r="F1199" s="363" t="s">
        <v>4402</v>
      </c>
      <c r="G1199" s="363" t="s">
        <v>4996</v>
      </c>
      <c r="H1199" s="363" t="s">
        <v>4406</v>
      </c>
      <c r="I1199" s="363" t="s">
        <v>1508</v>
      </c>
      <c r="J1199" s="363" t="s">
        <v>4998</v>
      </c>
      <c r="K1199" s="363" t="s">
        <v>4999</v>
      </c>
      <c r="L1199" s="363"/>
      <c r="M1199" s="369">
        <v>46252.88458899305</v>
      </c>
      <c r="N1199" s="363"/>
      <c r="O1199" s="363"/>
      <c r="P1199" s="363"/>
    </row>
    <row r="1200">
      <c r="A1200" s="363" t="s">
        <v>22</v>
      </c>
      <c r="B1200" s="363" t="s">
        <v>23</v>
      </c>
      <c r="C1200" s="363" t="s">
        <v>1451</v>
      </c>
      <c r="D1200" s="368">
        <v>46247.0</v>
      </c>
      <c r="E1200" s="363" t="s">
        <v>5003</v>
      </c>
      <c r="F1200" s="363" t="s">
        <v>5004</v>
      </c>
      <c r="G1200" s="363" t="s">
        <v>5005</v>
      </c>
      <c r="H1200" s="363" t="s">
        <v>5006</v>
      </c>
      <c r="I1200" s="363" t="s">
        <v>115</v>
      </c>
      <c r="J1200" s="363" t="s">
        <v>5007</v>
      </c>
      <c r="K1200" s="363" t="s">
        <v>5009</v>
      </c>
      <c r="L1200" s="363"/>
      <c r="M1200" s="369">
        <v>46252.911135092596</v>
      </c>
      <c r="N1200" s="363"/>
      <c r="O1200" s="363"/>
      <c r="P1200" s="363"/>
    </row>
  </sheetData>
  <conditionalFormatting sqref="A1:P137">
    <cfRule type="expression" dxfId="4" priority="1" stopIfTrue="1">
      <formula>OR($C1="Follow Up", $C1="Contract Sent")</formula>
    </cfRule>
  </conditionalFormatting>
  <conditionalFormatting sqref="A1:P137">
    <cfRule type="expression" dxfId="5" priority="2" stopIfTrue="1">
      <formula>OR($C1="NOT READY", $C1="No - Show / Callback", $C1="Pending Medicare", $C1="Inactive License")</formula>
    </cfRule>
  </conditionalFormatting>
  <conditionalFormatting sqref="A1:P137">
    <cfRule type="expression" dxfId="6" priority="3" stopIfTrue="1">
      <formula>OR($C1="DNC", $C1="NI", $C1="No Medicare")</formula>
    </cfRule>
  </conditionalFormatting>
  <conditionalFormatting sqref="A1:P137">
    <cfRule type="expression" dxfId="7" priority="4" stopIfTrue="1">
      <formula>$C1="Onboarded"</formula>
    </cfRule>
  </conditionalFormatting>
  <conditionalFormatting sqref="A1:Q137">
    <cfRule type="expression" dxfId="8" priority="5" stopIfTrue="1">
      <formula>OR($C1="Invoice Sent", $C1="Trial Sent")</formula>
    </cfRule>
  </conditionalFormatting>
  <conditionalFormatting sqref="A1:Q137">
    <cfRule type="expression" dxfId="9" priority="6" stopIfTrue="1">
      <formula>$C1="Hold"</formula>
    </cfRule>
  </conditionalFormatting>
  <hyperlinks>
    <hyperlink r:id="rId1" ref="I4"/>
    <hyperlink r:id="rId2" ref="I5"/>
    <hyperlink r:id="rId3" ref="H6"/>
    <hyperlink r:id="rId4" ref="I6"/>
    <hyperlink r:id="rId5" ref="I9"/>
    <hyperlink r:id="rId6" ref="I11"/>
    <hyperlink r:id="rId7" ref="I13"/>
    <hyperlink r:id="rId8" ref="I15"/>
    <hyperlink r:id="rId9" ref="I17"/>
    <hyperlink r:id="rId10" ref="I19"/>
    <hyperlink r:id="rId11" ref="H20"/>
    <hyperlink r:id="rId12" ref="H21"/>
    <hyperlink r:id="rId13" ref="I182"/>
    <hyperlink r:id="rId14" ref="I219"/>
    <hyperlink r:id="rId15" ref="I220"/>
    <hyperlink r:id="rId16" ref="I582"/>
    <hyperlink r:id="rId17" ref="I616"/>
    <hyperlink r:id="rId18" ref="I648"/>
    <hyperlink r:id="rId19" ref="I660"/>
    <hyperlink r:id="rId20" ref="I661"/>
    <hyperlink r:id="rId21" ref="I662"/>
    <hyperlink r:id="rId22" ref="I663"/>
    <hyperlink r:id="rId23" ref="I664"/>
    <hyperlink r:id="rId24" ref="I671"/>
    <hyperlink r:id="rId25" ref="I673"/>
    <hyperlink r:id="rId26" ref="I693"/>
    <hyperlink r:id="rId27" ref="I783"/>
    <hyperlink r:id="rId28" ref="I1050"/>
    <hyperlink r:id="rId29" ref="I1051"/>
    <hyperlink r:id="rId30" ref="I1060"/>
    <hyperlink r:id="rId31" ref="I1064"/>
    <hyperlink r:id="rId32" ref="I1065"/>
    <hyperlink r:id="rId33" ref="I1071"/>
    <hyperlink r:id="rId34" ref="I1094"/>
    <hyperlink r:id="rId35" ref="I1109"/>
    <hyperlink r:id="rId36" ref="I1128"/>
    <hyperlink r:id="rId37" ref="I1133"/>
    <hyperlink r:id="rId38" ref="I1135"/>
    <hyperlink r:id="rId39" ref="I1182"/>
    <hyperlink r:id="rId40" ref="I1186"/>
  </hyperlinks>
  <drawing r:id="rId4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0" t="s">
        <v>3075</v>
      </c>
      <c r="B1" s="360" t="s">
        <v>3108</v>
      </c>
      <c r="C1" s="360" t="s">
        <v>3109</v>
      </c>
    </row>
    <row r="2">
      <c r="A2" s="359">
        <v>46035.88755230324</v>
      </c>
      <c r="B2" s="193" t="s">
        <v>3116</v>
      </c>
      <c r="C2" s="361">
        <v>114.0</v>
      </c>
      <c r="D2" s="193" t="s">
        <v>2992</v>
      </c>
      <c r="E2" s="193" t="s">
        <v>225</v>
      </c>
      <c r="F2" s="193" t="s">
        <v>1451</v>
      </c>
      <c r="G2" s="362">
        <v>46035.0</v>
      </c>
      <c r="H2" s="193" t="s">
        <v>2999</v>
      </c>
      <c r="I2" s="193" t="s">
        <v>3001</v>
      </c>
      <c r="J2" s="193" t="s">
        <v>3002</v>
      </c>
      <c r="K2" s="193" t="s">
        <v>3005</v>
      </c>
      <c r="L2" s="193" t="s">
        <v>3006</v>
      </c>
      <c r="M2" s="193" t="s">
        <v>3008</v>
      </c>
      <c r="O2" s="193" t="s">
        <v>3127</v>
      </c>
      <c r="S2" s="193" t="b">
        <v>0</v>
      </c>
    </row>
    <row r="3">
      <c r="A3" s="359">
        <v>46037.72320425926</v>
      </c>
      <c r="B3" s="193" t="s">
        <v>3116</v>
      </c>
      <c r="C3" s="361">
        <v>68.0</v>
      </c>
      <c r="D3" s="193" t="s">
        <v>135</v>
      </c>
      <c r="E3" s="193" t="s">
        <v>23</v>
      </c>
      <c r="F3" s="193" t="s">
        <v>1451</v>
      </c>
      <c r="G3" s="362">
        <v>45994.0</v>
      </c>
      <c r="H3" s="193" t="s">
        <v>3016</v>
      </c>
      <c r="I3" s="193" t="s">
        <v>3018</v>
      </c>
      <c r="J3" s="193" t="s">
        <v>3020</v>
      </c>
      <c r="K3" s="193" t="s">
        <v>3022</v>
      </c>
      <c r="L3" s="193" t="s">
        <v>762</v>
      </c>
      <c r="M3" s="193" t="s">
        <v>3136</v>
      </c>
      <c r="O3" s="193" t="s">
        <v>3025</v>
      </c>
      <c r="S3" s="193" t="b">
        <v>0</v>
      </c>
    </row>
    <row r="4">
      <c r="A4" s="359">
        <v>46037.929576180555</v>
      </c>
      <c r="B4" s="193" t="s">
        <v>3116</v>
      </c>
      <c r="C4" s="361">
        <v>102.0</v>
      </c>
      <c r="D4" s="193" t="s">
        <v>17</v>
      </c>
      <c r="E4" s="193" t="s">
        <v>19</v>
      </c>
      <c r="F4" s="193" t="s">
        <v>1451</v>
      </c>
      <c r="G4" s="362">
        <v>46030.0</v>
      </c>
      <c r="H4" s="193" t="s">
        <v>3032</v>
      </c>
      <c r="I4" s="193" t="s">
        <v>3033</v>
      </c>
      <c r="J4" s="193" t="s">
        <v>3035</v>
      </c>
      <c r="K4" s="193" t="s">
        <v>3036</v>
      </c>
      <c r="L4" s="193" t="s">
        <v>3037</v>
      </c>
      <c r="M4" s="193" t="s">
        <v>3038</v>
      </c>
      <c r="S4" s="193" t="b">
        <v>0</v>
      </c>
    </row>
    <row r="5">
      <c r="A5" s="359">
        <v>46041.948271354166</v>
      </c>
      <c r="B5" s="193" t="s">
        <v>3116</v>
      </c>
      <c r="C5" s="361">
        <v>116.0</v>
      </c>
      <c r="D5" s="193" t="s">
        <v>17</v>
      </c>
      <c r="E5" s="193" t="s">
        <v>23</v>
      </c>
      <c r="F5" s="193" t="s">
        <v>1451</v>
      </c>
      <c r="G5" s="362">
        <v>46038.0</v>
      </c>
      <c r="H5" s="193" t="s">
        <v>3044</v>
      </c>
      <c r="I5" s="193" t="s">
        <v>3045</v>
      </c>
      <c r="J5" s="193" t="s">
        <v>3047</v>
      </c>
      <c r="K5" s="193" t="s">
        <v>3049</v>
      </c>
      <c r="L5" s="193" t="s">
        <v>3043</v>
      </c>
      <c r="M5" s="193" t="s">
        <v>3050</v>
      </c>
      <c r="N5" s="193" t="s">
        <v>3153</v>
      </c>
      <c r="O5" s="193" t="s">
        <v>3154</v>
      </c>
      <c r="S5" s="193" t="b">
        <v>0</v>
      </c>
    </row>
    <row r="6">
      <c r="A6" s="359">
        <v>46044.65214533565</v>
      </c>
      <c r="B6" s="193" t="s">
        <v>3116</v>
      </c>
      <c r="C6" s="361">
        <v>118.0</v>
      </c>
      <c r="D6" s="193" t="s">
        <v>22</v>
      </c>
      <c r="E6" s="193" t="s">
        <v>53</v>
      </c>
      <c r="F6" s="193" t="s">
        <v>1451</v>
      </c>
      <c r="G6" s="362">
        <v>46042.0</v>
      </c>
      <c r="H6" s="193" t="s">
        <v>3056</v>
      </c>
      <c r="I6" s="193" t="s">
        <v>3058</v>
      </c>
      <c r="J6" s="193" t="s">
        <v>3059</v>
      </c>
      <c r="K6" s="193" t="s">
        <v>3163</v>
      </c>
      <c r="L6" s="193" t="s">
        <v>543</v>
      </c>
      <c r="M6" s="193" t="s">
        <v>3062</v>
      </c>
      <c r="N6" s="193" t="s">
        <v>3064</v>
      </c>
      <c r="S6" s="193" t="b">
        <v>0</v>
      </c>
    </row>
    <row r="7">
      <c r="A7" s="359">
        <v>46044.65277734953</v>
      </c>
      <c r="B7" s="193" t="s">
        <v>3116</v>
      </c>
      <c r="C7" s="361">
        <v>45.0</v>
      </c>
      <c r="D7" s="193" t="s">
        <v>117</v>
      </c>
      <c r="E7" s="193" t="s">
        <v>53</v>
      </c>
      <c r="F7" s="193" t="s">
        <v>1451</v>
      </c>
      <c r="G7" s="362">
        <v>45978.0</v>
      </c>
      <c r="H7" s="193" t="s">
        <v>3065</v>
      </c>
      <c r="I7" s="193" t="s">
        <v>3066</v>
      </c>
      <c r="J7" s="193" t="s">
        <v>3067</v>
      </c>
      <c r="K7" s="193" t="s">
        <v>3068</v>
      </c>
      <c r="L7" s="193" t="s">
        <v>543</v>
      </c>
      <c r="M7" s="193" t="s">
        <v>3069</v>
      </c>
      <c r="O7" s="193" t="s">
        <v>3070</v>
      </c>
      <c r="S7" s="193" t="b">
        <v>0</v>
      </c>
    </row>
    <row r="8">
      <c r="A8" s="359">
        <v>46044.65366924768</v>
      </c>
      <c r="B8" s="193" t="s">
        <v>3116</v>
      </c>
      <c r="C8" s="361">
        <v>75.0</v>
      </c>
      <c r="D8" s="193" t="s">
        <v>17</v>
      </c>
      <c r="E8" s="193" t="s">
        <v>53</v>
      </c>
      <c r="F8" s="193" t="s">
        <v>1451</v>
      </c>
      <c r="G8" s="362">
        <v>46001.0</v>
      </c>
      <c r="H8" s="193" t="s">
        <v>3071</v>
      </c>
      <c r="I8" s="193" t="s">
        <v>3072</v>
      </c>
      <c r="J8" s="193" t="s">
        <v>3073</v>
      </c>
      <c r="K8" s="193" t="s">
        <v>3074</v>
      </c>
      <c r="L8" s="193" t="s">
        <v>581</v>
      </c>
      <c r="M8" s="193" t="s">
        <v>3076</v>
      </c>
      <c r="O8" s="193" t="s">
        <v>3077</v>
      </c>
      <c r="S8" s="193" t="b">
        <v>0</v>
      </c>
    </row>
    <row r="9">
      <c r="A9" s="359">
        <v>46044.65400012731</v>
      </c>
      <c r="B9" s="193" t="s">
        <v>3116</v>
      </c>
      <c r="C9" s="361">
        <v>46.0</v>
      </c>
      <c r="D9" s="193" t="s">
        <v>117</v>
      </c>
      <c r="E9" s="193" t="s">
        <v>53</v>
      </c>
      <c r="F9" s="193" t="s">
        <v>1451</v>
      </c>
      <c r="G9" s="362">
        <v>45979.0</v>
      </c>
      <c r="H9" s="193" t="s">
        <v>3078</v>
      </c>
      <c r="I9" s="193" t="s">
        <v>3079</v>
      </c>
      <c r="J9" s="193" t="s">
        <v>3080</v>
      </c>
      <c r="K9" s="193" t="s">
        <v>3081</v>
      </c>
      <c r="L9" s="193" t="s">
        <v>3083</v>
      </c>
      <c r="M9" s="193" t="s">
        <v>3084</v>
      </c>
      <c r="N9" s="193" t="s">
        <v>3085</v>
      </c>
      <c r="O9" s="193" t="s">
        <v>3086</v>
      </c>
      <c r="R9" s="193" t="s">
        <v>3023</v>
      </c>
      <c r="S9" s="193" t="b">
        <v>0</v>
      </c>
    </row>
    <row r="10">
      <c r="A10" s="359">
        <v>46044.70921927084</v>
      </c>
      <c r="B10" s="193" t="s">
        <v>3116</v>
      </c>
      <c r="C10" s="361">
        <v>41.0</v>
      </c>
      <c r="D10" s="193" t="s">
        <v>117</v>
      </c>
      <c r="E10" s="193" t="s">
        <v>53</v>
      </c>
      <c r="F10" s="193" t="s">
        <v>1451</v>
      </c>
      <c r="G10" s="362">
        <v>45973.0</v>
      </c>
      <c r="H10" s="193" t="s">
        <v>3088</v>
      </c>
      <c r="I10" s="193" t="s">
        <v>3089</v>
      </c>
      <c r="J10" s="193" t="s">
        <v>3090</v>
      </c>
      <c r="K10" s="193" t="s">
        <v>3092</v>
      </c>
      <c r="L10" s="193" t="s">
        <v>497</v>
      </c>
      <c r="M10" s="193" t="s">
        <v>3093</v>
      </c>
      <c r="N10" s="193" t="s">
        <v>3094</v>
      </c>
      <c r="O10" s="193" t="s">
        <v>3096</v>
      </c>
      <c r="S10" s="193" t="b">
        <v>0</v>
      </c>
    </row>
    <row r="11">
      <c r="A11" s="359">
        <v>46044.7166684375</v>
      </c>
      <c r="B11" s="193" t="s">
        <v>3116</v>
      </c>
      <c r="C11" s="361">
        <v>64.0</v>
      </c>
      <c r="D11" s="193" t="s">
        <v>117</v>
      </c>
      <c r="E11" s="193" t="s">
        <v>53</v>
      </c>
      <c r="F11" s="193" t="s">
        <v>1451</v>
      </c>
      <c r="G11" s="362">
        <v>45994.0</v>
      </c>
      <c r="H11" s="193" t="s">
        <v>3100</v>
      </c>
      <c r="I11" s="193" t="s">
        <v>3101</v>
      </c>
      <c r="J11" s="193" t="s">
        <v>3102</v>
      </c>
      <c r="K11" s="193" t="s">
        <v>3104</v>
      </c>
      <c r="L11" s="193" t="s">
        <v>996</v>
      </c>
      <c r="M11" s="193" t="s">
        <v>3208</v>
      </c>
      <c r="O11" s="193" t="s">
        <v>3211</v>
      </c>
      <c r="S11" s="193" t="b">
        <v>0</v>
      </c>
    </row>
    <row r="12">
      <c r="A12" s="359">
        <v>46044.717383993055</v>
      </c>
      <c r="B12" s="193" t="s">
        <v>3116</v>
      </c>
      <c r="C12" s="361">
        <v>67.0</v>
      </c>
      <c r="D12" s="193" t="s">
        <v>410</v>
      </c>
      <c r="E12" s="193" t="s">
        <v>23</v>
      </c>
      <c r="F12" s="193" t="s">
        <v>1451</v>
      </c>
      <c r="G12" s="362">
        <v>45999.0</v>
      </c>
      <c r="H12" s="193" t="s">
        <v>3111</v>
      </c>
      <c r="I12" s="193" t="s">
        <v>3112</v>
      </c>
      <c r="J12" s="193" t="s">
        <v>3113</v>
      </c>
      <c r="K12" s="193" t="s">
        <v>3114</v>
      </c>
      <c r="L12" s="193" t="s">
        <v>543</v>
      </c>
      <c r="M12" s="193" t="s">
        <v>3218</v>
      </c>
      <c r="O12" s="193" t="s">
        <v>3118</v>
      </c>
      <c r="S12" s="193" t="b">
        <v>0</v>
      </c>
    </row>
    <row r="13">
      <c r="A13" s="359">
        <v>46044.71781994213</v>
      </c>
      <c r="B13" s="193" t="s">
        <v>3116</v>
      </c>
      <c r="C13" s="361">
        <v>64.0</v>
      </c>
      <c r="D13" s="193" t="s">
        <v>117</v>
      </c>
      <c r="E13" s="193" t="s">
        <v>23</v>
      </c>
      <c r="F13" s="193" t="s">
        <v>1451</v>
      </c>
      <c r="G13" s="362">
        <v>45994.0</v>
      </c>
      <c r="H13" s="193" t="s">
        <v>3121</v>
      </c>
      <c r="I13" s="193" t="s">
        <v>3123</v>
      </c>
      <c r="J13" s="193" t="s">
        <v>3124</v>
      </c>
      <c r="K13" s="193" t="s">
        <v>3125</v>
      </c>
      <c r="L13" s="193" t="s">
        <v>140</v>
      </c>
      <c r="M13" s="193" t="s">
        <v>3126</v>
      </c>
      <c r="O13" s="193" t="s">
        <v>3025</v>
      </c>
      <c r="S13" s="193" t="b">
        <v>0</v>
      </c>
    </row>
    <row r="14">
      <c r="A14" s="359">
        <v>46045.81672509259</v>
      </c>
      <c r="B14" s="193" t="s">
        <v>3116</v>
      </c>
      <c r="C14" s="361">
        <v>94.0</v>
      </c>
      <c r="D14" s="193" t="s">
        <v>22</v>
      </c>
      <c r="E14" s="193" t="s">
        <v>53</v>
      </c>
      <c r="F14" s="193" t="s">
        <v>1451</v>
      </c>
      <c r="G14" s="362">
        <v>46031.0</v>
      </c>
      <c r="H14" s="193" t="s">
        <v>3229</v>
      </c>
      <c r="I14" s="193" t="s">
        <v>3230</v>
      </c>
      <c r="J14" s="193" t="s">
        <v>3231</v>
      </c>
      <c r="K14" s="193" t="s">
        <v>3232</v>
      </c>
      <c r="L14" s="193" t="s">
        <v>1654</v>
      </c>
      <c r="M14" s="193" t="s">
        <v>3234</v>
      </c>
      <c r="N14" s="193" t="s">
        <v>3235</v>
      </c>
      <c r="O14" s="193" t="s">
        <v>3236</v>
      </c>
      <c r="P14" s="359">
        <v>46041.83333333333</v>
      </c>
      <c r="S14" s="193" t="b">
        <v>0</v>
      </c>
    </row>
    <row r="15">
      <c r="A15" s="359">
        <v>46052.87949251157</v>
      </c>
      <c r="B15" s="193" t="s">
        <v>3116</v>
      </c>
      <c r="C15" s="361">
        <v>132.0</v>
      </c>
      <c r="D15" s="193" t="s">
        <v>17</v>
      </c>
      <c r="E15" s="193" t="s">
        <v>23</v>
      </c>
      <c r="F15" s="193" t="s">
        <v>1451</v>
      </c>
      <c r="G15" s="362">
        <v>46051.0</v>
      </c>
      <c r="H15" s="193" t="s">
        <v>3130</v>
      </c>
      <c r="I15" s="193" t="s">
        <v>3131</v>
      </c>
      <c r="J15" s="193" t="s">
        <v>3132</v>
      </c>
      <c r="K15" s="193" t="s">
        <v>3133</v>
      </c>
      <c r="L15" s="193" t="s">
        <v>497</v>
      </c>
      <c r="M15" s="193" t="s">
        <v>3239</v>
      </c>
      <c r="N15" s="193" t="s">
        <v>3241</v>
      </c>
      <c r="S15" s="193" t="b">
        <v>0</v>
      </c>
    </row>
    <row r="16">
      <c r="A16" s="359">
        <v>46057.889054803236</v>
      </c>
      <c r="B16" s="193" t="s">
        <v>3116</v>
      </c>
      <c r="C16" s="361">
        <v>112.0</v>
      </c>
      <c r="D16" s="193" t="s">
        <v>18</v>
      </c>
      <c r="E16" s="193" t="s">
        <v>19</v>
      </c>
      <c r="F16" s="193" t="s">
        <v>3243</v>
      </c>
      <c r="G16" s="362">
        <v>46042.0</v>
      </c>
      <c r="H16" s="193" t="s">
        <v>3137</v>
      </c>
      <c r="I16" s="193" t="s">
        <v>3138</v>
      </c>
      <c r="J16" s="193" t="s">
        <v>3139</v>
      </c>
      <c r="K16" s="193" t="s">
        <v>3140</v>
      </c>
      <c r="M16" s="193" t="s">
        <v>3141</v>
      </c>
      <c r="S16" s="193" t="b">
        <v>0</v>
      </c>
    </row>
    <row r="17">
      <c r="A17" s="359">
        <v>46057.91519930556</v>
      </c>
      <c r="B17" s="193" t="s">
        <v>3116</v>
      </c>
      <c r="C17" s="361">
        <v>13.0</v>
      </c>
      <c r="D17" s="193" t="s">
        <v>3143</v>
      </c>
      <c r="E17" s="193" t="s">
        <v>23</v>
      </c>
      <c r="F17" s="193" t="s">
        <v>1451</v>
      </c>
      <c r="G17" s="362">
        <v>45936.0</v>
      </c>
      <c r="H17" s="193" t="s">
        <v>3144</v>
      </c>
      <c r="I17" s="193" t="s">
        <v>3145</v>
      </c>
      <c r="K17" s="193" t="s">
        <v>3147</v>
      </c>
      <c r="L17" s="193" t="s">
        <v>3148</v>
      </c>
      <c r="M17" s="193" t="s">
        <v>3149</v>
      </c>
      <c r="O17" s="193" t="s">
        <v>3150</v>
      </c>
      <c r="S17" s="193" t="b">
        <v>0</v>
      </c>
    </row>
    <row r="18">
      <c r="A18" s="359">
        <v>46057.916101180555</v>
      </c>
      <c r="B18" s="193" t="s">
        <v>3116</v>
      </c>
      <c r="C18" s="361">
        <v>14.0</v>
      </c>
      <c r="D18" s="193" t="s">
        <v>62</v>
      </c>
      <c r="E18" s="193" t="s">
        <v>53</v>
      </c>
      <c r="F18" s="193" t="s">
        <v>1410</v>
      </c>
      <c r="G18" s="362">
        <v>45939.0</v>
      </c>
      <c r="H18" s="193" t="s">
        <v>3155</v>
      </c>
      <c r="I18" s="193" t="s">
        <v>3157</v>
      </c>
      <c r="J18" s="193" t="s">
        <v>3158</v>
      </c>
      <c r="K18" s="193" t="s">
        <v>3159</v>
      </c>
      <c r="L18" s="193" t="s">
        <v>3160</v>
      </c>
      <c r="M18" s="193" t="s">
        <v>3161</v>
      </c>
      <c r="O18" s="193" t="s">
        <v>3162</v>
      </c>
      <c r="S18" s="193" t="b">
        <v>0</v>
      </c>
    </row>
    <row r="19">
      <c r="A19" s="359">
        <v>46057.91618622685</v>
      </c>
      <c r="B19" s="193" t="s">
        <v>3116</v>
      </c>
      <c r="C19" s="361">
        <v>13.0</v>
      </c>
      <c r="D19" s="193" t="s">
        <v>62</v>
      </c>
      <c r="E19" s="193" t="s">
        <v>53</v>
      </c>
      <c r="F19" s="193" t="s">
        <v>24</v>
      </c>
      <c r="G19" s="362">
        <v>45939.0</v>
      </c>
      <c r="H19" s="193" t="s">
        <v>422</v>
      </c>
      <c r="I19" s="193" t="s">
        <v>424</v>
      </c>
      <c r="J19" s="193" t="s">
        <v>3256</v>
      </c>
      <c r="K19" s="193" t="s">
        <v>429</v>
      </c>
      <c r="L19" s="193" t="s">
        <v>310</v>
      </c>
      <c r="M19" s="193" t="s">
        <v>435</v>
      </c>
      <c r="N19" s="193" t="s">
        <v>3259</v>
      </c>
      <c r="O19" s="193" t="s">
        <v>3261</v>
      </c>
      <c r="S19" s="193" t="b">
        <v>0</v>
      </c>
    </row>
    <row r="20">
      <c r="A20" s="359">
        <v>46057.91635974537</v>
      </c>
      <c r="B20" s="193" t="s">
        <v>3116</v>
      </c>
      <c r="C20" s="361">
        <v>13.0</v>
      </c>
      <c r="D20" s="193" t="s">
        <v>0</v>
      </c>
      <c r="E20" s="193" t="s">
        <v>23</v>
      </c>
      <c r="F20" s="193" t="s">
        <v>24</v>
      </c>
      <c r="G20" s="362">
        <v>45939.0</v>
      </c>
      <c r="H20" s="193" t="s">
        <v>823</v>
      </c>
      <c r="I20" s="193" t="s">
        <v>824</v>
      </c>
      <c r="K20" s="193" t="s">
        <v>825</v>
      </c>
      <c r="L20" s="193" t="s">
        <v>826</v>
      </c>
      <c r="M20" s="193" t="s">
        <v>827</v>
      </c>
      <c r="N20" s="193" t="s">
        <v>3265</v>
      </c>
      <c r="O20" s="193" t="s">
        <v>3267</v>
      </c>
      <c r="S20" s="193" t="b">
        <v>0</v>
      </c>
    </row>
    <row r="21">
      <c r="A21" s="359">
        <v>46057.91639888889</v>
      </c>
      <c r="B21" s="193" t="s">
        <v>3116</v>
      </c>
      <c r="C21" s="361">
        <v>14.0</v>
      </c>
      <c r="D21" s="193" t="s">
        <v>62</v>
      </c>
      <c r="E21" s="193" t="s">
        <v>23</v>
      </c>
      <c r="G21" s="362">
        <v>45943.0</v>
      </c>
      <c r="H21" s="193" t="s">
        <v>559</v>
      </c>
      <c r="I21" s="193" t="s">
        <v>563</v>
      </c>
      <c r="J21" s="193" t="s">
        <v>567</v>
      </c>
      <c r="K21" s="193" t="s">
        <v>569</v>
      </c>
      <c r="L21" s="193" t="s">
        <v>572</v>
      </c>
      <c r="M21" s="193" t="s">
        <v>575</v>
      </c>
      <c r="N21" s="193" t="s">
        <v>3276</v>
      </c>
      <c r="O21" s="193" t="s">
        <v>3277</v>
      </c>
      <c r="S21" s="193" t="b">
        <v>0</v>
      </c>
    </row>
    <row r="22">
      <c r="A22" s="359">
        <v>46057.916607465275</v>
      </c>
      <c r="B22" s="193" t="s">
        <v>3116</v>
      </c>
      <c r="C22" s="361">
        <v>13.0</v>
      </c>
      <c r="D22" s="193" t="s">
        <v>62</v>
      </c>
      <c r="E22" s="193" t="s">
        <v>53</v>
      </c>
      <c r="F22" s="193" t="s">
        <v>24</v>
      </c>
      <c r="G22" s="362">
        <v>45943.0</v>
      </c>
      <c r="H22" s="193" t="s">
        <v>2381</v>
      </c>
      <c r="I22" s="193" t="s">
        <v>2382</v>
      </c>
      <c r="J22" s="193" t="s">
        <v>2384</v>
      </c>
      <c r="K22" s="193" t="s">
        <v>2386</v>
      </c>
      <c r="L22" s="193" t="s">
        <v>1963</v>
      </c>
      <c r="M22" s="193" t="s">
        <v>2387</v>
      </c>
      <c r="N22" s="193" t="s">
        <v>3280</v>
      </c>
      <c r="O22" s="193" t="s">
        <v>3282</v>
      </c>
      <c r="S22" s="193" t="b">
        <v>0</v>
      </c>
    </row>
    <row r="23">
      <c r="A23" s="359">
        <v>46057.91687243056</v>
      </c>
      <c r="B23" s="193" t="s">
        <v>3116</v>
      </c>
      <c r="C23" s="361">
        <v>13.0</v>
      </c>
      <c r="D23" s="193" t="s">
        <v>62</v>
      </c>
      <c r="E23" s="193" t="s">
        <v>23</v>
      </c>
      <c r="F23" s="193" t="s">
        <v>1410</v>
      </c>
      <c r="G23" s="362">
        <v>45944.0</v>
      </c>
      <c r="H23" s="193" t="s">
        <v>3166</v>
      </c>
      <c r="I23" s="193" t="s">
        <v>3168</v>
      </c>
      <c r="J23" s="193" t="s">
        <v>3169</v>
      </c>
      <c r="K23" s="193" t="s">
        <v>3170</v>
      </c>
      <c r="L23" s="193" t="s">
        <v>3160</v>
      </c>
      <c r="M23" s="193" t="s">
        <v>3172</v>
      </c>
      <c r="N23" s="193" t="s">
        <v>3288</v>
      </c>
      <c r="O23" s="193" t="s">
        <v>3174</v>
      </c>
      <c r="S23" s="193" t="b">
        <v>0</v>
      </c>
    </row>
    <row r="24">
      <c r="A24" s="359">
        <v>46057.91690827547</v>
      </c>
      <c r="B24" s="193" t="s">
        <v>3116</v>
      </c>
      <c r="C24" s="361">
        <v>14.0</v>
      </c>
      <c r="D24" s="193" t="s">
        <v>62</v>
      </c>
      <c r="E24" s="193" t="s">
        <v>23</v>
      </c>
      <c r="G24" s="362">
        <v>45944.0</v>
      </c>
      <c r="H24" s="193" t="s">
        <v>70</v>
      </c>
      <c r="I24" s="193" t="s">
        <v>71</v>
      </c>
      <c r="J24" s="193" t="s">
        <v>73</v>
      </c>
      <c r="K24" s="193" t="s">
        <v>73</v>
      </c>
      <c r="L24" s="193" t="s">
        <v>75</v>
      </c>
      <c r="M24" s="193" t="s">
        <v>3295</v>
      </c>
      <c r="N24" s="193" t="s">
        <v>3296</v>
      </c>
      <c r="O24" s="193" t="s">
        <v>3297</v>
      </c>
      <c r="S24" s="193" t="b">
        <v>0</v>
      </c>
    </row>
    <row r="25">
      <c r="A25" s="359">
        <v>46057.91716309028</v>
      </c>
      <c r="B25" s="193" t="s">
        <v>3116</v>
      </c>
      <c r="C25" s="361">
        <v>13.0</v>
      </c>
      <c r="D25" s="193" t="s">
        <v>62</v>
      </c>
      <c r="E25" s="193" t="s">
        <v>53</v>
      </c>
      <c r="F25" s="193" t="s">
        <v>24</v>
      </c>
      <c r="G25" s="362">
        <v>45944.0</v>
      </c>
      <c r="H25" s="193" t="s">
        <v>3298</v>
      </c>
      <c r="I25" s="193" t="s">
        <v>3299</v>
      </c>
      <c r="J25" s="193" t="s">
        <v>3300</v>
      </c>
      <c r="K25" s="193" t="s">
        <v>3301</v>
      </c>
      <c r="L25" s="193" t="s">
        <v>3302</v>
      </c>
      <c r="M25" s="193" t="s">
        <v>3304</v>
      </c>
      <c r="N25" s="193" t="s">
        <v>3307</v>
      </c>
      <c r="O25" s="193" t="s">
        <v>3308</v>
      </c>
      <c r="S25" s="193" t="b">
        <v>0</v>
      </c>
    </row>
    <row r="26">
      <c r="A26" s="359">
        <v>46057.91775577546</v>
      </c>
      <c r="B26" s="193" t="s">
        <v>3116</v>
      </c>
      <c r="C26" s="361">
        <v>25.0</v>
      </c>
      <c r="D26" s="193" t="s">
        <v>18</v>
      </c>
      <c r="E26" s="193" t="s">
        <v>53</v>
      </c>
      <c r="F26" s="193" t="s">
        <v>24</v>
      </c>
      <c r="G26" s="362">
        <v>45971.0</v>
      </c>
      <c r="H26" s="193" t="s">
        <v>3310</v>
      </c>
      <c r="I26" s="193" t="s">
        <v>3312</v>
      </c>
      <c r="J26" s="193" t="s">
        <v>3313</v>
      </c>
      <c r="K26" s="193" t="s">
        <v>3314</v>
      </c>
      <c r="L26" s="193" t="s">
        <v>1478</v>
      </c>
      <c r="M26" s="193" t="s">
        <v>3315</v>
      </c>
      <c r="N26" s="193" t="s">
        <v>3316</v>
      </c>
      <c r="O26" s="193" t="s">
        <v>3317</v>
      </c>
      <c r="S26" s="193" t="b">
        <v>0</v>
      </c>
    </row>
    <row r="27">
      <c r="A27" s="359">
        <v>46057.917875555555</v>
      </c>
      <c r="B27" s="193" t="s">
        <v>3116</v>
      </c>
      <c r="C27" s="361">
        <v>26.0</v>
      </c>
      <c r="D27" s="193" t="s">
        <v>2992</v>
      </c>
      <c r="E27" s="193" t="s">
        <v>53</v>
      </c>
      <c r="F27" s="193" t="s">
        <v>24</v>
      </c>
      <c r="G27" s="362">
        <v>45971.0</v>
      </c>
      <c r="H27" s="193" t="s">
        <v>3319</v>
      </c>
      <c r="I27" s="193" t="s">
        <v>3320</v>
      </c>
      <c r="J27" s="193" t="s">
        <v>426</v>
      </c>
      <c r="K27" s="193" t="s">
        <v>3321</v>
      </c>
      <c r="L27" s="193" t="s">
        <v>684</v>
      </c>
      <c r="M27" s="193" t="s">
        <v>3322</v>
      </c>
      <c r="N27" s="193" t="s">
        <v>3323</v>
      </c>
      <c r="O27" s="193" t="s">
        <v>3324</v>
      </c>
      <c r="R27" s="193" t="s">
        <v>3023</v>
      </c>
      <c r="S27" s="193" t="b">
        <v>0</v>
      </c>
    </row>
    <row r="28">
      <c r="A28" s="359">
        <v>46057.91861443287</v>
      </c>
      <c r="B28" s="193" t="s">
        <v>3116</v>
      </c>
      <c r="C28" s="361">
        <v>26.0</v>
      </c>
      <c r="D28" s="193" t="s">
        <v>410</v>
      </c>
      <c r="E28" s="193" t="s">
        <v>19</v>
      </c>
      <c r="F28" s="193" t="s">
        <v>1451</v>
      </c>
      <c r="G28" s="362">
        <v>45971.0</v>
      </c>
      <c r="H28" s="193" t="s">
        <v>3180</v>
      </c>
      <c r="I28" s="193" t="s">
        <v>3181</v>
      </c>
      <c r="J28" s="193" t="s">
        <v>3182</v>
      </c>
      <c r="K28" s="193" t="s">
        <v>3183</v>
      </c>
      <c r="L28" s="193" t="s">
        <v>2930</v>
      </c>
      <c r="M28" s="193" t="s">
        <v>3185</v>
      </c>
      <c r="N28" s="193" t="s">
        <v>3186</v>
      </c>
      <c r="O28" s="193" t="s">
        <v>3328</v>
      </c>
      <c r="R28" s="193" t="s">
        <v>3023</v>
      </c>
      <c r="S28" s="193" t="b">
        <v>0</v>
      </c>
    </row>
    <row r="29">
      <c r="A29" s="359">
        <v>46057.91882172454</v>
      </c>
      <c r="B29" s="193" t="s">
        <v>3116</v>
      </c>
      <c r="C29" s="361">
        <v>26.0</v>
      </c>
      <c r="D29" s="193" t="s">
        <v>410</v>
      </c>
      <c r="E29" s="193" t="s">
        <v>19</v>
      </c>
      <c r="F29" s="193" t="s">
        <v>24</v>
      </c>
      <c r="G29" s="362">
        <v>45972.0</v>
      </c>
      <c r="H29" s="193" t="s">
        <v>3331</v>
      </c>
      <c r="I29" s="193" t="s">
        <v>3332</v>
      </c>
      <c r="J29" s="193" t="s">
        <v>3333</v>
      </c>
      <c r="K29" s="193" t="s">
        <v>3335</v>
      </c>
      <c r="L29" s="193" t="s">
        <v>973</v>
      </c>
      <c r="M29" s="193" t="s">
        <v>3336</v>
      </c>
      <c r="N29" s="193" t="s">
        <v>3337</v>
      </c>
      <c r="O29" s="193" t="s">
        <v>3339</v>
      </c>
      <c r="S29" s="193" t="b">
        <v>0</v>
      </c>
    </row>
    <row r="30">
      <c r="A30" s="359">
        <v>46057.918958993054</v>
      </c>
      <c r="B30" s="193" t="s">
        <v>3116</v>
      </c>
      <c r="C30" s="361">
        <v>26.0</v>
      </c>
      <c r="D30" s="193" t="s">
        <v>117</v>
      </c>
      <c r="E30" s="193" t="s">
        <v>23</v>
      </c>
      <c r="F30" s="193" t="s">
        <v>24</v>
      </c>
      <c r="G30" s="362">
        <v>45973.0</v>
      </c>
      <c r="H30" s="193" t="s">
        <v>1705</v>
      </c>
      <c r="I30" s="193" t="s">
        <v>1707</v>
      </c>
      <c r="J30" s="193" t="s">
        <v>1708</v>
      </c>
      <c r="K30" s="193" t="s">
        <v>1710</v>
      </c>
      <c r="L30" s="193" t="s">
        <v>883</v>
      </c>
      <c r="M30" s="193" t="s">
        <v>1717</v>
      </c>
      <c r="O30" s="193" t="s">
        <v>1720</v>
      </c>
      <c r="S30" s="193" t="b">
        <v>0</v>
      </c>
    </row>
    <row r="31">
      <c r="A31" s="359">
        <v>46057.91966488426</v>
      </c>
      <c r="B31" s="193" t="s">
        <v>3116</v>
      </c>
      <c r="C31" s="361">
        <v>27.0</v>
      </c>
      <c r="D31" s="193" t="s">
        <v>117</v>
      </c>
      <c r="E31" s="193" t="s">
        <v>53</v>
      </c>
      <c r="F31" s="193" t="s">
        <v>24</v>
      </c>
      <c r="G31" s="362">
        <v>45974.0</v>
      </c>
      <c r="H31" s="193" t="s">
        <v>366</v>
      </c>
      <c r="I31" s="193" t="s">
        <v>368</v>
      </c>
      <c r="J31" s="193" t="s">
        <v>370</v>
      </c>
      <c r="K31" s="193" t="s">
        <v>372</v>
      </c>
      <c r="L31" s="193" t="s">
        <v>59</v>
      </c>
      <c r="M31" s="193" t="s">
        <v>374</v>
      </c>
      <c r="O31" s="193" t="s">
        <v>375</v>
      </c>
      <c r="S31" s="193" t="b">
        <v>0</v>
      </c>
    </row>
    <row r="32">
      <c r="A32" s="359">
        <v>46057.92120408565</v>
      </c>
      <c r="B32" s="193" t="s">
        <v>3116</v>
      </c>
      <c r="C32" s="361">
        <v>28.0</v>
      </c>
      <c r="D32" s="193" t="s">
        <v>2992</v>
      </c>
      <c r="E32" s="193" t="s">
        <v>19</v>
      </c>
      <c r="F32" s="193" t="s">
        <v>24</v>
      </c>
      <c r="G32" s="362">
        <v>45978.0</v>
      </c>
      <c r="H32" s="193" t="s">
        <v>3352</v>
      </c>
      <c r="I32" s="193" t="s">
        <v>3353</v>
      </c>
      <c r="J32" s="193" t="s">
        <v>3355</v>
      </c>
      <c r="K32" s="193" t="s">
        <v>3356</v>
      </c>
      <c r="L32" s="193" t="s">
        <v>3359</v>
      </c>
      <c r="M32" s="193" t="s">
        <v>3360</v>
      </c>
      <c r="N32" s="193" t="s">
        <v>3361</v>
      </c>
      <c r="O32" s="193" t="s">
        <v>3362</v>
      </c>
      <c r="P32" s="362">
        <v>46036.0</v>
      </c>
      <c r="S32" s="193" t="b">
        <v>0</v>
      </c>
    </row>
    <row r="33">
      <c r="A33" s="359">
        <v>46057.921263275464</v>
      </c>
      <c r="B33" s="193" t="s">
        <v>3116</v>
      </c>
      <c r="C33" s="361">
        <v>29.0</v>
      </c>
      <c r="D33" s="193" t="s">
        <v>135</v>
      </c>
      <c r="E33" s="193" t="s">
        <v>53</v>
      </c>
      <c r="F33" s="193" t="s">
        <v>24</v>
      </c>
      <c r="G33" s="362">
        <v>45980.0</v>
      </c>
      <c r="H33" s="193" t="s">
        <v>476</v>
      </c>
      <c r="I33" s="193" t="s">
        <v>477</v>
      </c>
      <c r="J33" s="193" t="s">
        <v>478</v>
      </c>
      <c r="K33" s="193" t="s">
        <v>479</v>
      </c>
      <c r="L33" s="193" t="s">
        <v>69</v>
      </c>
      <c r="M33" s="193" t="s">
        <v>481</v>
      </c>
      <c r="N33" s="193" t="s">
        <v>3371</v>
      </c>
      <c r="O33" s="193" t="s">
        <v>3373</v>
      </c>
      <c r="S33" s="193" t="b">
        <v>0</v>
      </c>
    </row>
    <row r="34">
      <c r="A34" s="359">
        <v>46057.92137232639</v>
      </c>
      <c r="B34" s="193" t="s">
        <v>3116</v>
      </c>
      <c r="C34" s="361">
        <v>28.0</v>
      </c>
      <c r="D34" s="193" t="s">
        <v>117</v>
      </c>
      <c r="E34" s="193" t="s">
        <v>23</v>
      </c>
      <c r="F34" s="193" t="s">
        <v>24</v>
      </c>
      <c r="G34" s="362">
        <v>45979.0</v>
      </c>
      <c r="H34" s="193" t="s">
        <v>119</v>
      </c>
      <c r="I34" s="193" t="s">
        <v>120</v>
      </c>
      <c r="J34" s="193" t="s">
        <v>3378</v>
      </c>
      <c r="K34" s="193" t="s">
        <v>122</v>
      </c>
      <c r="L34" s="193" t="s">
        <v>123</v>
      </c>
      <c r="M34" s="193" t="s">
        <v>3379</v>
      </c>
      <c r="N34" s="193" t="s">
        <v>3381</v>
      </c>
      <c r="O34" s="193" t="s">
        <v>3382</v>
      </c>
      <c r="S34" s="193" t="b">
        <v>0</v>
      </c>
    </row>
    <row r="35">
      <c r="A35" s="359">
        <v>46057.92149143519</v>
      </c>
      <c r="B35" s="193" t="s">
        <v>3116</v>
      </c>
      <c r="C35" s="361">
        <v>28.0</v>
      </c>
      <c r="D35" s="193" t="s">
        <v>18</v>
      </c>
      <c r="E35" s="193" t="s">
        <v>23</v>
      </c>
      <c r="F35" s="193" t="s">
        <v>24</v>
      </c>
      <c r="G35" s="362">
        <v>45980.0</v>
      </c>
      <c r="H35" s="193" t="s">
        <v>449</v>
      </c>
      <c r="I35" s="193" t="s">
        <v>450</v>
      </c>
      <c r="J35" s="193" t="s">
        <v>451</v>
      </c>
      <c r="K35" s="193" t="s">
        <v>452</v>
      </c>
      <c r="L35" s="193" t="s">
        <v>453</v>
      </c>
      <c r="M35" s="193" t="s">
        <v>454</v>
      </c>
      <c r="N35" s="193" t="s">
        <v>3392</v>
      </c>
      <c r="O35" s="193" t="s">
        <v>3393</v>
      </c>
      <c r="S35" s="193" t="b">
        <v>0</v>
      </c>
    </row>
    <row r="36">
      <c r="A36" s="359">
        <v>46057.92222940973</v>
      </c>
      <c r="B36" s="193" t="s">
        <v>3116</v>
      </c>
      <c r="C36" s="361">
        <v>29.0</v>
      </c>
      <c r="D36" s="193" t="s">
        <v>62</v>
      </c>
      <c r="E36" s="193" t="s">
        <v>23</v>
      </c>
      <c r="F36" s="193" t="s">
        <v>24</v>
      </c>
      <c r="G36" s="362">
        <v>45981.0</v>
      </c>
      <c r="H36" s="193" t="s">
        <v>507</v>
      </c>
      <c r="I36" s="193" t="s">
        <v>509</v>
      </c>
      <c r="J36" s="193" t="s">
        <v>511</v>
      </c>
      <c r="K36" s="193" t="s">
        <v>514</v>
      </c>
      <c r="L36" s="193" t="s">
        <v>497</v>
      </c>
      <c r="M36" s="193" t="s">
        <v>516</v>
      </c>
      <c r="O36" s="193" t="s">
        <v>518</v>
      </c>
      <c r="S36" s="193" t="b">
        <v>0</v>
      </c>
    </row>
    <row r="37">
      <c r="A37" s="359">
        <v>46057.92238942129</v>
      </c>
      <c r="B37" s="193" t="s">
        <v>3116</v>
      </c>
      <c r="C37" s="361">
        <v>32.0</v>
      </c>
      <c r="D37" s="193" t="s">
        <v>815</v>
      </c>
      <c r="E37" s="193" t="s">
        <v>53</v>
      </c>
      <c r="F37" s="193" t="s">
        <v>1451</v>
      </c>
      <c r="G37" s="362">
        <v>45985.0</v>
      </c>
      <c r="H37" s="193" t="s">
        <v>3189</v>
      </c>
      <c r="I37" s="193" t="s">
        <v>3190</v>
      </c>
      <c r="K37" s="193" t="s">
        <v>3191</v>
      </c>
      <c r="L37" s="193" t="s">
        <v>3192</v>
      </c>
      <c r="M37" s="193" t="s">
        <v>3193</v>
      </c>
      <c r="O37" s="193" t="s">
        <v>3194</v>
      </c>
      <c r="S37" s="193" t="b">
        <v>0</v>
      </c>
    </row>
    <row r="38">
      <c r="A38" s="359">
        <v>46057.9224741088</v>
      </c>
      <c r="B38" s="193" t="s">
        <v>3116</v>
      </c>
      <c r="C38" s="361">
        <v>33.0</v>
      </c>
      <c r="D38" s="193" t="s">
        <v>62</v>
      </c>
      <c r="E38" s="193" t="s">
        <v>53</v>
      </c>
      <c r="F38" s="193" t="s">
        <v>24</v>
      </c>
      <c r="G38" s="362">
        <v>45985.0</v>
      </c>
      <c r="H38" s="193" t="s">
        <v>3404</v>
      </c>
      <c r="I38" s="193" t="s">
        <v>3406</v>
      </c>
      <c r="J38" s="193" t="s">
        <v>3407</v>
      </c>
      <c r="K38" s="193" t="s">
        <v>3408</v>
      </c>
      <c r="L38" s="193" t="s">
        <v>2930</v>
      </c>
      <c r="M38" s="193" t="s">
        <v>3409</v>
      </c>
      <c r="N38" s="193" t="s">
        <v>3410</v>
      </c>
      <c r="O38" s="193" t="s">
        <v>3412</v>
      </c>
      <c r="S38" s="193" t="b">
        <v>0</v>
      </c>
    </row>
    <row r="39">
      <c r="A39" s="359">
        <v>46057.92261159723</v>
      </c>
      <c r="B39" s="193" t="s">
        <v>3116</v>
      </c>
      <c r="C39" s="361">
        <v>32.0</v>
      </c>
      <c r="D39" s="193" t="s">
        <v>135</v>
      </c>
      <c r="E39" s="193" t="s">
        <v>53</v>
      </c>
      <c r="F39" s="193" t="s">
        <v>24</v>
      </c>
      <c r="G39" s="362">
        <v>45985.0</v>
      </c>
      <c r="H39" s="193" t="s">
        <v>529</v>
      </c>
      <c r="I39" s="193" t="s">
        <v>533</v>
      </c>
      <c r="J39" s="193" t="s">
        <v>3420</v>
      </c>
      <c r="K39" s="193" t="s">
        <v>540</v>
      </c>
      <c r="L39" s="193" t="s">
        <v>543</v>
      </c>
      <c r="M39" s="193" t="s">
        <v>546</v>
      </c>
      <c r="N39" s="193" t="s">
        <v>3422</v>
      </c>
      <c r="O39" s="193" t="s">
        <v>3424</v>
      </c>
      <c r="S39" s="193" t="b">
        <v>0</v>
      </c>
    </row>
    <row r="40">
      <c r="A40" s="359">
        <v>46057.92270607639</v>
      </c>
      <c r="B40" s="193" t="s">
        <v>3116</v>
      </c>
      <c r="C40" s="361">
        <v>31.0</v>
      </c>
      <c r="D40" s="193" t="s">
        <v>815</v>
      </c>
      <c r="E40" s="193" t="s">
        <v>53</v>
      </c>
      <c r="F40" s="193" t="s">
        <v>24</v>
      </c>
      <c r="G40" s="362">
        <v>45985.0</v>
      </c>
      <c r="H40" s="193" t="s">
        <v>816</v>
      </c>
      <c r="I40" s="193" t="s">
        <v>817</v>
      </c>
      <c r="J40" s="193" t="s">
        <v>818</v>
      </c>
      <c r="K40" s="193" t="s">
        <v>819</v>
      </c>
      <c r="L40" s="193" t="s">
        <v>820</v>
      </c>
      <c r="M40" s="193" t="s">
        <v>821</v>
      </c>
      <c r="O40" s="193" t="s">
        <v>822</v>
      </c>
      <c r="S40" s="193" t="b">
        <v>0</v>
      </c>
    </row>
    <row r="41">
      <c r="A41" s="359">
        <v>46057.92333754629</v>
      </c>
      <c r="B41" s="193" t="s">
        <v>3116</v>
      </c>
      <c r="C41" s="361">
        <v>33.0</v>
      </c>
      <c r="D41" s="193" t="s">
        <v>62</v>
      </c>
      <c r="E41" s="193" t="s">
        <v>53</v>
      </c>
      <c r="F41" s="193" t="s">
        <v>24</v>
      </c>
      <c r="G41" s="362">
        <v>45987.0</v>
      </c>
      <c r="H41" s="193" t="s">
        <v>3429</v>
      </c>
      <c r="I41" s="193" t="s">
        <v>3430</v>
      </c>
      <c r="J41" s="193" t="s">
        <v>3431</v>
      </c>
      <c r="K41" s="193" t="s">
        <v>3432</v>
      </c>
      <c r="L41" s="193" t="s">
        <v>329</v>
      </c>
      <c r="M41" s="193" t="s">
        <v>3434</v>
      </c>
      <c r="N41" s="193" t="s">
        <v>3435</v>
      </c>
      <c r="O41" s="193" t="s">
        <v>3436</v>
      </c>
      <c r="S41" s="193" t="b">
        <v>0</v>
      </c>
    </row>
    <row r="42">
      <c r="A42" s="359">
        <v>46057.92342795139</v>
      </c>
      <c r="B42" s="193" t="s">
        <v>3116</v>
      </c>
      <c r="C42" s="361">
        <v>33.0</v>
      </c>
      <c r="D42" s="193" t="s">
        <v>62</v>
      </c>
      <c r="E42" s="193" t="s">
        <v>23</v>
      </c>
      <c r="F42" s="193" t="s">
        <v>24</v>
      </c>
      <c r="G42" s="362">
        <v>45987.0</v>
      </c>
      <c r="H42" s="193" t="s">
        <v>557</v>
      </c>
      <c r="I42" s="193" t="s">
        <v>560</v>
      </c>
      <c r="J42" s="193" t="s">
        <v>562</v>
      </c>
      <c r="K42" s="193" t="s">
        <v>566</v>
      </c>
      <c r="L42" s="193" t="s">
        <v>191</v>
      </c>
      <c r="M42" s="193" t="s">
        <v>571</v>
      </c>
      <c r="N42" s="193" t="s">
        <v>3444</v>
      </c>
      <c r="O42" s="193" t="s">
        <v>3445</v>
      </c>
      <c r="S42" s="193" t="b">
        <v>0</v>
      </c>
    </row>
    <row r="43">
      <c r="A43" s="359">
        <v>46057.92362914352</v>
      </c>
      <c r="B43" s="193" t="s">
        <v>3116</v>
      </c>
      <c r="C43" s="361">
        <v>33.0</v>
      </c>
      <c r="D43" s="193" t="s">
        <v>18</v>
      </c>
      <c r="E43" s="193" t="s">
        <v>19</v>
      </c>
      <c r="F43" s="193" t="s">
        <v>24</v>
      </c>
      <c r="G43" s="362">
        <v>45992.0</v>
      </c>
      <c r="H43" s="193" t="s">
        <v>1956</v>
      </c>
      <c r="I43" s="193" t="s">
        <v>1958</v>
      </c>
      <c r="J43" s="193" t="s">
        <v>1960</v>
      </c>
      <c r="K43" s="193" t="s">
        <v>1962</v>
      </c>
      <c r="L43" s="193" t="s">
        <v>1963</v>
      </c>
      <c r="M43" s="193" t="s">
        <v>1965</v>
      </c>
      <c r="N43" s="193" t="s">
        <v>3450</v>
      </c>
      <c r="O43" s="193" t="s">
        <v>1000</v>
      </c>
      <c r="S43" s="193" t="b">
        <v>0</v>
      </c>
    </row>
    <row r="44">
      <c r="A44" s="359">
        <v>46057.92375893518</v>
      </c>
      <c r="B44" s="193" t="s">
        <v>3116</v>
      </c>
      <c r="C44" s="361">
        <v>33.0</v>
      </c>
      <c r="D44" s="193" t="s">
        <v>18</v>
      </c>
      <c r="E44" s="193" t="s">
        <v>53</v>
      </c>
      <c r="F44" s="193" t="s">
        <v>24</v>
      </c>
      <c r="G44" s="362">
        <v>45992.0</v>
      </c>
      <c r="H44" s="193" t="s">
        <v>3454</v>
      </c>
      <c r="I44" s="193" t="s">
        <v>3455</v>
      </c>
      <c r="J44" s="193" t="s">
        <v>3456</v>
      </c>
      <c r="K44" s="193" t="s">
        <v>3458</v>
      </c>
      <c r="L44" s="193" t="s">
        <v>3359</v>
      </c>
      <c r="M44" s="193" t="s">
        <v>3459</v>
      </c>
      <c r="N44" s="193" t="s">
        <v>3460</v>
      </c>
      <c r="O44" s="193" t="s">
        <v>3462</v>
      </c>
      <c r="S44" s="193" t="b">
        <v>0</v>
      </c>
    </row>
    <row r="45">
      <c r="A45" s="359">
        <v>46057.923848645834</v>
      </c>
      <c r="B45" s="193" t="s">
        <v>3116</v>
      </c>
      <c r="C45" s="361">
        <v>34.0</v>
      </c>
      <c r="D45" s="193" t="s">
        <v>62</v>
      </c>
      <c r="E45" s="193" t="s">
        <v>53</v>
      </c>
      <c r="F45" s="193" t="s">
        <v>24</v>
      </c>
      <c r="G45" s="362">
        <v>45993.0</v>
      </c>
      <c r="H45" s="193" t="s">
        <v>2359</v>
      </c>
      <c r="I45" s="193" t="s">
        <v>3469</v>
      </c>
      <c r="J45" s="193" t="s">
        <v>3471</v>
      </c>
      <c r="K45" s="193" t="s">
        <v>3473</v>
      </c>
      <c r="L45" s="193" t="s">
        <v>558</v>
      </c>
      <c r="M45" s="193" t="s">
        <v>2367</v>
      </c>
      <c r="S45" s="193" t="b">
        <v>0</v>
      </c>
    </row>
    <row r="46">
      <c r="A46" s="359">
        <v>46057.924112395835</v>
      </c>
      <c r="B46" s="193" t="s">
        <v>3116</v>
      </c>
      <c r="C46" s="361">
        <v>34.0</v>
      </c>
      <c r="D46" s="193" t="s">
        <v>117</v>
      </c>
      <c r="E46" s="193" t="s">
        <v>53</v>
      </c>
      <c r="F46" s="193" t="s">
        <v>24</v>
      </c>
      <c r="G46" s="362">
        <v>45995.0</v>
      </c>
      <c r="H46" s="193" t="s">
        <v>531</v>
      </c>
      <c r="I46" s="193" t="s">
        <v>535</v>
      </c>
      <c r="J46" s="193" t="s">
        <v>538</v>
      </c>
      <c r="K46" s="193" t="s">
        <v>541</v>
      </c>
      <c r="L46" s="193" t="s">
        <v>544</v>
      </c>
      <c r="M46" s="193" t="s">
        <v>549</v>
      </c>
      <c r="N46" s="193" t="s">
        <v>3479</v>
      </c>
      <c r="O46" s="193" t="s">
        <v>3480</v>
      </c>
      <c r="S46" s="193" t="b">
        <v>0</v>
      </c>
    </row>
    <row r="47">
      <c r="A47" s="359">
        <v>46057.924196527776</v>
      </c>
      <c r="B47" s="193" t="s">
        <v>3116</v>
      </c>
      <c r="C47" s="361">
        <v>36.0</v>
      </c>
      <c r="D47" s="193" t="s">
        <v>410</v>
      </c>
      <c r="E47" s="193" t="s">
        <v>53</v>
      </c>
      <c r="G47" s="362">
        <v>46000.0</v>
      </c>
      <c r="H47" s="193" t="s">
        <v>3195</v>
      </c>
      <c r="I47" s="193" t="s">
        <v>3196</v>
      </c>
      <c r="J47" s="193" t="s">
        <v>3197</v>
      </c>
      <c r="K47" s="193" t="s">
        <v>3198</v>
      </c>
      <c r="L47" s="193" t="s">
        <v>1059</v>
      </c>
      <c r="M47" s="193" t="s">
        <v>3199</v>
      </c>
      <c r="O47" s="193" t="s">
        <v>3201</v>
      </c>
      <c r="S47" s="193" t="b">
        <v>0</v>
      </c>
    </row>
    <row r="48">
      <c r="A48" s="359">
        <v>46057.92444325231</v>
      </c>
      <c r="B48" s="193" t="s">
        <v>3116</v>
      </c>
      <c r="C48" s="361">
        <v>34.0</v>
      </c>
      <c r="D48" s="193" t="s">
        <v>117</v>
      </c>
      <c r="E48" s="193" t="s">
        <v>19</v>
      </c>
      <c r="F48" s="193" t="s">
        <v>24</v>
      </c>
      <c r="G48" s="362">
        <v>45995.0</v>
      </c>
      <c r="H48" s="193" t="s">
        <v>519</v>
      </c>
      <c r="I48" s="193" t="s">
        <v>521</v>
      </c>
      <c r="J48" s="193" t="s">
        <v>522</v>
      </c>
      <c r="K48" s="193" t="s">
        <v>523</v>
      </c>
      <c r="M48" s="193" t="s">
        <v>3494</v>
      </c>
      <c r="O48" s="193" t="s">
        <v>525</v>
      </c>
      <c r="S48" s="193" t="b">
        <v>0</v>
      </c>
    </row>
    <row r="49">
      <c r="A49" s="359">
        <v>46057.9244946875</v>
      </c>
      <c r="B49" s="193" t="s">
        <v>3116</v>
      </c>
      <c r="C49" s="361">
        <v>36.0</v>
      </c>
      <c r="D49" s="193" t="s">
        <v>117</v>
      </c>
      <c r="E49" s="193" t="s">
        <v>53</v>
      </c>
      <c r="G49" s="362">
        <v>46001.0</v>
      </c>
      <c r="H49" s="193" t="s">
        <v>334</v>
      </c>
      <c r="I49" s="193" t="s">
        <v>336</v>
      </c>
      <c r="J49" s="193" t="s">
        <v>3496</v>
      </c>
      <c r="K49" s="193" t="s">
        <v>339</v>
      </c>
      <c r="L49" s="193" t="s">
        <v>340</v>
      </c>
      <c r="M49" s="193" t="s">
        <v>342</v>
      </c>
      <c r="O49" s="193" t="s">
        <v>3498</v>
      </c>
      <c r="P49" s="359">
        <v>46038.58333333333</v>
      </c>
      <c r="S49" s="193" t="b">
        <v>0</v>
      </c>
    </row>
    <row r="50">
      <c r="A50" s="359">
        <v>46057.92454680556</v>
      </c>
      <c r="B50" s="193" t="s">
        <v>3116</v>
      </c>
      <c r="C50" s="361">
        <v>36.0</v>
      </c>
      <c r="D50" s="193" t="s">
        <v>22</v>
      </c>
      <c r="E50" s="193" t="s">
        <v>23</v>
      </c>
      <c r="G50" s="362">
        <v>46002.0</v>
      </c>
      <c r="H50" s="193" t="s">
        <v>708</v>
      </c>
      <c r="I50" s="193" t="s">
        <v>709</v>
      </c>
      <c r="J50" s="193" t="s">
        <v>711</v>
      </c>
      <c r="K50" s="193" t="s">
        <v>713</v>
      </c>
      <c r="L50" s="193" t="s">
        <v>388</v>
      </c>
      <c r="M50" s="193" t="s">
        <v>714</v>
      </c>
      <c r="S50" s="193" t="b">
        <v>0</v>
      </c>
    </row>
    <row r="51">
      <c r="A51" s="359">
        <v>46057.925051956016</v>
      </c>
      <c r="B51" s="193" t="s">
        <v>3116</v>
      </c>
      <c r="C51" s="361">
        <v>37.0</v>
      </c>
      <c r="D51" s="193" t="s">
        <v>17</v>
      </c>
      <c r="E51" s="193" t="s">
        <v>23</v>
      </c>
      <c r="F51" s="193" t="s">
        <v>1451</v>
      </c>
      <c r="G51" s="362">
        <v>46003.0</v>
      </c>
      <c r="H51" s="193" t="s">
        <v>3203</v>
      </c>
      <c r="I51" s="193" t="s">
        <v>3204</v>
      </c>
      <c r="J51" s="193" t="s">
        <v>3205</v>
      </c>
      <c r="K51" s="193" t="s">
        <v>3206</v>
      </c>
      <c r="L51" s="193" t="s">
        <v>3209</v>
      </c>
      <c r="M51" s="193" t="s">
        <v>3210</v>
      </c>
      <c r="N51" s="193" t="s">
        <v>3212</v>
      </c>
      <c r="O51" s="193" t="s">
        <v>2135</v>
      </c>
      <c r="S51" s="193" t="b">
        <v>0</v>
      </c>
    </row>
    <row r="52">
      <c r="A52" s="359">
        <v>46057.925286412035</v>
      </c>
      <c r="B52" s="193" t="s">
        <v>3116</v>
      </c>
      <c r="C52" s="361">
        <v>39.0</v>
      </c>
      <c r="D52" s="193" t="s">
        <v>17</v>
      </c>
      <c r="E52" s="193" t="s">
        <v>23</v>
      </c>
      <c r="F52" s="193" t="s">
        <v>24</v>
      </c>
      <c r="G52" s="362">
        <v>46006.0</v>
      </c>
      <c r="H52" s="193" t="s">
        <v>213</v>
      </c>
      <c r="I52" s="193" t="s">
        <v>214</v>
      </c>
      <c r="J52" s="193" t="s">
        <v>3517</v>
      </c>
      <c r="K52" s="193" t="s">
        <v>217</v>
      </c>
      <c r="L52" s="193" t="s">
        <v>218</v>
      </c>
      <c r="M52" s="193" t="s">
        <v>221</v>
      </c>
      <c r="N52" s="362">
        <v>45677.0</v>
      </c>
      <c r="O52" s="193" t="s">
        <v>3519</v>
      </c>
      <c r="S52" s="193" t="b">
        <v>0</v>
      </c>
    </row>
    <row r="53">
      <c r="A53" s="359">
        <v>46057.925458032405</v>
      </c>
      <c r="B53" s="193" t="s">
        <v>3116</v>
      </c>
      <c r="C53" s="361">
        <v>40.0</v>
      </c>
      <c r="D53" s="193" t="s">
        <v>17</v>
      </c>
      <c r="E53" s="193" t="s">
        <v>23</v>
      </c>
      <c r="F53" s="193" t="s">
        <v>24</v>
      </c>
      <c r="G53" s="362">
        <v>46008.0</v>
      </c>
      <c r="H53" s="193" t="s">
        <v>93</v>
      </c>
      <c r="I53" s="193" t="s">
        <v>94</v>
      </c>
      <c r="J53" s="193" t="s">
        <v>95</v>
      </c>
      <c r="K53" s="193" t="s">
        <v>96</v>
      </c>
      <c r="L53" s="193" t="s">
        <v>97</v>
      </c>
      <c r="M53" s="193" t="s">
        <v>99</v>
      </c>
      <c r="N53" s="193" t="s">
        <v>3526</v>
      </c>
      <c r="O53" s="193" t="s">
        <v>3527</v>
      </c>
      <c r="S53" s="193" t="b">
        <v>0</v>
      </c>
    </row>
    <row r="54">
      <c r="A54" s="359">
        <v>46057.92598266204</v>
      </c>
      <c r="B54" s="193" t="s">
        <v>3116</v>
      </c>
      <c r="C54" s="361">
        <v>46.0</v>
      </c>
      <c r="D54" s="193" t="s">
        <v>135</v>
      </c>
      <c r="E54" s="193" t="s">
        <v>53</v>
      </c>
      <c r="F54" s="193" t="s">
        <v>24</v>
      </c>
      <c r="G54" s="362">
        <v>46009.0</v>
      </c>
      <c r="H54" s="193" t="s">
        <v>136</v>
      </c>
      <c r="I54" s="193" t="s">
        <v>137</v>
      </c>
      <c r="J54" s="193" t="s">
        <v>138</v>
      </c>
      <c r="K54" s="193" t="s">
        <v>139</v>
      </c>
      <c r="L54" s="193" t="s">
        <v>140</v>
      </c>
      <c r="M54" s="193" t="s">
        <v>141</v>
      </c>
      <c r="O54" s="193" t="s">
        <v>3532</v>
      </c>
      <c r="S54" s="193" t="b">
        <v>0</v>
      </c>
    </row>
    <row r="55">
      <c r="A55" s="359">
        <v>46057.92602594907</v>
      </c>
      <c r="B55" s="193" t="s">
        <v>3116</v>
      </c>
      <c r="C55" s="361">
        <v>47.0</v>
      </c>
      <c r="D55" s="193" t="s">
        <v>17</v>
      </c>
      <c r="E55" s="193" t="s">
        <v>53</v>
      </c>
      <c r="G55" s="362">
        <v>46027.0</v>
      </c>
      <c r="H55" s="193" t="s">
        <v>151</v>
      </c>
      <c r="I55" s="193" t="s">
        <v>152</v>
      </c>
      <c r="J55" s="193" t="s">
        <v>153</v>
      </c>
      <c r="K55" s="193" t="s">
        <v>154</v>
      </c>
      <c r="L55" s="193" t="s">
        <v>156</v>
      </c>
      <c r="M55" s="193" t="s">
        <v>157</v>
      </c>
      <c r="O55" s="193" t="s">
        <v>3540</v>
      </c>
      <c r="P55" s="359">
        <v>46031.66666666667</v>
      </c>
      <c r="S55" s="193" t="b">
        <v>0</v>
      </c>
    </row>
    <row r="56">
      <c r="A56" s="359">
        <v>46057.926425949074</v>
      </c>
      <c r="B56" s="193" t="s">
        <v>3116</v>
      </c>
      <c r="C56" s="361">
        <v>49.0</v>
      </c>
      <c r="D56" s="193" t="s">
        <v>135</v>
      </c>
      <c r="E56" s="193" t="s">
        <v>225</v>
      </c>
      <c r="F56" s="193" t="s">
        <v>1451</v>
      </c>
      <c r="G56" s="362">
        <v>46013.0</v>
      </c>
      <c r="H56" s="193" t="s">
        <v>3214</v>
      </c>
      <c r="I56" s="193" t="s">
        <v>3214</v>
      </c>
      <c r="J56" s="193" t="s">
        <v>3215</v>
      </c>
      <c r="K56" s="193" t="s">
        <v>3216</v>
      </c>
      <c r="L56" s="193" t="s">
        <v>3217</v>
      </c>
      <c r="M56" s="193" t="s">
        <v>3219</v>
      </c>
      <c r="O56" s="193" t="s">
        <v>3220</v>
      </c>
      <c r="S56" s="193" t="b">
        <v>0</v>
      </c>
    </row>
    <row r="57">
      <c r="A57" s="359">
        <v>46057.92668966435</v>
      </c>
      <c r="B57" s="193" t="s">
        <v>3116</v>
      </c>
      <c r="C57" s="361">
        <v>51.0</v>
      </c>
      <c r="D57" s="193" t="s">
        <v>135</v>
      </c>
      <c r="E57" s="193" t="s">
        <v>225</v>
      </c>
      <c r="F57" s="193" t="s">
        <v>1451</v>
      </c>
      <c r="G57" s="362">
        <v>45664.0</v>
      </c>
      <c r="H57" s="193" t="s">
        <v>3553</v>
      </c>
      <c r="I57" s="193" t="s">
        <v>3555</v>
      </c>
      <c r="J57" s="193" t="s">
        <v>3557</v>
      </c>
      <c r="K57" s="193" t="s">
        <v>3558</v>
      </c>
      <c r="L57" s="193" t="s">
        <v>2317</v>
      </c>
      <c r="M57" s="193" t="s">
        <v>3560</v>
      </c>
      <c r="N57" s="193" t="s">
        <v>3561</v>
      </c>
      <c r="O57" s="193" t="s">
        <v>3562</v>
      </c>
      <c r="S57" s="193" t="b">
        <v>0</v>
      </c>
    </row>
    <row r="58">
      <c r="A58" s="359">
        <v>46057.92684861111</v>
      </c>
      <c r="B58" s="193" t="s">
        <v>3116</v>
      </c>
      <c r="C58" s="361">
        <v>52.0</v>
      </c>
      <c r="D58" s="193" t="s">
        <v>62</v>
      </c>
      <c r="E58" s="193" t="s">
        <v>53</v>
      </c>
      <c r="F58" s="193" t="s">
        <v>24</v>
      </c>
      <c r="G58" s="362">
        <v>46030.0</v>
      </c>
      <c r="H58" s="193" t="s">
        <v>722</v>
      </c>
      <c r="I58" s="193" t="s">
        <v>724</v>
      </c>
      <c r="J58" s="193" t="s">
        <v>726</v>
      </c>
      <c r="K58" s="193" t="s">
        <v>728</v>
      </c>
      <c r="L58" s="193" t="s">
        <v>453</v>
      </c>
      <c r="M58" s="193" t="s">
        <v>730</v>
      </c>
      <c r="S58" s="193" t="b">
        <v>0</v>
      </c>
    </row>
    <row r="59">
      <c r="A59" s="359">
        <v>46057.927120810185</v>
      </c>
      <c r="B59" s="193" t="s">
        <v>3116</v>
      </c>
      <c r="C59" s="361">
        <v>53.0</v>
      </c>
      <c r="D59" s="193" t="s">
        <v>22</v>
      </c>
      <c r="E59" s="193" t="s">
        <v>53</v>
      </c>
      <c r="F59" s="193" t="s">
        <v>24</v>
      </c>
      <c r="G59" s="362">
        <v>46031.0</v>
      </c>
      <c r="H59" s="193" t="s">
        <v>3229</v>
      </c>
      <c r="I59" s="193" t="s">
        <v>3570</v>
      </c>
      <c r="J59" s="193" t="s">
        <v>3231</v>
      </c>
      <c r="K59" s="193" t="s">
        <v>3232</v>
      </c>
      <c r="L59" s="193" t="s">
        <v>1654</v>
      </c>
      <c r="M59" s="193" t="s">
        <v>3577</v>
      </c>
      <c r="N59" s="193" t="s">
        <v>3579</v>
      </c>
      <c r="O59" s="193" t="s">
        <v>3582</v>
      </c>
      <c r="P59" s="193" t="s">
        <v>3584</v>
      </c>
      <c r="S59" s="193" t="b">
        <v>0</v>
      </c>
    </row>
    <row r="60">
      <c r="A60" s="359">
        <v>46057.92732758102</v>
      </c>
      <c r="B60" s="193" t="s">
        <v>3116</v>
      </c>
      <c r="C60" s="361">
        <v>53.0</v>
      </c>
      <c r="D60" s="193" t="s">
        <v>22</v>
      </c>
      <c r="E60" s="193" t="s">
        <v>23</v>
      </c>
      <c r="F60" s="193" t="s">
        <v>24</v>
      </c>
      <c r="G60" s="362">
        <v>46031.0</v>
      </c>
      <c r="H60" s="193" t="s">
        <v>297</v>
      </c>
      <c r="I60" s="193" t="s">
        <v>298</v>
      </c>
      <c r="J60" s="193" t="s">
        <v>3588</v>
      </c>
      <c r="K60" s="193" t="s">
        <v>300</v>
      </c>
      <c r="L60" s="193" t="s">
        <v>301</v>
      </c>
      <c r="M60" s="193" t="s">
        <v>302</v>
      </c>
      <c r="N60" s="193" t="s">
        <v>3590</v>
      </c>
      <c r="O60" s="193" t="s">
        <v>3592</v>
      </c>
      <c r="S60" s="193" t="b">
        <v>0</v>
      </c>
    </row>
    <row r="61">
      <c r="A61" s="359">
        <v>46057.92740851852</v>
      </c>
      <c r="B61" s="193" t="s">
        <v>3116</v>
      </c>
      <c r="C61" s="361">
        <v>54.0</v>
      </c>
      <c r="D61" s="193" t="s">
        <v>17</v>
      </c>
      <c r="E61" s="193" t="s">
        <v>23</v>
      </c>
      <c r="F61" s="193" t="s">
        <v>24</v>
      </c>
      <c r="G61" s="362">
        <v>46034.0</v>
      </c>
      <c r="H61" s="193" t="s">
        <v>553</v>
      </c>
      <c r="I61" s="193" t="s">
        <v>554</v>
      </c>
      <c r="J61" s="193" t="s">
        <v>555</v>
      </c>
      <c r="K61" s="193" t="s">
        <v>556</v>
      </c>
      <c r="L61" s="193" t="s">
        <v>558</v>
      </c>
      <c r="M61" s="193" t="s">
        <v>561</v>
      </c>
      <c r="N61" s="193" t="s">
        <v>3601</v>
      </c>
      <c r="S61" s="193" t="b">
        <v>0</v>
      </c>
    </row>
    <row r="62">
      <c r="A62" s="359">
        <v>46057.927569189815</v>
      </c>
      <c r="B62" s="193" t="s">
        <v>3116</v>
      </c>
      <c r="C62" s="361">
        <v>53.0</v>
      </c>
      <c r="D62" s="193" t="s">
        <v>18</v>
      </c>
      <c r="E62" s="193" t="s">
        <v>19</v>
      </c>
      <c r="F62" s="193" t="s">
        <v>24</v>
      </c>
      <c r="G62" s="362">
        <v>46031.0</v>
      </c>
      <c r="H62" s="193" t="s">
        <v>170</v>
      </c>
      <c r="I62" s="193" t="s">
        <v>171</v>
      </c>
      <c r="J62" s="193" t="s">
        <v>172</v>
      </c>
      <c r="K62" s="193" t="s">
        <v>173</v>
      </c>
      <c r="L62" s="193" t="s">
        <v>174</v>
      </c>
      <c r="M62" s="193" t="s">
        <v>176</v>
      </c>
      <c r="O62" s="193" t="s">
        <v>3611</v>
      </c>
      <c r="P62" s="193" t="s">
        <v>3613</v>
      </c>
      <c r="S62" s="193" t="b">
        <v>0</v>
      </c>
    </row>
    <row r="63">
      <c r="A63" s="359">
        <v>46057.92798094907</v>
      </c>
      <c r="B63" s="193" t="s">
        <v>3116</v>
      </c>
      <c r="C63" s="361">
        <v>55.0</v>
      </c>
      <c r="D63" s="193" t="s">
        <v>62</v>
      </c>
      <c r="E63" s="193" t="s">
        <v>225</v>
      </c>
      <c r="F63" s="193" t="s">
        <v>24</v>
      </c>
      <c r="G63" s="362">
        <v>46035.0</v>
      </c>
      <c r="H63" s="193" t="s">
        <v>500</v>
      </c>
      <c r="I63" s="193" t="s">
        <v>501</v>
      </c>
      <c r="J63" s="193" t="s">
        <v>502</v>
      </c>
      <c r="K63" s="193" t="s">
        <v>503</v>
      </c>
      <c r="L63" s="193" t="s">
        <v>269</v>
      </c>
      <c r="M63" s="193" t="s">
        <v>504</v>
      </c>
      <c r="N63" s="193" t="s">
        <v>505</v>
      </c>
      <c r="S63" s="193" t="b">
        <v>0</v>
      </c>
    </row>
    <row r="64">
      <c r="A64" s="359">
        <v>46057.92864349537</v>
      </c>
      <c r="B64" s="193" t="s">
        <v>3116</v>
      </c>
      <c r="C64" s="361">
        <v>56.0</v>
      </c>
      <c r="D64" s="193" t="s">
        <v>17</v>
      </c>
      <c r="E64" s="193" t="s">
        <v>53</v>
      </c>
      <c r="F64" s="193" t="s">
        <v>24</v>
      </c>
      <c r="G64" s="362">
        <v>46036.0</v>
      </c>
      <c r="H64" s="193" t="s">
        <v>3623</v>
      </c>
      <c r="I64" s="193" t="s">
        <v>3625</v>
      </c>
      <c r="J64" s="193" t="s">
        <v>3626</v>
      </c>
      <c r="K64" s="193" t="s">
        <v>3627</v>
      </c>
      <c r="L64" s="193" t="s">
        <v>401</v>
      </c>
      <c r="M64" s="193" t="s">
        <v>3629</v>
      </c>
      <c r="N64" s="193" t="s">
        <v>3630</v>
      </c>
      <c r="O64" s="193" t="s">
        <v>3631</v>
      </c>
      <c r="S64" s="193" t="b">
        <v>0</v>
      </c>
    </row>
    <row r="65">
      <c r="A65" s="359">
        <v>46057.928878113424</v>
      </c>
      <c r="B65" s="193" t="s">
        <v>3116</v>
      </c>
      <c r="C65" s="361">
        <v>57.0</v>
      </c>
      <c r="D65" s="193" t="s">
        <v>410</v>
      </c>
      <c r="E65" s="193" t="s">
        <v>53</v>
      </c>
      <c r="F65" s="193" t="s">
        <v>24</v>
      </c>
      <c r="G65" s="362">
        <v>46037.0</v>
      </c>
      <c r="H65" s="193" t="s">
        <v>1801</v>
      </c>
      <c r="I65" s="193" t="s">
        <v>1803</v>
      </c>
      <c r="J65" s="361">
        <v>5.618438286E9</v>
      </c>
      <c r="K65" s="193" t="s">
        <v>3634</v>
      </c>
      <c r="L65" s="193" t="s">
        <v>1807</v>
      </c>
      <c r="M65" s="193" t="s">
        <v>1810</v>
      </c>
      <c r="N65" s="193" t="s">
        <v>3636</v>
      </c>
      <c r="O65" s="193" t="s">
        <v>3637</v>
      </c>
      <c r="S65" s="193" t="b">
        <v>0</v>
      </c>
    </row>
    <row r="66">
      <c r="A66" s="359">
        <v>46057.92892748842</v>
      </c>
      <c r="B66" s="193" t="s">
        <v>3116</v>
      </c>
      <c r="C66" s="361">
        <v>58.0</v>
      </c>
      <c r="D66" s="193" t="s">
        <v>17</v>
      </c>
      <c r="E66" s="193" t="s">
        <v>225</v>
      </c>
      <c r="G66" s="362">
        <v>46038.0</v>
      </c>
      <c r="H66" s="193" t="s">
        <v>3645</v>
      </c>
      <c r="I66" s="193" t="s">
        <v>3647</v>
      </c>
      <c r="J66" s="193" t="s">
        <v>3649</v>
      </c>
      <c r="K66" s="193" t="s">
        <v>3650</v>
      </c>
      <c r="L66" s="193" t="s">
        <v>2827</v>
      </c>
      <c r="M66" s="193" t="s">
        <v>3652</v>
      </c>
      <c r="N66" s="193" t="s">
        <v>3653</v>
      </c>
      <c r="O66" s="193" t="s">
        <v>3654</v>
      </c>
      <c r="S66" s="193" t="b">
        <v>0</v>
      </c>
    </row>
    <row r="67">
      <c r="A67" s="359">
        <v>46057.92947107639</v>
      </c>
      <c r="B67" s="193" t="s">
        <v>3116</v>
      </c>
      <c r="C67" s="361">
        <v>58.0</v>
      </c>
      <c r="D67" s="193" t="s">
        <v>17</v>
      </c>
      <c r="E67" s="193" t="s">
        <v>53</v>
      </c>
      <c r="F67" s="193" t="s">
        <v>24</v>
      </c>
      <c r="G67" s="362">
        <v>46038.0</v>
      </c>
      <c r="H67" s="193" t="s">
        <v>3657</v>
      </c>
      <c r="I67" s="193" t="s">
        <v>3658</v>
      </c>
      <c r="J67" s="193" t="s">
        <v>3659</v>
      </c>
      <c r="K67" s="193" t="s">
        <v>3661</v>
      </c>
      <c r="L67" s="193" t="s">
        <v>1467</v>
      </c>
      <c r="M67" s="193" t="s">
        <v>3663</v>
      </c>
      <c r="N67" s="193" t="s">
        <v>3667</v>
      </c>
      <c r="O67" s="193" t="s">
        <v>3669</v>
      </c>
      <c r="P67" s="362">
        <v>46048.0</v>
      </c>
      <c r="S67" s="193" t="b">
        <v>0</v>
      </c>
    </row>
    <row r="68">
      <c r="A68" s="359">
        <v>46057.92974076389</v>
      </c>
      <c r="B68" s="193" t="s">
        <v>3116</v>
      </c>
      <c r="C68" s="361">
        <v>59.0</v>
      </c>
      <c r="D68" s="193" t="s">
        <v>17</v>
      </c>
      <c r="E68" s="193" t="s">
        <v>23</v>
      </c>
      <c r="F68" s="193" t="s">
        <v>24</v>
      </c>
      <c r="G68" s="362">
        <v>46041.0</v>
      </c>
      <c r="H68" s="193" t="s">
        <v>186</v>
      </c>
      <c r="I68" s="193" t="s">
        <v>187</v>
      </c>
      <c r="J68" s="193" t="s">
        <v>189</v>
      </c>
      <c r="K68" s="193" t="s">
        <v>190</v>
      </c>
      <c r="L68" s="193" t="s">
        <v>191</v>
      </c>
      <c r="M68" s="193" t="s">
        <v>193</v>
      </c>
      <c r="N68" s="193" t="s">
        <v>3677</v>
      </c>
      <c r="S68" s="193" t="b">
        <v>0</v>
      </c>
    </row>
    <row r="69">
      <c r="A69" s="359">
        <v>46057.929957326385</v>
      </c>
      <c r="B69" s="193" t="s">
        <v>3116</v>
      </c>
      <c r="C69" s="361">
        <v>59.0</v>
      </c>
      <c r="D69" s="193" t="s">
        <v>410</v>
      </c>
      <c r="E69" s="193" t="s">
        <v>53</v>
      </c>
      <c r="F69" s="193" t="s">
        <v>24</v>
      </c>
      <c r="G69" s="362">
        <v>46043.0</v>
      </c>
      <c r="H69" s="193" t="s">
        <v>3484</v>
      </c>
      <c r="I69" s="193" t="s">
        <v>3486</v>
      </c>
      <c r="J69" s="193" t="s">
        <v>3487</v>
      </c>
      <c r="K69" s="193" t="s">
        <v>3489</v>
      </c>
      <c r="L69" s="193" t="s">
        <v>69</v>
      </c>
      <c r="M69" s="193" t="s">
        <v>3491</v>
      </c>
      <c r="N69" s="193" t="s">
        <v>3687</v>
      </c>
      <c r="O69" s="359">
        <v>46059.47916666667</v>
      </c>
      <c r="S69" s="193" t="b">
        <v>0</v>
      </c>
    </row>
    <row r="70">
      <c r="A70" s="359">
        <v>46057.93022165509</v>
      </c>
      <c r="B70" s="193" t="s">
        <v>3116</v>
      </c>
      <c r="C70" s="361">
        <v>59.0</v>
      </c>
      <c r="D70" s="193" t="s">
        <v>17</v>
      </c>
      <c r="E70" s="193" t="s">
        <v>23</v>
      </c>
      <c r="F70" s="193" t="s">
        <v>24</v>
      </c>
      <c r="G70" s="362">
        <v>46043.0</v>
      </c>
      <c r="H70" s="193" t="s">
        <v>1837</v>
      </c>
      <c r="I70" s="193" t="s">
        <v>1838</v>
      </c>
      <c r="J70" s="193" t="s">
        <v>1839</v>
      </c>
      <c r="K70" s="193" t="s">
        <v>1840</v>
      </c>
      <c r="L70" s="193" t="s">
        <v>1843</v>
      </c>
      <c r="M70" s="193" t="s">
        <v>1848</v>
      </c>
      <c r="N70" s="193" t="s">
        <v>3697</v>
      </c>
      <c r="S70" s="193" t="b">
        <v>0</v>
      </c>
    </row>
    <row r="71">
      <c r="A71" s="359">
        <v>46057.93090924769</v>
      </c>
      <c r="B71" s="193" t="s">
        <v>3116</v>
      </c>
      <c r="C71" s="361">
        <v>60.0</v>
      </c>
      <c r="D71" s="193" t="s">
        <v>62</v>
      </c>
      <c r="E71" s="193" t="s">
        <v>23</v>
      </c>
      <c r="F71" s="193" t="s">
        <v>24</v>
      </c>
      <c r="G71" s="362">
        <v>46043.0</v>
      </c>
      <c r="H71" s="193" t="s">
        <v>526</v>
      </c>
      <c r="I71" s="193" t="s">
        <v>527</v>
      </c>
      <c r="J71" s="193" t="s">
        <v>528</v>
      </c>
      <c r="K71" s="193" t="s">
        <v>530</v>
      </c>
      <c r="L71" s="193" t="s">
        <v>534</v>
      </c>
      <c r="M71" s="193" t="s">
        <v>539</v>
      </c>
      <c r="N71" s="193" t="s">
        <v>3704</v>
      </c>
      <c r="O71" s="193" t="s">
        <v>3706</v>
      </c>
      <c r="S71" s="193" t="b">
        <v>0</v>
      </c>
    </row>
    <row r="72">
      <c r="A72" s="359">
        <v>46057.930966087966</v>
      </c>
      <c r="B72" s="193" t="s">
        <v>3116</v>
      </c>
      <c r="C72" s="361">
        <v>41.0</v>
      </c>
      <c r="D72" s="193" t="s">
        <v>17</v>
      </c>
      <c r="E72" s="193" t="s">
        <v>587</v>
      </c>
      <c r="F72" s="193" t="s">
        <v>24</v>
      </c>
      <c r="G72" s="362">
        <v>46008.0</v>
      </c>
      <c r="H72" s="193" t="s">
        <v>1948</v>
      </c>
      <c r="I72" s="193" t="s">
        <v>1951</v>
      </c>
      <c r="J72" s="193" t="s">
        <v>1952</v>
      </c>
      <c r="S72" s="193" t="b">
        <v>0</v>
      </c>
    </row>
    <row r="73">
      <c r="A73" s="359">
        <v>46057.931188229166</v>
      </c>
      <c r="B73" s="193" t="s">
        <v>3116</v>
      </c>
      <c r="C73" s="361">
        <v>60.0</v>
      </c>
      <c r="D73" s="193" t="s">
        <v>62</v>
      </c>
      <c r="E73" s="193" t="s">
        <v>225</v>
      </c>
      <c r="F73" s="193" t="s">
        <v>24</v>
      </c>
      <c r="G73" s="362">
        <v>46043.0</v>
      </c>
      <c r="H73" s="193" t="s">
        <v>480</v>
      </c>
      <c r="I73" s="193" t="s">
        <v>483</v>
      </c>
      <c r="J73" s="193" t="s">
        <v>484</v>
      </c>
      <c r="K73" s="193" t="s">
        <v>487</v>
      </c>
      <c r="L73" s="193" t="s">
        <v>490</v>
      </c>
      <c r="M73" s="193" t="s">
        <v>493</v>
      </c>
      <c r="N73" s="193" t="s">
        <v>3723</v>
      </c>
      <c r="O73" s="362">
        <v>45687.0</v>
      </c>
      <c r="S73" s="193" t="b">
        <v>0</v>
      </c>
    </row>
    <row r="74">
      <c r="A74" s="359">
        <v>46057.93146015046</v>
      </c>
      <c r="B74" s="193" t="s">
        <v>3116</v>
      </c>
      <c r="C74" s="361">
        <v>61.0</v>
      </c>
      <c r="D74" s="193" t="s">
        <v>62</v>
      </c>
      <c r="E74" s="193" t="s">
        <v>225</v>
      </c>
      <c r="F74" s="193" t="s">
        <v>24</v>
      </c>
      <c r="G74" s="362">
        <v>46044.0</v>
      </c>
      <c r="H74" s="193" t="s">
        <v>835</v>
      </c>
      <c r="I74" s="193" t="s">
        <v>836</v>
      </c>
      <c r="J74" s="193" t="s">
        <v>837</v>
      </c>
      <c r="K74" s="193" t="s">
        <v>838</v>
      </c>
      <c r="L74" s="193" t="s">
        <v>3726</v>
      </c>
      <c r="M74" s="193" t="s">
        <v>3728</v>
      </c>
      <c r="N74" s="193" t="s">
        <v>3729</v>
      </c>
      <c r="O74" s="193" t="s">
        <v>3731</v>
      </c>
      <c r="S74" s="193" t="b">
        <v>0</v>
      </c>
    </row>
    <row r="75">
      <c r="A75" s="359">
        <v>46057.931779606486</v>
      </c>
      <c r="B75" s="193" t="s">
        <v>3116</v>
      </c>
      <c r="C75" s="361">
        <v>62.0</v>
      </c>
      <c r="D75" s="193" t="s">
        <v>62</v>
      </c>
      <c r="E75" s="193" t="s">
        <v>225</v>
      </c>
      <c r="F75" s="193" t="s">
        <v>24</v>
      </c>
      <c r="G75" s="362">
        <v>46045.0</v>
      </c>
      <c r="H75" s="193" t="s">
        <v>1025</v>
      </c>
      <c r="I75" s="193" t="s">
        <v>1026</v>
      </c>
      <c r="J75" s="193" t="s">
        <v>1027</v>
      </c>
      <c r="K75" s="193" t="s">
        <v>1028</v>
      </c>
      <c r="L75" s="193" t="s">
        <v>3735</v>
      </c>
      <c r="M75" s="193" t="s">
        <v>3736</v>
      </c>
      <c r="N75" s="193" t="s">
        <v>3737</v>
      </c>
      <c r="S75" s="193" t="b">
        <v>0</v>
      </c>
    </row>
    <row r="76">
      <c r="A76" s="359">
        <v>46057.9321447338</v>
      </c>
      <c r="B76" s="193" t="s">
        <v>3116</v>
      </c>
      <c r="C76" s="361">
        <v>63.0</v>
      </c>
      <c r="D76" s="193" t="s">
        <v>62</v>
      </c>
      <c r="E76" s="193" t="s">
        <v>225</v>
      </c>
      <c r="F76" s="193" t="s">
        <v>1410</v>
      </c>
      <c r="G76" s="362">
        <v>46045.0</v>
      </c>
      <c r="H76" s="193" t="s">
        <v>738</v>
      </c>
      <c r="I76" s="193" t="s">
        <v>739</v>
      </c>
      <c r="J76" s="193" t="s">
        <v>740</v>
      </c>
      <c r="K76" s="193" t="s">
        <v>741</v>
      </c>
      <c r="L76" s="193" t="s">
        <v>3742</v>
      </c>
      <c r="M76" s="193" t="s">
        <v>750</v>
      </c>
      <c r="N76" s="193" t="s">
        <v>3744</v>
      </c>
      <c r="S76" s="193" t="b">
        <v>0</v>
      </c>
    </row>
    <row r="77">
      <c r="A77" s="359">
        <v>46057.93275561342</v>
      </c>
      <c r="B77" s="193" t="s">
        <v>3116</v>
      </c>
      <c r="C77" s="361">
        <v>67.0</v>
      </c>
      <c r="D77" s="193" t="s">
        <v>17</v>
      </c>
      <c r="E77" s="193" t="s">
        <v>53</v>
      </c>
      <c r="F77" s="193" t="s">
        <v>24</v>
      </c>
      <c r="G77" s="362">
        <v>46050.0</v>
      </c>
      <c r="H77" s="193" t="s">
        <v>3746</v>
      </c>
      <c r="I77" s="193" t="s">
        <v>3747</v>
      </c>
      <c r="J77" s="193" t="s">
        <v>3748</v>
      </c>
      <c r="K77" s="193" t="s">
        <v>3749</v>
      </c>
      <c r="L77" s="193" t="s">
        <v>1119</v>
      </c>
      <c r="M77" s="193" t="s">
        <v>3750</v>
      </c>
      <c r="N77" s="193" t="s">
        <v>3752</v>
      </c>
      <c r="S77" s="193" t="b">
        <v>0</v>
      </c>
    </row>
    <row r="78">
      <c r="A78" s="359">
        <v>46057.933091342595</v>
      </c>
      <c r="B78" s="193" t="s">
        <v>3116</v>
      </c>
      <c r="C78" s="361">
        <v>68.0</v>
      </c>
      <c r="D78" s="193" t="s">
        <v>22</v>
      </c>
      <c r="E78" s="193" t="s">
        <v>198</v>
      </c>
      <c r="F78" s="193" t="s">
        <v>24</v>
      </c>
      <c r="G78" s="362">
        <v>46052.0</v>
      </c>
      <c r="H78" s="193" t="s">
        <v>202</v>
      </c>
      <c r="I78" s="193" t="s">
        <v>204</v>
      </c>
      <c r="J78" s="361">
        <v>8.454590212E9</v>
      </c>
      <c r="K78" s="193" t="s">
        <v>208</v>
      </c>
      <c r="L78" s="193" t="s">
        <v>210</v>
      </c>
      <c r="S78" s="193" t="b">
        <v>0</v>
      </c>
    </row>
    <row r="79">
      <c r="A79" s="359">
        <v>46057.933996168984</v>
      </c>
      <c r="B79" s="193" t="s">
        <v>3116</v>
      </c>
      <c r="C79" s="361">
        <v>67.0</v>
      </c>
      <c r="D79" s="193" t="s">
        <v>62</v>
      </c>
      <c r="E79" s="193" t="s">
        <v>225</v>
      </c>
      <c r="F79" s="193" t="s">
        <v>24</v>
      </c>
      <c r="G79" s="362">
        <v>46052.0</v>
      </c>
      <c r="H79" s="193" t="s">
        <v>3758</v>
      </c>
      <c r="I79" s="193" t="s">
        <v>3759</v>
      </c>
      <c r="J79" s="193" t="s">
        <v>3760</v>
      </c>
      <c r="K79" s="193" t="s">
        <v>3761</v>
      </c>
      <c r="L79" s="193" t="s">
        <v>3763</v>
      </c>
      <c r="M79" s="193" t="s">
        <v>3764</v>
      </c>
      <c r="N79" s="193" t="s">
        <v>3765</v>
      </c>
      <c r="S79" s="193" t="b">
        <v>0</v>
      </c>
    </row>
    <row r="80">
      <c r="A80" s="359">
        <v>46057.934045682865</v>
      </c>
      <c r="B80" s="193" t="s">
        <v>3116</v>
      </c>
      <c r="C80" s="361">
        <v>68.0</v>
      </c>
      <c r="D80" s="193" t="s">
        <v>22</v>
      </c>
      <c r="E80" s="193" t="s">
        <v>53</v>
      </c>
      <c r="G80" s="362">
        <v>46055.0</v>
      </c>
      <c r="H80" s="193" t="s">
        <v>3769</v>
      </c>
      <c r="I80" s="193" t="s">
        <v>3770</v>
      </c>
      <c r="J80" s="193" t="s">
        <v>3771</v>
      </c>
      <c r="K80" s="193" t="s">
        <v>3773</v>
      </c>
      <c r="L80" s="193" t="s">
        <v>290</v>
      </c>
      <c r="M80" s="193" t="s">
        <v>3774</v>
      </c>
      <c r="N80" s="193" t="s">
        <v>3775</v>
      </c>
      <c r="S80" s="193" t="b">
        <v>0</v>
      </c>
    </row>
    <row r="81">
      <c r="A81" s="359">
        <v>46057.93514035879</v>
      </c>
      <c r="B81" s="193" t="s">
        <v>3116</v>
      </c>
      <c r="C81" s="361">
        <v>51.0</v>
      </c>
      <c r="D81" s="193" t="s">
        <v>22</v>
      </c>
      <c r="E81" s="193" t="s">
        <v>19</v>
      </c>
      <c r="F81" s="193" t="s">
        <v>24</v>
      </c>
      <c r="G81" s="362">
        <v>46049.0</v>
      </c>
      <c r="H81" s="193" t="s">
        <v>3499</v>
      </c>
      <c r="I81" s="193" t="s">
        <v>3500</v>
      </c>
      <c r="J81" s="193" t="s">
        <v>3501</v>
      </c>
      <c r="K81" s="193" t="s">
        <v>3502</v>
      </c>
      <c r="L81" s="193" t="s">
        <v>340</v>
      </c>
      <c r="M81" s="193" t="s">
        <v>3504</v>
      </c>
      <c r="O81" s="193" t="s">
        <v>3505</v>
      </c>
      <c r="S81" s="193" t="b">
        <v>0</v>
      </c>
    </row>
    <row r="82">
      <c r="A82" s="359">
        <v>46057.93532520834</v>
      </c>
      <c r="B82" s="193" t="s">
        <v>3116</v>
      </c>
      <c r="C82" s="361">
        <v>45.0</v>
      </c>
      <c r="D82" s="193" t="s">
        <v>18</v>
      </c>
      <c r="E82" s="193" t="s">
        <v>53</v>
      </c>
      <c r="F82" s="193" t="s">
        <v>1451</v>
      </c>
      <c r="G82" s="362">
        <v>46043.0</v>
      </c>
      <c r="H82" s="193" t="s">
        <v>3268</v>
      </c>
      <c r="I82" s="193" t="s">
        <v>3270</v>
      </c>
      <c r="J82" s="193" t="s">
        <v>3271</v>
      </c>
      <c r="K82" s="193" t="s">
        <v>3272</v>
      </c>
      <c r="L82" s="193" t="s">
        <v>2355</v>
      </c>
      <c r="M82" s="193" t="s">
        <v>3275</v>
      </c>
      <c r="S82" s="193" t="b">
        <v>0</v>
      </c>
    </row>
    <row r="83">
      <c r="A83" s="359">
        <v>46057.936974282406</v>
      </c>
      <c r="B83" s="193" t="s">
        <v>3116</v>
      </c>
      <c r="C83" s="361">
        <v>49.0</v>
      </c>
      <c r="D83" s="193" t="s">
        <v>17</v>
      </c>
      <c r="E83" s="193" t="s">
        <v>23</v>
      </c>
      <c r="F83" s="193" t="s">
        <v>24</v>
      </c>
      <c r="G83" s="362">
        <v>46056.0</v>
      </c>
      <c r="H83" s="193" t="s">
        <v>3793</v>
      </c>
      <c r="I83" s="193" t="s">
        <v>3795</v>
      </c>
      <c r="J83" s="193" t="s">
        <v>3798</v>
      </c>
      <c r="K83" s="193" t="s">
        <v>3799</v>
      </c>
      <c r="L83" s="193" t="s">
        <v>1174</v>
      </c>
      <c r="M83" s="193" t="s">
        <v>3801</v>
      </c>
      <c r="N83" s="193" t="s">
        <v>3803</v>
      </c>
      <c r="S83" s="193" t="b">
        <v>0</v>
      </c>
    </row>
    <row r="84">
      <c r="A84" s="359">
        <v>46057.93710623843</v>
      </c>
      <c r="B84" s="193" t="s">
        <v>3116</v>
      </c>
      <c r="C84" s="361">
        <v>46.0</v>
      </c>
      <c r="D84" s="193" t="s">
        <v>135</v>
      </c>
      <c r="E84" s="193" t="s">
        <v>225</v>
      </c>
      <c r="F84" s="193" t="s">
        <v>24</v>
      </c>
      <c r="G84" s="362">
        <v>46055.0</v>
      </c>
      <c r="H84" s="193" t="s">
        <v>3662</v>
      </c>
      <c r="I84" s="193" t="s">
        <v>3664</v>
      </c>
      <c r="J84" s="193" t="s">
        <v>3665</v>
      </c>
      <c r="K84" s="193" t="s">
        <v>3668</v>
      </c>
      <c r="L84" s="193" t="s">
        <v>980</v>
      </c>
      <c r="M84" s="193" t="s">
        <v>3670</v>
      </c>
      <c r="N84" s="193" t="s">
        <v>3806</v>
      </c>
      <c r="S84" s="193" t="b">
        <v>0</v>
      </c>
    </row>
    <row r="85">
      <c r="A85" s="359">
        <v>46057.93725512731</v>
      </c>
      <c r="B85" s="193" t="s">
        <v>3116</v>
      </c>
      <c r="C85" s="361">
        <v>24.0</v>
      </c>
      <c r="D85" s="193" t="s">
        <v>18</v>
      </c>
      <c r="E85" s="193" t="s">
        <v>53</v>
      </c>
      <c r="F85" s="193" t="s">
        <v>24</v>
      </c>
      <c r="G85" s="362">
        <v>46009.0</v>
      </c>
      <c r="H85" s="193" t="s">
        <v>55</v>
      </c>
      <c r="I85" s="193" t="s">
        <v>56</v>
      </c>
      <c r="J85" s="193" t="s">
        <v>57</v>
      </c>
      <c r="K85" s="193" t="s">
        <v>58</v>
      </c>
      <c r="L85" s="193" t="s">
        <v>59</v>
      </c>
      <c r="M85" s="193" t="s">
        <v>60</v>
      </c>
      <c r="N85" s="193" t="s">
        <v>3812</v>
      </c>
      <c r="O85" s="193" t="s">
        <v>3813</v>
      </c>
      <c r="S85" s="193" t="b">
        <v>0</v>
      </c>
    </row>
    <row r="86">
      <c r="A86" s="359">
        <v>46057.93953826389</v>
      </c>
      <c r="B86" s="193" t="s">
        <v>3116</v>
      </c>
      <c r="C86" s="361">
        <v>15.0</v>
      </c>
      <c r="D86" s="193" t="s">
        <v>410</v>
      </c>
      <c r="E86" s="193" t="s">
        <v>53</v>
      </c>
      <c r="F86" s="193" t="s">
        <v>24</v>
      </c>
      <c r="G86" s="362">
        <v>45971.0</v>
      </c>
      <c r="H86" s="193" t="s">
        <v>591</v>
      </c>
      <c r="I86" s="193" t="s">
        <v>593</v>
      </c>
      <c r="J86" s="193" t="s">
        <v>594</v>
      </c>
      <c r="K86" s="193" t="s">
        <v>596</v>
      </c>
      <c r="L86" s="193" t="s">
        <v>597</v>
      </c>
      <c r="M86" s="193" t="s">
        <v>598</v>
      </c>
      <c r="N86" s="193" t="s">
        <v>3829</v>
      </c>
      <c r="O86" s="193" t="s">
        <v>3831</v>
      </c>
      <c r="Q86" s="361">
        <v>0.3</v>
      </c>
      <c r="S86" s="193" t="b">
        <v>0</v>
      </c>
    </row>
    <row r="87">
      <c r="A87" s="359">
        <v>46057.94006491898</v>
      </c>
      <c r="B87" s="193" t="s">
        <v>3116</v>
      </c>
      <c r="C87" s="361">
        <v>15.0</v>
      </c>
      <c r="D87" s="193" t="s">
        <v>410</v>
      </c>
      <c r="E87" s="193" t="s">
        <v>53</v>
      </c>
      <c r="F87" s="193" t="s">
        <v>24</v>
      </c>
      <c r="G87" s="362">
        <v>45971.0</v>
      </c>
      <c r="H87" s="193" t="s">
        <v>591</v>
      </c>
      <c r="I87" s="193" t="s">
        <v>593</v>
      </c>
      <c r="J87" s="193" t="s">
        <v>594</v>
      </c>
      <c r="K87" s="193" t="s">
        <v>596</v>
      </c>
      <c r="L87" s="193" t="s">
        <v>597</v>
      </c>
      <c r="M87" s="193" t="s">
        <v>598</v>
      </c>
      <c r="N87" s="193" t="s">
        <v>3829</v>
      </c>
      <c r="O87" s="193" t="s">
        <v>3831</v>
      </c>
      <c r="Q87" s="361">
        <v>0.3</v>
      </c>
      <c r="S87" s="193" t="b">
        <v>0</v>
      </c>
    </row>
    <row r="88">
      <c r="A88" s="359">
        <v>46057.947357592595</v>
      </c>
      <c r="B88" s="193" t="s">
        <v>3116</v>
      </c>
      <c r="C88" s="361">
        <v>19.0</v>
      </c>
      <c r="D88" s="193" t="s">
        <v>117</v>
      </c>
      <c r="E88" s="193" t="s">
        <v>53</v>
      </c>
      <c r="F88" s="193" t="s">
        <v>1451</v>
      </c>
      <c r="G88" s="362">
        <v>46008.0</v>
      </c>
      <c r="H88" s="193" t="s">
        <v>3281</v>
      </c>
      <c r="I88" s="193" t="s">
        <v>3283</v>
      </c>
      <c r="J88" s="193" t="s">
        <v>3284</v>
      </c>
      <c r="K88" s="193" t="s">
        <v>3285</v>
      </c>
      <c r="L88" s="193" t="s">
        <v>973</v>
      </c>
      <c r="M88" s="193" t="s">
        <v>3286</v>
      </c>
      <c r="O88" s="193" t="s">
        <v>3287</v>
      </c>
      <c r="S88" s="193" t="b">
        <v>0</v>
      </c>
    </row>
    <row r="89">
      <c r="A89" s="359">
        <v>46058.69143358796</v>
      </c>
      <c r="B89" s="193" t="s">
        <v>3116</v>
      </c>
      <c r="C89" s="361">
        <v>38.0</v>
      </c>
      <c r="D89" s="193" t="s">
        <v>135</v>
      </c>
      <c r="E89" s="193" t="s">
        <v>225</v>
      </c>
      <c r="F89" s="193" t="s">
        <v>867</v>
      </c>
      <c r="G89" s="362">
        <v>46055.0</v>
      </c>
      <c r="H89" s="193" t="s">
        <v>3413</v>
      </c>
      <c r="I89" s="193" t="s">
        <v>3414</v>
      </c>
      <c r="J89" s="193" t="s">
        <v>3415</v>
      </c>
      <c r="K89" s="193" t="s">
        <v>3853</v>
      </c>
      <c r="L89" s="193" t="s">
        <v>1181</v>
      </c>
      <c r="M89" s="193" t="s">
        <v>3855</v>
      </c>
      <c r="R89" s="193" t="b">
        <v>0</v>
      </c>
    </row>
    <row r="90">
      <c r="A90" s="359">
        <v>46058.69162939815</v>
      </c>
      <c r="B90" s="193" t="s">
        <v>3116</v>
      </c>
      <c r="C90" s="361">
        <v>36.0</v>
      </c>
      <c r="D90" s="193" t="s">
        <v>22</v>
      </c>
      <c r="E90" s="193" t="s">
        <v>53</v>
      </c>
      <c r="F90" s="193" t="s">
        <v>867</v>
      </c>
      <c r="G90" s="362">
        <v>46052.0</v>
      </c>
      <c r="H90" s="193" t="s">
        <v>1081</v>
      </c>
      <c r="I90" s="193" t="s">
        <v>1085</v>
      </c>
      <c r="J90" s="193" t="s">
        <v>1088</v>
      </c>
      <c r="K90" s="193" t="s">
        <v>1090</v>
      </c>
      <c r="L90" s="193" t="s">
        <v>1092</v>
      </c>
      <c r="M90" s="193" t="s">
        <v>1093</v>
      </c>
      <c r="R90" s="193" t="b">
        <v>0</v>
      </c>
    </row>
    <row r="91">
      <c r="A91" s="359">
        <v>46058.69176833333</v>
      </c>
      <c r="B91" s="193" t="s">
        <v>3116</v>
      </c>
      <c r="C91" s="361">
        <v>35.0</v>
      </c>
      <c r="D91" s="193" t="s">
        <v>17</v>
      </c>
      <c r="E91" s="193" t="s">
        <v>53</v>
      </c>
      <c r="F91" s="193" t="s">
        <v>867</v>
      </c>
      <c r="G91" s="362">
        <v>46051.0</v>
      </c>
      <c r="H91" s="193" t="s">
        <v>3866</v>
      </c>
      <c r="I91" s="193" t="s">
        <v>3867</v>
      </c>
      <c r="J91" s="193" t="s">
        <v>3868</v>
      </c>
      <c r="K91" s="193" t="s">
        <v>3869</v>
      </c>
      <c r="L91" s="193" t="s">
        <v>445</v>
      </c>
      <c r="M91" s="193" t="s">
        <v>3870</v>
      </c>
      <c r="N91" s="193" t="s">
        <v>3872</v>
      </c>
      <c r="R91" s="193" t="b">
        <v>0</v>
      </c>
    </row>
    <row r="92">
      <c r="A92" s="359">
        <v>46058.69197637732</v>
      </c>
      <c r="B92" s="193" t="s">
        <v>3116</v>
      </c>
      <c r="C92" s="361">
        <v>34.0</v>
      </c>
      <c r="D92" s="193" t="s">
        <v>18</v>
      </c>
      <c r="E92" s="193" t="s">
        <v>23</v>
      </c>
      <c r="F92" s="193" t="s">
        <v>867</v>
      </c>
      <c r="G92" s="362">
        <v>46049.0</v>
      </c>
      <c r="H92" s="193" t="s">
        <v>1112</v>
      </c>
      <c r="I92" s="193" t="s">
        <v>1114</v>
      </c>
      <c r="J92" s="193" t="s">
        <v>1115</v>
      </c>
      <c r="K92" s="193" t="s">
        <v>1118</v>
      </c>
      <c r="L92" s="193" t="s">
        <v>1119</v>
      </c>
      <c r="M92" s="193" t="s">
        <v>3881</v>
      </c>
      <c r="R92" s="193" t="b">
        <v>0</v>
      </c>
    </row>
    <row r="93">
      <c r="A93" s="359">
        <v>46058.69214787037</v>
      </c>
      <c r="B93" s="193" t="s">
        <v>3116</v>
      </c>
      <c r="C93" s="361">
        <v>33.0</v>
      </c>
      <c r="D93" s="193" t="s">
        <v>17</v>
      </c>
      <c r="E93" s="193" t="s">
        <v>23</v>
      </c>
      <c r="F93" s="193" t="s">
        <v>867</v>
      </c>
      <c r="G93" s="362">
        <v>46048.0</v>
      </c>
      <c r="H93" s="193" t="s">
        <v>392</v>
      </c>
      <c r="I93" s="193" t="s">
        <v>393</v>
      </c>
      <c r="J93" s="193" t="s">
        <v>394</v>
      </c>
      <c r="K93" s="193" t="s">
        <v>396</v>
      </c>
      <c r="L93" s="193" t="s">
        <v>174</v>
      </c>
      <c r="M93" s="193" t="s">
        <v>3884</v>
      </c>
      <c r="R93" s="193" t="b">
        <v>0</v>
      </c>
      <c r="T93" s="193" t="s">
        <v>406</v>
      </c>
    </row>
    <row r="94">
      <c r="A94" s="359">
        <v>46058.69240351852</v>
      </c>
      <c r="B94" s="193" t="s">
        <v>3116</v>
      </c>
      <c r="C94" s="361">
        <v>32.0</v>
      </c>
      <c r="D94" s="193" t="s">
        <v>18</v>
      </c>
      <c r="E94" s="193" t="s">
        <v>225</v>
      </c>
      <c r="F94" s="193" t="s">
        <v>867</v>
      </c>
      <c r="G94" s="362">
        <v>46048.0</v>
      </c>
      <c r="H94" s="193" t="s">
        <v>839</v>
      </c>
      <c r="I94" s="193" t="s">
        <v>840</v>
      </c>
      <c r="J94" s="193" t="s">
        <v>841</v>
      </c>
      <c r="K94" s="193" t="s">
        <v>842</v>
      </c>
      <c r="L94" s="193" t="s">
        <v>843</v>
      </c>
      <c r="M94" s="193" t="s">
        <v>844</v>
      </c>
      <c r="R94" s="193" t="b">
        <v>0</v>
      </c>
      <c r="T94" s="193" t="s">
        <v>406</v>
      </c>
    </row>
    <row r="95">
      <c r="A95" s="359">
        <v>46058.692566990736</v>
      </c>
      <c r="B95" s="193" t="s">
        <v>3116</v>
      </c>
      <c r="C95" s="361">
        <v>31.0</v>
      </c>
      <c r="D95" s="193" t="s">
        <v>17</v>
      </c>
      <c r="E95" s="193" t="s">
        <v>23</v>
      </c>
      <c r="F95" s="193" t="s">
        <v>867</v>
      </c>
      <c r="G95" s="362">
        <v>46045.0</v>
      </c>
      <c r="H95" s="193" t="s">
        <v>1140</v>
      </c>
      <c r="I95" s="193" t="s">
        <v>1142</v>
      </c>
      <c r="J95" s="193" t="s">
        <v>1143</v>
      </c>
      <c r="K95" s="193" t="s">
        <v>1144</v>
      </c>
      <c r="L95" s="193" t="s">
        <v>1146</v>
      </c>
      <c r="M95" s="193" t="s">
        <v>3898</v>
      </c>
      <c r="R95" s="193" t="b">
        <v>0</v>
      </c>
    </row>
    <row r="96">
      <c r="A96" s="359">
        <v>46058.69273943287</v>
      </c>
      <c r="B96" s="193" t="s">
        <v>3116</v>
      </c>
      <c r="C96" s="361">
        <v>30.0</v>
      </c>
      <c r="D96" s="193" t="s">
        <v>22</v>
      </c>
      <c r="E96" s="193" t="s">
        <v>19</v>
      </c>
      <c r="F96" s="193" t="s">
        <v>867</v>
      </c>
      <c r="G96" s="362">
        <v>46044.0</v>
      </c>
      <c r="H96" s="193" t="s">
        <v>931</v>
      </c>
      <c r="I96" s="193" t="s">
        <v>933</v>
      </c>
      <c r="J96" s="193" t="s">
        <v>935</v>
      </c>
      <c r="K96" s="193" t="s">
        <v>937</v>
      </c>
      <c r="L96" s="193" t="s">
        <v>939</v>
      </c>
      <c r="M96" s="193" t="s">
        <v>941</v>
      </c>
      <c r="R96" s="193" t="b">
        <v>0</v>
      </c>
    </row>
    <row r="97">
      <c r="A97" s="359">
        <v>46058.69293476852</v>
      </c>
      <c r="B97" s="193" t="s">
        <v>3116</v>
      </c>
      <c r="C97" s="361">
        <v>26.0</v>
      </c>
      <c r="D97" s="193" t="s">
        <v>62</v>
      </c>
      <c r="E97" s="193" t="s">
        <v>225</v>
      </c>
      <c r="F97" s="193" t="s">
        <v>867</v>
      </c>
      <c r="G97" s="362">
        <v>46043.0</v>
      </c>
      <c r="H97" s="193" t="s">
        <v>3904</v>
      </c>
      <c r="I97" s="193" t="s">
        <v>3905</v>
      </c>
      <c r="J97" s="193" t="s">
        <v>3906</v>
      </c>
      <c r="K97" s="193" t="s">
        <v>3907</v>
      </c>
      <c r="L97" s="193" t="s">
        <v>497</v>
      </c>
      <c r="M97" s="193" t="s">
        <v>3908</v>
      </c>
      <c r="R97" s="193" t="b">
        <v>0</v>
      </c>
    </row>
    <row r="98">
      <c r="A98" s="359">
        <v>46058.693077187505</v>
      </c>
      <c r="B98" s="193" t="s">
        <v>3116</v>
      </c>
      <c r="C98" s="361">
        <v>25.0</v>
      </c>
      <c r="D98" s="193" t="s">
        <v>17</v>
      </c>
      <c r="E98" s="193" t="s">
        <v>23</v>
      </c>
      <c r="F98" s="193" t="s">
        <v>867</v>
      </c>
      <c r="G98" s="362">
        <v>46041.0</v>
      </c>
      <c r="H98" s="193" t="s">
        <v>1151</v>
      </c>
      <c r="I98" s="193" t="s">
        <v>1152</v>
      </c>
      <c r="J98" s="193" t="s">
        <v>3915</v>
      </c>
      <c r="K98" s="193" t="s">
        <v>1154</v>
      </c>
      <c r="L98" s="193" t="s">
        <v>1155</v>
      </c>
      <c r="M98" s="193" t="s">
        <v>1156</v>
      </c>
      <c r="N98" s="193" t="s">
        <v>1157</v>
      </c>
      <c r="R98" s="193" t="b">
        <v>0</v>
      </c>
    </row>
    <row r="99">
      <c r="A99" s="359">
        <v>46058.69325898148</v>
      </c>
      <c r="B99" s="193" t="s">
        <v>3116</v>
      </c>
      <c r="C99" s="361">
        <v>24.0</v>
      </c>
      <c r="D99" s="193" t="s">
        <v>17</v>
      </c>
      <c r="E99" s="193" t="s">
        <v>53</v>
      </c>
      <c r="F99" s="193" t="s">
        <v>867</v>
      </c>
      <c r="G99" s="362">
        <v>46035.0</v>
      </c>
      <c r="H99" s="193" t="s">
        <v>3920</v>
      </c>
      <c r="I99" s="193" t="s">
        <v>3921</v>
      </c>
      <c r="J99" s="193" t="s">
        <v>3923</v>
      </c>
      <c r="K99" s="193" t="s">
        <v>3924</v>
      </c>
      <c r="L99" s="193" t="s">
        <v>1059</v>
      </c>
      <c r="M99" s="193" t="s">
        <v>3925</v>
      </c>
      <c r="N99" s="193" t="s">
        <v>3926</v>
      </c>
      <c r="R99" s="193" t="b">
        <v>0</v>
      </c>
    </row>
    <row r="100">
      <c r="A100" s="359">
        <v>46058.69338886574</v>
      </c>
      <c r="B100" s="193" t="s">
        <v>3116</v>
      </c>
      <c r="C100" s="361">
        <v>23.0</v>
      </c>
      <c r="D100" s="193" t="s">
        <v>17</v>
      </c>
      <c r="E100" s="193" t="s">
        <v>23</v>
      </c>
      <c r="F100" s="193" t="s">
        <v>867</v>
      </c>
      <c r="G100" s="362">
        <v>46035.0</v>
      </c>
      <c r="H100" s="193" t="s">
        <v>1161</v>
      </c>
      <c r="I100" s="193" t="s">
        <v>1163</v>
      </c>
      <c r="J100" s="193" t="s">
        <v>1164</v>
      </c>
      <c r="K100" s="193" t="s">
        <v>1173</v>
      </c>
      <c r="L100" s="193" t="s">
        <v>1174</v>
      </c>
      <c r="M100" s="193" t="s">
        <v>3937</v>
      </c>
      <c r="N100" s="193" t="s">
        <v>1176</v>
      </c>
      <c r="R100" s="193" t="b">
        <v>0</v>
      </c>
    </row>
    <row r="101">
      <c r="A101" s="359">
        <v>46058.69352511574</v>
      </c>
      <c r="B101" s="193" t="s">
        <v>3116</v>
      </c>
      <c r="C101" s="361">
        <v>22.0</v>
      </c>
      <c r="D101" s="193" t="s">
        <v>22</v>
      </c>
      <c r="E101" s="193" t="s">
        <v>53</v>
      </c>
      <c r="F101" s="193" t="s">
        <v>867</v>
      </c>
      <c r="G101" s="362">
        <v>46034.0</v>
      </c>
      <c r="H101" s="193" t="s">
        <v>1189</v>
      </c>
      <c r="I101" s="193" t="s">
        <v>1191</v>
      </c>
      <c r="J101" s="193" t="s">
        <v>1194</v>
      </c>
      <c r="K101" s="193" t="s">
        <v>1196</v>
      </c>
      <c r="L101" s="193" t="s">
        <v>850</v>
      </c>
      <c r="M101" s="193" t="s">
        <v>1199</v>
      </c>
      <c r="N101" s="193" t="s">
        <v>3941</v>
      </c>
      <c r="R101" s="193" t="b">
        <v>0</v>
      </c>
    </row>
    <row r="102">
      <c r="A102" s="359">
        <v>46058.69370616898</v>
      </c>
      <c r="B102" s="193" t="s">
        <v>3116</v>
      </c>
      <c r="C102" s="361">
        <v>21.0</v>
      </c>
      <c r="D102" s="193" t="s">
        <v>62</v>
      </c>
      <c r="E102" s="193" t="s">
        <v>23</v>
      </c>
      <c r="F102" s="193" t="s">
        <v>867</v>
      </c>
      <c r="G102" s="362">
        <v>46030.0</v>
      </c>
      <c r="H102" s="193" t="s">
        <v>3464</v>
      </c>
      <c r="I102" s="193" t="s">
        <v>3465</v>
      </c>
      <c r="J102" s="193" t="s">
        <v>3466</v>
      </c>
      <c r="K102" s="193" t="s">
        <v>3468</v>
      </c>
      <c r="L102" s="193" t="s">
        <v>3470</v>
      </c>
      <c r="M102" s="193" t="s">
        <v>3472</v>
      </c>
      <c r="N102" s="193" t="s">
        <v>3949</v>
      </c>
      <c r="O102" s="193" t="s">
        <v>3950</v>
      </c>
      <c r="R102" s="193" t="b">
        <v>0</v>
      </c>
    </row>
    <row r="103">
      <c r="A103" s="359">
        <v>46058.69384366898</v>
      </c>
      <c r="B103" s="193" t="s">
        <v>3116</v>
      </c>
      <c r="C103" s="361">
        <v>20.0</v>
      </c>
      <c r="D103" s="193" t="s">
        <v>62</v>
      </c>
      <c r="E103" s="193" t="s">
        <v>23</v>
      </c>
      <c r="F103" s="193" t="s">
        <v>867</v>
      </c>
      <c r="G103" s="362">
        <v>46028.0</v>
      </c>
      <c r="H103" s="193" t="s">
        <v>1187</v>
      </c>
      <c r="I103" s="193" t="s">
        <v>1211</v>
      </c>
      <c r="J103" s="193" t="s">
        <v>1212</v>
      </c>
      <c r="L103" s="193" t="s">
        <v>774</v>
      </c>
      <c r="M103" s="193" t="s">
        <v>1218</v>
      </c>
      <c r="R103" s="193" t="b">
        <v>0</v>
      </c>
    </row>
    <row r="104">
      <c r="A104" s="359">
        <v>46058.69397076389</v>
      </c>
      <c r="B104" s="193" t="s">
        <v>3116</v>
      </c>
      <c r="C104" s="361">
        <v>19.0</v>
      </c>
      <c r="D104" s="193" t="s">
        <v>22</v>
      </c>
      <c r="E104" s="193" t="s">
        <v>53</v>
      </c>
      <c r="F104" s="193" t="s">
        <v>867</v>
      </c>
      <c r="G104" s="362">
        <v>46027.0</v>
      </c>
      <c r="H104" s="193" t="s">
        <v>1236</v>
      </c>
      <c r="I104" s="193" t="s">
        <v>1238</v>
      </c>
      <c r="J104" s="193" t="s">
        <v>1240</v>
      </c>
      <c r="K104" s="193" t="s">
        <v>1242</v>
      </c>
      <c r="L104" s="193" t="s">
        <v>1244</v>
      </c>
      <c r="M104" s="193" t="s">
        <v>1246</v>
      </c>
      <c r="R104" s="193" t="b">
        <v>0</v>
      </c>
    </row>
    <row r="105">
      <c r="A105" s="359">
        <v>46058.69412479167</v>
      </c>
      <c r="B105" s="193" t="s">
        <v>3116</v>
      </c>
      <c r="C105" s="361">
        <v>18.0</v>
      </c>
      <c r="D105" s="193" t="s">
        <v>17</v>
      </c>
      <c r="E105" s="193" t="s">
        <v>23</v>
      </c>
      <c r="F105" s="193" t="s">
        <v>867</v>
      </c>
      <c r="G105" s="362">
        <v>46007.0</v>
      </c>
      <c r="H105" s="193" t="s">
        <v>1261</v>
      </c>
      <c r="I105" s="193" t="s">
        <v>1262</v>
      </c>
      <c r="J105" s="193" t="s">
        <v>1263</v>
      </c>
      <c r="K105" s="193" t="s">
        <v>1264</v>
      </c>
      <c r="L105" s="193" t="s">
        <v>340</v>
      </c>
      <c r="M105" s="193" t="s">
        <v>1265</v>
      </c>
      <c r="N105" s="193" t="s">
        <v>1266</v>
      </c>
      <c r="R105" s="193" t="b">
        <v>0</v>
      </c>
    </row>
    <row r="106">
      <c r="A106" s="359">
        <v>46058.69429234954</v>
      </c>
      <c r="B106" s="193" t="s">
        <v>3116</v>
      </c>
      <c r="C106" s="361">
        <v>17.0</v>
      </c>
      <c r="D106" s="193" t="s">
        <v>18</v>
      </c>
      <c r="E106" s="193" t="s">
        <v>19</v>
      </c>
      <c r="F106" s="193" t="s">
        <v>867</v>
      </c>
      <c r="G106" s="362">
        <v>45985.0</v>
      </c>
      <c r="H106" s="193" t="s">
        <v>1280</v>
      </c>
      <c r="I106" s="193" t="s">
        <v>1282</v>
      </c>
      <c r="J106" s="193" t="s">
        <v>1284</v>
      </c>
      <c r="K106" s="193" t="s">
        <v>1287</v>
      </c>
      <c r="L106" s="193" t="s">
        <v>1288</v>
      </c>
      <c r="M106" s="193" t="s">
        <v>3960</v>
      </c>
      <c r="N106" s="193" t="s">
        <v>3961</v>
      </c>
      <c r="R106" s="193" t="b">
        <v>0</v>
      </c>
    </row>
    <row r="107">
      <c r="A107" s="359">
        <v>46058.69443371528</v>
      </c>
      <c r="B107" s="193" t="s">
        <v>3116</v>
      </c>
      <c r="C107" s="361">
        <v>16.0</v>
      </c>
      <c r="D107" s="193" t="s">
        <v>62</v>
      </c>
      <c r="E107" s="193" t="s">
        <v>23</v>
      </c>
      <c r="F107" s="193" t="s">
        <v>867</v>
      </c>
      <c r="G107" s="362">
        <v>45982.0</v>
      </c>
      <c r="H107" s="193" t="s">
        <v>3964</v>
      </c>
      <c r="I107" s="193" t="s">
        <v>3965</v>
      </c>
      <c r="J107" s="193" t="s">
        <v>3966</v>
      </c>
      <c r="K107" s="193" t="s">
        <v>3970</v>
      </c>
      <c r="L107" s="193" t="s">
        <v>1467</v>
      </c>
      <c r="M107" s="193" t="s">
        <v>3973</v>
      </c>
      <c r="R107" s="193" t="b">
        <v>0</v>
      </c>
    </row>
    <row r="108">
      <c r="A108" s="359">
        <v>46058.69457952546</v>
      </c>
      <c r="B108" s="193" t="s">
        <v>3116</v>
      </c>
      <c r="C108" s="361">
        <v>15.0</v>
      </c>
      <c r="D108" s="193" t="s">
        <v>117</v>
      </c>
      <c r="E108" s="193" t="s">
        <v>53</v>
      </c>
      <c r="F108" s="193" t="s">
        <v>867</v>
      </c>
      <c r="G108" s="362">
        <v>45973.0</v>
      </c>
      <c r="H108" s="193" t="s">
        <v>1310</v>
      </c>
      <c r="I108" s="193" t="s">
        <v>1311</v>
      </c>
      <c r="J108" s="193" t="s">
        <v>1313</v>
      </c>
      <c r="K108" s="193" t="s">
        <v>1314</v>
      </c>
      <c r="L108" s="193" t="s">
        <v>996</v>
      </c>
      <c r="M108" s="193" t="s">
        <v>1315</v>
      </c>
      <c r="R108" s="193" t="b">
        <v>0</v>
      </c>
    </row>
    <row r="109">
      <c r="A109" s="359">
        <v>46058.69470344907</v>
      </c>
      <c r="B109" s="193" t="s">
        <v>3116</v>
      </c>
      <c r="C109" s="361">
        <v>14.0</v>
      </c>
      <c r="D109" s="193" t="s">
        <v>633</v>
      </c>
      <c r="E109" s="193" t="s">
        <v>23</v>
      </c>
      <c r="F109" s="193" t="s">
        <v>867</v>
      </c>
      <c r="G109" s="362">
        <v>45958.0</v>
      </c>
      <c r="H109" s="193" t="s">
        <v>1318</v>
      </c>
      <c r="I109" s="193" t="s">
        <v>1319</v>
      </c>
      <c r="J109" s="193" t="s">
        <v>1320</v>
      </c>
      <c r="K109" s="193" t="s">
        <v>1321</v>
      </c>
      <c r="L109" s="193" t="s">
        <v>1322</v>
      </c>
      <c r="M109" s="193" t="s">
        <v>1323</v>
      </c>
      <c r="R109" s="193" t="b">
        <v>0</v>
      </c>
    </row>
    <row r="110">
      <c r="A110" s="359">
        <v>46058.694847025465</v>
      </c>
      <c r="B110" s="193" t="s">
        <v>3116</v>
      </c>
      <c r="C110" s="361">
        <v>13.0</v>
      </c>
      <c r="D110" s="193" t="s">
        <v>22</v>
      </c>
      <c r="E110" s="193" t="s">
        <v>19</v>
      </c>
      <c r="F110" s="193" t="s">
        <v>867</v>
      </c>
      <c r="G110" s="362">
        <v>45897.0</v>
      </c>
      <c r="H110" s="193" t="s">
        <v>1331</v>
      </c>
      <c r="I110" s="193" t="s">
        <v>1332</v>
      </c>
      <c r="J110" s="193" t="s">
        <v>1333</v>
      </c>
      <c r="K110" s="193" t="s">
        <v>1334</v>
      </c>
      <c r="L110" s="193" t="s">
        <v>1335</v>
      </c>
      <c r="M110" s="193" t="s">
        <v>1336</v>
      </c>
      <c r="N110" s="193" t="s">
        <v>1337</v>
      </c>
      <c r="R110" s="193" t="b">
        <v>0</v>
      </c>
    </row>
    <row r="111">
      <c r="A111" s="359">
        <v>46058.69493</v>
      </c>
      <c r="B111" s="193" t="s">
        <v>3116</v>
      </c>
      <c r="C111" s="361">
        <v>12.0</v>
      </c>
      <c r="D111" s="193" t="s">
        <v>22</v>
      </c>
      <c r="E111" s="193" t="s">
        <v>23</v>
      </c>
      <c r="F111" s="193" t="s">
        <v>867</v>
      </c>
      <c r="G111" s="362">
        <v>45925.0</v>
      </c>
      <c r="H111" s="193" t="s">
        <v>1352</v>
      </c>
      <c r="I111" s="193" t="s">
        <v>1353</v>
      </c>
      <c r="J111" s="193" t="s">
        <v>1354</v>
      </c>
      <c r="K111" s="193" t="s">
        <v>1355</v>
      </c>
      <c r="L111" s="193" t="s">
        <v>655</v>
      </c>
      <c r="M111" s="193" t="s">
        <v>1357</v>
      </c>
      <c r="R111" s="193" t="b">
        <v>0</v>
      </c>
    </row>
    <row r="112">
      <c r="A112" s="359">
        <v>46058.69505328704</v>
      </c>
      <c r="B112" s="193" t="s">
        <v>3116</v>
      </c>
      <c r="C112" s="361">
        <v>11.0</v>
      </c>
      <c r="D112" s="193" t="s">
        <v>22</v>
      </c>
      <c r="E112" s="193" t="s">
        <v>53</v>
      </c>
      <c r="F112" s="193" t="s">
        <v>867</v>
      </c>
      <c r="G112" s="362">
        <v>45919.0</v>
      </c>
      <c r="H112" s="193" t="s">
        <v>1363</v>
      </c>
      <c r="I112" s="193" t="s">
        <v>1365</v>
      </c>
      <c r="J112" s="193" t="s">
        <v>1366</v>
      </c>
      <c r="K112" s="193" t="s">
        <v>1368</v>
      </c>
      <c r="L112" s="193" t="s">
        <v>1369</v>
      </c>
      <c r="M112" s="193" t="s">
        <v>1370</v>
      </c>
      <c r="N112" s="193" t="s">
        <v>1371</v>
      </c>
      <c r="R112" s="193" t="b">
        <v>0</v>
      </c>
    </row>
    <row r="113">
      <c r="A113" s="359">
        <v>46058.695182766205</v>
      </c>
      <c r="B113" s="193" t="s">
        <v>3116</v>
      </c>
      <c r="C113" s="361">
        <v>10.0</v>
      </c>
      <c r="D113" s="193" t="s">
        <v>646</v>
      </c>
      <c r="E113" s="193" t="s">
        <v>53</v>
      </c>
      <c r="F113" s="193" t="s">
        <v>867</v>
      </c>
      <c r="G113" s="362">
        <v>45916.0</v>
      </c>
      <c r="H113" s="193" t="s">
        <v>1375</v>
      </c>
      <c r="I113" s="193" t="s">
        <v>1377</v>
      </c>
      <c r="J113" s="193" t="s">
        <v>1379</v>
      </c>
      <c r="K113" s="193" t="s">
        <v>1380</v>
      </c>
      <c r="L113" s="193" t="s">
        <v>1382</v>
      </c>
      <c r="M113" s="193" t="s">
        <v>1384</v>
      </c>
      <c r="N113" s="193" t="s">
        <v>1385</v>
      </c>
      <c r="R113" s="193" t="b">
        <v>0</v>
      </c>
    </row>
    <row r="114">
      <c r="A114" s="359">
        <v>46058.69531605324</v>
      </c>
      <c r="B114" s="193" t="s">
        <v>3116</v>
      </c>
      <c r="C114" s="361">
        <v>9.0</v>
      </c>
      <c r="D114" s="193" t="s">
        <v>1387</v>
      </c>
      <c r="E114" s="193" t="s">
        <v>23</v>
      </c>
      <c r="F114" s="193" t="s">
        <v>867</v>
      </c>
      <c r="G114" s="362">
        <v>45882.0</v>
      </c>
      <c r="H114" s="193" t="s">
        <v>1388</v>
      </c>
      <c r="I114" s="193" t="s">
        <v>1390</v>
      </c>
      <c r="J114" s="193" t="s">
        <v>1392</v>
      </c>
      <c r="K114" s="193" t="s">
        <v>1395</v>
      </c>
      <c r="L114" s="193" t="s">
        <v>1396</v>
      </c>
      <c r="M114" s="193" t="s">
        <v>1398</v>
      </c>
      <c r="N114" s="193" t="s">
        <v>1400</v>
      </c>
      <c r="R114" s="193" t="b">
        <v>0</v>
      </c>
    </row>
    <row r="115">
      <c r="A115" s="359">
        <v>46058.71229494213</v>
      </c>
      <c r="B115" s="193" t="s">
        <v>3116</v>
      </c>
      <c r="C115" s="361">
        <v>8.0</v>
      </c>
      <c r="D115" s="193" t="s">
        <v>22</v>
      </c>
      <c r="E115" s="193" t="s">
        <v>23</v>
      </c>
      <c r="F115" s="193" t="s">
        <v>867</v>
      </c>
      <c r="G115" s="362">
        <v>45897.0</v>
      </c>
      <c r="H115" s="193" t="s">
        <v>1411</v>
      </c>
      <c r="I115" s="193" t="s">
        <v>1412</v>
      </c>
      <c r="J115" s="193" t="s">
        <v>1413</v>
      </c>
      <c r="K115" s="193" t="s">
        <v>1414</v>
      </c>
      <c r="L115" s="193" t="s">
        <v>1415</v>
      </c>
      <c r="M115" s="193" t="s">
        <v>1421</v>
      </c>
      <c r="N115" s="193" t="s">
        <v>1423</v>
      </c>
      <c r="R115" s="193" t="b">
        <v>0</v>
      </c>
    </row>
    <row r="116">
      <c r="A116" s="359">
        <v>46058.712478981484</v>
      </c>
      <c r="B116" s="193" t="s">
        <v>3116</v>
      </c>
      <c r="C116" s="361">
        <v>7.0</v>
      </c>
      <c r="D116" s="193" t="s">
        <v>22</v>
      </c>
      <c r="E116" s="193" t="s">
        <v>53</v>
      </c>
      <c r="F116" s="193" t="s">
        <v>867</v>
      </c>
      <c r="G116" s="362">
        <v>45895.0</v>
      </c>
      <c r="H116" s="193" t="s">
        <v>1441</v>
      </c>
      <c r="I116" s="193" t="s">
        <v>1444</v>
      </c>
      <c r="J116" s="193" t="s">
        <v>1446</v>
      </c>
      <c r="K116" s="193" t="s">
        <v>1448</v>
      </c>
      <c r="L116" s="193" t="s">
        <v>1382</v>
      </c>
      <c r="M116" s="193" t="s">
        <v>1449</v>
      </c>
      <c r="N116" s="193" t="s">
        <v>1450</v>
      </c>
      <c r="R116" s="193" t="b">
        <v>0</v>
      </c>
    </row>
    <row r="117">
      <c r="A117" s="359">
        <v>46058.71270694444</v>
      </c>
      <c r="B117" s="193" t="s">
        <v>3116</v>
      </c>
      <c r="C117" s="361">
        <v>6.0</v>
      </c>
      <c r="D117" s="193" t="s">
        <v>22</v>
      </c>
      <c r="E117" s="193" t="s">
        <v>19</v>
      </c>
      <c r="F117" s="193" t="s">
        <v>867</v>
      </c>
      <c r="G117" s="362">
        <v>45888.0</v>
      </c>
      <c r="H117" s="193" t="s">
        <v>1452</v>
      </c>
      <c r="I117" s="193" t="s">
        <v>1453</v>
      </c>
      <c r="J117" s="193" t="s">
        <v>1455</v>
      </c>
      <c r="K117" s="193" t="s">
        <v>4024</v>
      </c>
      <c r="L117" s="193" t="s">
        <v>1459</v>
      </c>
      <c r="M117" s="193" t="s">
        <v>1460</v>
      </c>
      <c r="N117" s="193" t="s">
        <v>1000</v>
      </c>
      <c r="R117" s="193" t="b">
        <v>0</v>
      </c>
    </row>
    <row r="118">
      <c r="A118" s="359">
        <v>46058.71289086806</v>
      </c>
      <c r="B118" s="193" t="s">
        <v>3116</v>
      </c>
      <c r="C118" s="361">
        <v>5.0</v>
      </c>
      <c r="D118" s="193" t="s">
        <v>17</v>
      </c>
      <c r="E118" s="193" t="s">
        <v>23</v>
      </c>
      <c r="F118" s="193" t="s">
        <v>867</v>
      </c>
      <c r="G118" s="362">
        <v>45891.0</v>
      </c>
      <c r="H118" s="193" t="s">
        <v>1463</v>
      </c>
      <c r="I118" s="193" t="s">
        <v>1464</v>
      </c>
      <c r="J118" s="193" t="s">
        <v>1465</v>
      </c>
      <c r="K118" s="193" t="s">
        <v>1466</v>
      </c>
      <c r="L118" s="193" t="s">
        <v>1467</v>
      </c>
      <c r="M118" s="193" t="s">
        <v>1468</v>
      </c>
      <c r="N118" s="193" t="s">
        <v>1469</v>
      </c>
      <c r="R118" s="193" t="b">
        <v>0</v>
      </c>
    </row>
    <row r="119">
      <c r="A119" s="359">
        <v>46058.713015891204</v>
      </c>
      <c r="B119" s="193" t="s">
        <v>3116</v>
      </c>
      <c r="C119" s="361">
        <v>4.0</v>
      </c>
      <c r="D119" s="193" t="s">
        <v>17</v>
      </c>
      <c r="E119" s="193" t="s">
        <v>53</v>
      </c>
      <c r="F119" s="193" t="s">
        <v>867</v>
      </c>
      <c r="G119" s="362">
        <v>45891.0</v>
      </c>
      <c r="H119" s="193" t="s">
        <v>1472</v>
      </c>
      <c r="I119" s="193" t="s">
        <v>1474</v>
      </c>
      <c r="J119" s="193" t="s">
        <v>1476</v>
      </c>
      <c r="K119" s="193" t="s">
        <v>1477</v>
      </c>
      <c r="L119" s="193" t="s">
        <v>1478</v>
      </c>
      <c r="M119" s="193" t="s">
        <v>1480</v>
      </c>
      <c r="N119" s="193" t="s">
        <v>1483</v>
      </c>
      <c r="R119" s="193" t="b">
        <v>0</v>
      </c>
    </row>
    <row r="120">
      <c r="A120" s="359">
        <v>46058.71314216436</v>
      </c>
      <c r="B120" s="193" t="s">
        <v>3116</v>
      </c>
      <c r="C120" s="361">
        <v>3.0</v>
      </c>
      <c r="D120" s="193" t="s">
        <v>1387</v>
      </c>
      <c r="E120" s="193" t="s">
        <v>587</v>
      </c>
      <c r="F120" s="193" t="s">
        <v>867</v>
      </c>
      <c r="G120" s="362">
        <v>45880.0</v>
      </c>
      <c r="H120" s="193" t="s">
        <v>1487</v>
      </c>
      <c r="I120" s="193" t="s">
        <v>1488</v>
      </c>
      <c r="J120" s="193" t="s">
        <v>1489</v>
      </c>
      <c r="K120" s="193" t="s">
        <v>1491</v>
      </c>
      <c r="L120" s="193" t="s">
        <v>1494</v>
      </c>
      <c r="M120" s="193" t="s">
        <v>1495</v>
      </c>
      <c r="N120" s="193" t="s">
        <v>1496</v>
      </c>
      <c r="R120" s="193" t="b">
        <v>0</v>
      </c>
    </row>
    <row r="121">
      <c r="A121" s="359">
        <v>46058.71331590277</v>
      </c>
      <c r="B121" s="193" t="s">
        <v>3116</v>
      </c>
      <c r="C121" s="361">
        <v>2.0</v>
      </c>
      <c r="D121" s="193" t="s">
        <v>0</v>
      </c>
      <c r="E121" s="193" t="s">
        <v>23</v>
      </c>
      <c r="F121" s="193" t="s">
        <v>867</v>
      </c>
      <c r="G121" s="362">
        <v>45859.0</v>
      </c>
      <c r="H121" s="193" t="s">
        <v>1520</v>
      </c>
      <c r="I121" s="193" t="s">
        <v>1522</v>
      </c>
      <c r="K121" s="193" t="s">
        <v>1526</v>
      </c>
      <c r="L121" s="193" t="s">
        <v>1528</v>
      </c>
      <c r="M121" s="193" t="s">
        <v>1530</v>
      </c>
      <c r="N121" s="193" t="s">
        <v>1533</v>
      </c>
      <c r="R121" s="193" t="b">
        <v>0</v>
      </c>
    </row>
    <row r="122">
      <c r="A122" s="359">
        <v>46058.713619305556</v>
      </c>
      <c r="B122" s="193" t="s">
        <v>2996</v>
      </c>
      <c r="C122" s="361">
        <v>119.0</v>
      </c>
      <c r="D122" s="193" t="s">
        <v>17</v>
      </c>
      <c r="E122" s="193" t="s">
        <v>53</v>
      </c>
      <c r="F122" s="193" t="s">
        <v>34</v>
      </c>
      <c r="G122" s="362">
        <v>46036.0</v>
      </c>
      <c r="H122" s="193" t="s">
        <v>3623</v>
      </c>
      <c r="I122" s="193" t="s">
        <v>3625</v>
      </c>
      <c r="J122" s="193" t="s">
        <v>3626</v>
      </c>
      <c r="K122" s="193" t="s">
        <v>3627</v>
      </c>
      <c r="L122" s="193" t="s">
        <v>401</v>
      </c>
      <c r="M122" s="193" t="s">
        <v>3629</v>
      </c>
      <c r="N122" s="193" t="s">
        <v>4049</v>
      </c>
      <c r="R122" s="193" t="b">
        <v>0</v>
      </c>
    </row>
    <row r="123">
      <c r="A123" s="359">
        <v>46058.71389925926</v>
      </c>
      <c r="B123" s="193" t="s">
        <v>2996</v>
      </c>
      <c r="C123" s="361">
        <v>72.0</v>
      </c>
      <c r="D123" s="193" t="s">
        <v>22</v>
      </c>
      <c r="E123" s="193" t="s">
        <v>19</v>
      </c>
      <c r="F123" s="193" t="s">
        <v>867</v>
      </c>
      <c r="G123" s="362">
        <v>45692.0</v>
      </c>
      <c r="H123" s="193" t="s">
        <v>577</v>
      </c>
      <c r="I123" s="193" t="s">
        <v>578</v>
      </c>
      <c r="J123" s="193" t="s">
        <v>579</v>
      </c>
      <c r="K123" s="193" t="s">
        <v>580</v>
      </c>
      <c r="L123" s="193" t="s">
        <v>581</v>
      </c>
      <c r="M123" s="193" t="s">
        <v>4050</v>
      </c>
      <c r="N123" s="193" t="s">
        <v>4051</v>
      </c>
      <c r="P123" s="361">
        <v>0.75</v>
      </c>
      <c r="R123" s="193" t="b">
        <v>0</v>
      </c>
    </row>
    <row r="124">
      <c r="A124" s="359">
        <v>46058.714182662035</v>
      </c>
      <c r="B124" s="193" t="s">
        <v>2996</v>
      </c>
      <c r="C124" s="361">
        <v>69.0</v>
      </c>
      <c r="D124" s="193" t="s">
        <v>22</v>
      </c>
      <c r="E124" s="193" t="s">
        <v>19</v>
      </c>
      <c r="F124" s="193" t="s">
        <v>867</v>
      </c>
      <c r="G124" s="362">
        <v>45925.0</v>
      </c>
      <c r="H124" s="193" t="s">
        <v>1586</v>
      </c>
      <c r="I124" s="193" t="s">
        <v>1589</v>
      </c>
      <c r="J124" s="193" t="s">
        <v>1593</v>
      </c>
      <c r="K124" s="193" t="s">
        <v>1596</v>
      </c>
      <c r="L124" s="193" t="s">
        <v>1601</v>
      </c>
      <c r="M124" s="193" t="s">
        <v>1606</v>
      </c>
      <c r="R124" s="193" t="b">
        <v>0</v>
      </c>
    </row>
    <row r="125">
      <c r="A125" s="359">
        <v>46058.71439783565</v>
      </c>
      <c r="B125" s="193" t="s">
        <v>2996</v>
      </c>
      <c r="C125" s="361">
        <v>66.0</v>
      </c>
      <c r="D125" s="193" t="s">
        <v>22</v>
      </c>
      <c r="E125" s="193" t="s">
        <v>53</v>
      </c>
      <c r="F125" s="193" t="s">
        <v>867</v>
      </c>
      <c r="G125" s="362">
        <v>45847.0</v>
      </c>
      <c r="H125" s="193" t="s">
        <v>1646</v>
      </c>
      <c r="I125" s="193" t="s">
        <v>1648</v>
      </c>
      <c r="J125" s="193" t="s">
        <v>1650</v>
      </c>
      <c r="K125" s="193" t="s">
        <v>1652</v>
      </c>
      <c r="L125" s="193" t="s">
        <v>1654</v>
      </c>
      <c r="M125" s="193" t="s">
        <v>1658</v>
      </c>
      <c r="N125" s="193" t="s">
        <v>1000</v>
      </c>
      <c r="P125" s="361">
        <v>0.75</v>
      </c>
      <c r="R125" s="193" t="b">
        <v>0</v>
      </c>
    </row>
    <row r="126">
      <c r="A126" s="359">
        <v>46058.71456111111</v>
      </c>
      <c r="B126" s="193" t="s">
        <v>2996</v>
      </c>
      <c r="C126" s="361">
        <v>62.0</v>
      </c>
      <c r="D126" s="193" t="s">
        <v>646</v>
      </c>
      <c r="E126" s="193" t="s">
        <v>23</v>
      </c>
      <c r="F126" s="193" t="s">
        <v>867</v>
      </c>
      <c r="G126" s="362">
        <v>45909.0</v>
      </c>
      <c r="H126" s="193" t="s">
        <v>1669</v>
      </c>
      <c r="I126" s="193" t="s">
        <v>1670</v>
      </c>
      <c r="J126" s="193" t="s">
        <v>1671</v>
      </c>
      <c r="K126" s="193" t="s">
        <v>1672</v>
      </c>
      <c r="L126" s="193" t="s">
        <v>1673</v>
      </c>
      <c r="M126" s="193" t="s">
        <v>1674</v>
      </c>
      <c r="N126" s="193" t="s">
        <v>1675</v>
      </c>
      <c r="R126" s="193" t="b">
        <v>0</v>
      </c>
    </row>
    <row r="127">
      <c r="A127" s="359">
        <v>46058.71485960648</v>
      </c>
      <c r="B127" s="193" t="s">
        <v>2996</v>
      </c>
      <c r="C127" s="361">
        <v>42.0</v>
      </c>
      <c r="D127" s="193" t="s">
        <v>633</v>
      </c>
      <c r="E127" s="193" t="s">
        <v>23</v>
      </c>
      <c r="F127" s="193" t="s">
        <v>867</v>
      </c>
      <c r="G127" s="362">
        <v>45722.0</v>
      </c>
      <c r="H127" s="193" t="s">
        <v>1687</v>
      </c>
      <c r="I127" s="193" t="s">
        <v>1688</v>
      </c>
      <c r="J127" s="193" t="s">
        <v>1689</v>
      </c>
      <c r="L127" s="193" t="s">
        <v>997</v>
      </c>
      <c r="N127" s="193" t="s">
        <v>1690</v>
      </c>
      <c r="R127" s="193" t="b">
        <v>0</v>
      </c>
    </row>
    <row r="128">
      <c r="A128" s="359">
        <v>46058.715565694445</v>
      </c>
      <c r="B128" s="193" t="s">
        <v>3012</v>
      </c>
      <c r="C128" s="361">
        <v>5.0</v>
      </c>
      <c r="D128" s="193" t="s">
        <v>22</v>
      </c>
      <c r="E128" s="193" t="s">
        <v>23</v>
      </c>
      <c r="F128" s="193" t="s">
        <v>24</v>
      </c>
      <c r="G128" s="362">
        <v>45929.0</v>
      </c>
      <c r="H128" s="193" t="s">
        <v>265</v>
      </c>
      <c r="I128" s="193" t="s">
        <v>267</v>
      </c>
      <c r="J128" s="193" t="s">
        <v>270</v>
      </c>
      <c r="K128" s="193" t="s">
        <v>271</v>
      </c>
      <c r="L128" s="193" t="s">
        <v>273</v>
      </c>
      <c r="M128" s="193" t="s">
        <v>4060</v>
      </c>
      <c r="N128" s="193" t="s">
        <v>4062</v>
      </c>
      <c r="R128" s="193" t="b">
        <v>0</v>
      </c>
    </row>
    <row r="129">
      <c r="A129" s="359">
        <v>46058.742496516206</v>
      </c>
      <c r="B129" s="193" t="s">
        <v>2996</v>
      </c>
      <c r="C129" s="361">
        <v>3.0</v>
      </c>
      <c r="D129" s="193" t="s">
        <v>18</v>
      </c>
      <c r="E129" s="193" t="s">
        <v>19</v>
      </c>
      <c r="G129" s="362">
        <v>45554.0</v>
      </c>
      <c r="H129" s="193" t="s">
        <v>43</v>
      </c>
      <c r="I129" s="193" t="s">
        <v>44</v>
      </c>
      <c r="J129" s="193" t="s">
        <v>45</v>
      </c>
      <c r="K129" s="193" t="s">
        <v>47</v>
      </c>
      <c r="R129" s="193" t="b">
        <v>0</v>
      </c>
    </row>
    <row r="130">
      <c r="A130" s="359">
        <v>46058.742583541665</v>
      </c>
      <c r="B130" s="193" t="s">
        <v>2996</v>
      </c>
      <c r="C130" s="361">
        <v>3.0</v>
      </c>
      <c r="D130" s="193" t="s">
        <v>22</v>
      </c>
      <c r="E130" s="193" t="s">
        <v>19</v>
      </c>
      <c r="G130" s="362">
        <v>45658.0</v>
      </c>
      <c r="H130" s="193" t="s">
        <v>4065</v>
      </c>
      <c r="I130" s="193" t="s">
        <v>4066</v>
      </c>
      <c r="J130" s="193" t="s">
        <v>4067</v>
      </c>
      <c r="K130" s="193" t="s">
        <v>4068</v>
      </c>
      <c r="L130" s="193" t="s">
        <v>1328</v>
      </c>
      <c r="M130" s="193" t="s">
        <v>1000</v>
      </c>
      <c r="N130" s="193" t="s">
        <v>4072</v>
      </c>
      <c r="P130" s="361">
        <v>0.7</v>
      </c>
      <c r="R130" s="193" t="b">
        <v>0</v>
      </c>
    </row>
    <row r="131">
      <c r="A131" s="359">
        <v>46058.744727233796</v>
      </c>
      <c r="B131" s="193" t="s">
        <v>2996</v>
      </c>
      <c r="C131" s="361">
        <v>108.0</v>
      </c>
      <c r="D131" s="193" t="s">
        <v>17</v>
      </c>
      <c r="E131" s="193" t="s">
        <v>23</v>
      </c>
      <c r="F131" s="193" t="s">
        <v>867</v>
      </c>
      <c r="G131" s="362">
        <v>46034.0</v>
      </c>
      <c r="H131" s="193" t="s">
        <v>553</v>
      </c>
      <c r="I131" s="193" t="s">
        <v>554</v>
      </c>
      <c r="J131" s="193" t="s">
        <v>555</v>
      </c>
      <c r="K131" s="193" t="s">
        <v>556</v>
      </c>
      <c r="L131" s="193" t="s">
        <v>558</v>
      </c>
      <c r="M131" s="193" t="s">
        <v>561</v>
      </c>
      <c r="N131" s="193" t="s">
        <v>4080</v>
      </c>
      <c r="P131" s="359">
        <v>46058.74386663194</v>
      </c>
      <c r="R131" s="193" t="b">
        <v>0</v>
      </c>
    </row>
    <row r="132">
      <c r="A132" s="359">
        <v>46058.745120057865</v>
      </c>
      <c r="B132" s="193" t="s">
        <v>2996</v>
      </c>
      <c r="C132" s="361">
        <v>11.0</v>
      </c>
      <c r="D132" s="193" t="s">
        <v>22</v>
      </c>
      <c r="E132" s="193" t="s">
        <v>19</v>
      </c>
      <c r="F132" s="193" t="s">
        <v>34</v>
      </c>
      <c r="G132" s="362">
        <v>45554.0</v>
      </c>
      <c r="H132" s="193" t="s">
        <v>43</v>
      </c>
      <c r="I132" s="193" t="s">
        <v>44</v>
      </c>
      <c r="J132" s="193" t="s">
        <v>45</v>
      </c>
      <c r="K132" s="193" t="s">
        <v>47</v>
      </c>
      <c r="R132" s="193" t="b">
        <v>0</v>
      </c>
    </row>
    <row r="133">
      <c r="A133" s="359">
        <v>46058.75417965278</v>
      </c>
      <c r="B133" s="193" t="s">
        <v>2996</v>
      </c>
      <c r="C133" s="361">
        <v>106.0</v>
      </c>
      <c r="D133" s="193" t="s">
        <v>18</v>
      </c>
      <c r="E133" s="193" t="s">
        <v>19</v>
      </c>
      <c r="F133" s="193" t="s">
        <v>34</v>
      </c>
      <c r="G133" s="362">
        <v>46031.0</v>
      </c>
      <c r="H133" s="193" t="s">
        <v>170</v>
      </c>
      <c r="I133" s="193" t="s">
        <v>171</v>
      </c>
      <c r="J133" s="193" t="s">
        <v>172</v>
      </c>
      <c r="K133" s="193" t="s">
        <v>173</v>
      </c>
      <c r="L133" s="193" t="s">
        <v>174</v>
      </c>
      <c r="M133" s="193" t="s">
        <v>176</v>
      </c>
      <c r="N133" s="193" t="s">
        <v>3611</v>
      </c>
      <c r="O133" s="193" t="s">
        <v>3613</v>
      </c>
      <c r="R133" s="193" t="b">
        <v>0</v>
      </c>
    </row>
    <row r="134">
      <c r="A134" s="359">
        <v>46058.75501594908</v>
      </c>
      <c r="B134" s="193" t="s">
        <v>3007</v>
      </c>
      <c r="C134" s="361">
        <v>159.0</v>
      </c>
      <c r="D134" s="193" t="s">
        <v>135</v>
      </c>
      <c r="E134" s="193" t="s">
        <v>225</v>
      </c>
      <c r="F134" s="193" t="s">
        <v>867</v>
      </c>
      <c r="G134" s="362">
        <v>46009.0</v>
      </c>
      <c r="H134" s="193" t="s">
        <v>4092</v>
      </c>
      <c r="I134" s="193" t="s">
        <v>4093</v>
      </c>
      <c r="J134" s="193" t="s">
        <v>4096</v>
      </c>
      <c r="K134" s="193" t="s">
        <v>4098</v>
      </c>
      <c r="L134" s="193" t="s">
        <v>4100</v>
      </c>
      <c r="M134" s="193" t="s">
        <v>4103</v>
      </c>
      <c r="N134" s="193" t="s">
        <v>4104</v>
      </c>
      <c r="R134" s="193" t="b">
        <v>0</v>
      </c>
    </row>
    <row r="135">
      <c r="A135" s="359">
        <v>46058.79266349537</v>
      </c>
      <c r="B135" s="193" t="s">
        <v>2996</v>
      </c>
      <c r="C135" s="361">
        <v>76.0</v>
      </c>
      <c r="D135" s="193" t="s">
        <v>2992</v>
      </c>
      <c r="E135" s="193" t="s">
        <v>19</v>
      </c>
      <c r="F135" s="193" t="s">
        <v>222</v>
      </c>
      <c r="G135" s="362">
        <v>45978.0</v>
      </c>
      <c r="H135" s="193" t="s">
        <v>3352</v>
      </c>
      <c r="I135" s="193" t="s">
        <v>3353</v>
      </c>
      <c r="J135" s="193" t="s">
        <v>3355</v>
      </c>
      <c r="K135" s="193" t="s">
        <v>3356</v>
      </c>
      <c r="L135" s="193" t="s">
        <v>3359</v>
      </c>
      <c r="M135" s="193" t="s">
        <v>3360</v>
      </c>
      <c r="N135" s="193" t="s">
        <v>4108</v>
      </c>
      <c r="O135" s="362">
        <v>46036.0</v>
      </c>
      <c r="R135" s="193" t="b">
        <v>0</v>
      </c>
    </row>
    <row r="136">
      <c r="A136" s="359">
        <v>46058.792889317134</v>
      </c>
      <c r="B136" s="193" t="s">
        <v>2996</v>
      </c>
      <c r="C136" s="361">
        <v>15.0</v>
      </c>
      <c r="D136" s="193" t="s">
        <v>22</v>
      </c>
      <c r="E136" s="193" t="s">
        <v>19</v>
      </c>
      <c r="F136" s="193" t="s">
        <v>867</v>
      </c>
      <c r="G136" s="362">
        <v>45784.0</v>
      </c>
      <c r="H136" s="193" t="s">
        <v>1815</v>
      </c>
      <c r="I136" s="193" t="s">
        <v>1816</v>
      </c>
      <c r="J136" s="193" t="s">
        <v>1817</v>
      </c>
      <c r="K136" s="193" t="s">
        <v>1818</v>
      </c>
      <c r="L136" s="193" t="s">
        <v>59</v>
      </c>
      <c r="M136" s="193" t="s">
        <v>1822</v>
      </c>
      <c r="N136" s="193" t="s">
        <v>1825</v>
      </c>
      <c r="P136" s="361">
        <v>0.25</v>
      </c>
      <c r="R136" s="193" t="b">
        <v>0</v>
      </c>
    </row>
    <row r="137">
      <c r="A137" s="359">
        <v>46058.793013449074</v>
      </c>
      <c r="B137" s="193" t="s">
        <v>2996</v>
      </c>
      <c r="C137" s="361">
        <v>7.0</v>
      </c>
      <c r="D137" s="193" t="s">
        <v>22</v>
      </c>
      <c r="E137" s="193" t="s">
        <v>19</v>
      </c>
      <c r="F137" s="193" t="s">
        <v>222</v>
      </c>
      <c r="G137" s="362">
        <v>45714.0</v>
      </c>
      <c r="H137" s="193" t="s">
        <v>226</v>
      </c>
      <c r="I137" s="193" t="s">
        <v>227</v>
      </c>
      <c r="J137" s="193" t="s">
        <v>228</v>
      </c>
      <c r="K137" s="193" t="s">
        <v>4115</v>
      </c>
      <c r="L137" s="193" t="s">
        <v>230</v>
      </c>
      <c r="M137" s="193" t="s">
        <v>237</v>
      </c>
      <c r="N137" s="193" t="s">
        <v>4116</v>
      </c>
      <c r="R137" s="193" t="b">
        <v>0</v>
      </c>
    </row>
    <row r="138">
      <c r="A138" s="359">
        <v>46058.79395064815</v>
      </c>
      <c r="B138" s="193" t="s">
        <v>4118</v>
      </c>
      <c r="C138" s="361">
        <v>2.0</v>
      </c>
      <c r="D138" s="193" t="s">
        <v>633</v>
      </c>
      <c r="E138" s="193" t="s">
        <v>19</v>
      </c>
      <c r="F138" s="193" t="s">
        <v>24</v>
      </c>
      <c r="G138" s="362">
        <v>45751.0</v>
      </c>
      <c r="H138" s="193" t="s">
        <v>3053</v>
      </c>
      <c r="I138" s="193" t="s">
        <v>3054</v>
      </c>
      <c r="J138" s="193" t="s">
        <v>3055</v>
      </c>
      <c r="K138" s="193" t="s">
        <v>3057</v>
      </c>
      <c r="L138" s="193" t="s">
        <v>268</v>
      </c>
      <c r="M138" s="193" t="s">
        <v>3061</v>
      </c>
      <c r="N138" s="193" t="s">
        <v>3063</v>
      </c>
      <c r="P138" s="361">
        <v>0.6</v>
      </c>
      <c r="R138" s="193" t="b">
        <v>0</v>
      </c>
    </row>
    <row r="139">
      <c r="A139" s="359">
        <v>46059.77231760416</v>
      </c>
      <c r="B139" s="193" t="s">
        <v>2996</v>
      </c>
      <c r="C139" s="361">
        <v>8.0</v>
      </c>
      <c r="D139" s="193" t="s">
        <v>22</v>
      </c>
      <c r="E139" s="193" t="s">
        <v>19</v>
      </c>
      <c r="F139" s="193" t="s">
        <v>867</v>
      </c>
      <c r="G139" s="362">
        <v>45658.0</v>
      </c>
      <c r="H139" s="193" t="s">
        <v>4065</v>
      </c>
      <c r="I139" s="193" t="s">
        <v>4066</v>
      </c>
      <c r="J139" s="193" t="s">
        <v>4067</v>
      </c>
      <c r="K139" s="193" t="s">
        <v>4068</v>
      </c>
      <c r="L139" s="193" t="s">
        <v>1328</v>
      </c>
      <c r="M139" s="193" t="s">
        <v>1000</v>
      </c>
      <c r="N139" s="193" t="s">
        <v>4072</v>
      </c>
      <c r="P139" s="361">
        <v>0.7</v>
      </c>
      <c r="R139" s="193" t="b">
        <v>0</v>
      </c>
    </row>
    <row r="140">
      <c r="A140" s="359">
        <v>46059.79266825231</v>
      </c>
      <c r="B140" s="193" t="s">
        <v>2996</v>
      </c>
      <c r="C140" s="361">
        <v>101.0</v>
      </c>
      <c r="D140" s="193" t="s">
        <v>22</v>
      </c>
      <c r="E140" s="193" t="s">
        <v>198</v>
      </c>
      <c r="F140" s="193" t="s">
        <v>34</v>
      </c>
      <c r="G140" s="362">
        <v>46052.0</v>
      </c>
      <c r="H140" s="193" t="s">
        <v>202</v>
      </c>
      <c r="I140" s="193" t="s">
        <v>204</v>
      </c>
      <c r="J140" s="361">
        <v>8.454590212E9</v>
      </c>
      <c r="K140" s="193" t="s">
        <v>208</v>
      </c>
      <c r="L140" s="193" t="s">
        <v>210</v>
      </c>
      <c r="R140" s="193" t="b">
        <v>0</v>
      </c>
    </row>
    <row r="141">
      <c r="A141" s="359">
        <v>46059.79278956019</v>
      </c>
      <c r="B141" s="193" t="s">
        <v>2996</v>
      </c>
      <c r="C141" s="361">
        <v>99.0</v>
      </c>
      <c r="D141" s="193" t="s">
        <v>22</v>
      </c>
      <c r="E141" s="193" t="s">
        <v>19</v>
      </c>
      <c r="F141" s="193" t="s">
        <v>34</v>
      </c>
      <c r="G141" s="362">
        <v>46049.0</v>
      </c>
      <c r="H141" s="193" t="s">
        <v>3499</v>
      </c>
      <c r="I141" s="193" t="s">
        <v>3500</v>
      </c>
      <c r="J141" s="193" t="s">
        <v>3501</v>
      </c>
      <c r="K141" s="193" t="s">
        <v>3502</v>
      </c>
      <c r="L141" s="193" t="s">
        <v>340</v>
      </c>
      <c r="M141" s="193" t="s">
        <v>3504</v>
      </c>
      <c r="N141" s="193" t="s">
        <v>3505</v>
      </c>
      <c r="R141" s="193" t="b">
        <v>0</v>
      </c>
    </row>
    <row r="142">
      <c r="A142" s="359">
        <v>46059.7938494213</v>
      </c>
      <c r="B142" s="193" t="s">
        <v>4118</v>
      </c>
      <c r="C142" s="361">
        <v>11.0</v>
      </c>
      <c r="D142" s="193" t="s">
        <v>633</v>
      </c>
      <c r="E142" s="193" t="s">
        <v>19</v>
      </c>
      <c r="F142" s="193" t="s">
        <v>24</v>
      </c>
      <c r="G142" s="362">
        <v>45751.0</v>
      </c>
      <c r="H142" s="193" t="s">
        <v>3053</v>
      </c>
      <c r="I142" s="193" t="s">
        <v>3054</v>
      </c>
      <c r="J142" s="193" t="s">
        <v>3055</v>
      </c>
      <c r="K142" s="193" t="s">
        <v>3057</v>
      </c>
      <c r="L142" s="193" t="s">
        <v>268</v>
      </c>
      <c r="M142" s="193" t="s">
        <v>3061</v>
      </c>
      <c r="N142" s="193" t="s">
        <v>3063</v>
      </c>
      <c r="P142" s="361">
        <v>0.6</v>
      </c>
      <c r="R142" s="193" t="b">
        <v>0</v>
      </c>
    </row>
    <row r="143">
      <c r="A143" s="359">
        <v>46059.80317775463</v>
      </c>
      <c r="B143" s="193" t="s">
        <v>2996</v>
      </c>
      <c r="C143" s="361">
        <v>91.0</v>
      </c>
      <c r="D143" s="193" t="s">
        <v>135</v>
      </c>
      <c r="E143" s="193" t="s">
        <v>53</v>
      </c>
      <c r="F143" s="193" t="s">
        <v>34</v>
      </c>
      <c r="G143" s="362">
        <v>46009.0</v>
      </c>
      <c r="H143" s="193" t="s">
        <v>136</v>
      </c>
      <c r="I143" s="193" t="s">
        <v>137</v>
      </c>
      <c r="J143" s="193" t="s">
        <v>138</v>
      </c>
      <c r="K143" s="193" t="s">
        <v>139</v>
      </c>
      <c r="L143" s="193" t="s">
        <v>140</v>
      </c>
      <c r="M143" s="193" t="s">
        <v>141</v>
      </c>
      <c r="N143" s="193" t="s">
        <v>3532</v>
      </c>
      <c r="R143" s="193" t="b">
        <v>0</v>
      </c>
    </row>
    <row r="144">
      <c r="A144" s="359">
        <v>46059.82393528935</v>
      </c>
      <c r="B144" s="193" t="s">
        <v>3116</v>
      </c>
      <c r="C144" s="361">
        <v>8.0</v>
      </c>
      <c r="D144" s="193" t="s">
        <v>22</v>
      </c>
      <c r="E144" s="193" t="s">
        <v>19</v>
      </c>
      <c r="F144" s="193" t="s">
        <v>24</v>
      </c>
      <c r="G144" s="362">
        <v>46057.0</v>
      </c>
      <c r="H144" s="193" t="s">
        <v>796</v>
      </c>
      <c r="I144" s="193" t="s">
        <v>798</v>
      </c>
      <c r="J144" s="193" t="s">
        <v>800</v>
      </c>
      <c r="K144" s="193" t="s">
        <v>804</v>
      </c>
      <c r="M144" s="193" t="s">
        <v>812</v>
      </c>
      <c r="R144" s="193" t="b">
        <v>0</v>
      </c>
    </row>
    <row r="145">
      <c r="A145" s="359">
        <v>46062.95952027778</v>
      </c>
      <c r="B145" s="193" t="s">
        <v>3116</v>
      </c>
      <c r="C145" s="361">
        <v>12.0</v>
      </c>
      <c r="D145" s="193" t="s">
        <v>4144</v>
      </c>
      <c r="E145" s="193" t="s">
        <v>19</v>
      </c>
      <c r="F145" s="193" t="s">
        <v>34</v>
      </c>
      <c r="G145" s="362">
        <v>46059.0</v>
      </c>
      <c r="H145" s="193" t="s">
        <v>4147</v>
      </c>
      <c r="I145" s="193" t="s">
        <v>27</v>
      </c>
      <c r="J145" s="193" t="s">
        <v>28</v>
      </c>
      <c r="K145" s="193" t="s">
        <v>4151</v>
      </c>
      <c r="L145" s="193" t="s">
        <v>30</v>
      </c>
      <c r="M145" s="193" t="s">
        <v>4152</v>
      </c>
      <c r="N145" s="193" t="s">
        <v>4153</v>
      </c>
      <c r="P145" s="359">
        <v>46062.95391921296</v>
      </c>
      <c r="R145" s="193" t="b">
        <v>0</v>
      </c>
    </row>
    <row r="146">
      <c r="A146" s="359">
        <v>46063.90780885417</v>
      </c>
      <c r="B146" s="193" t="s">
        <v>3012</v>
      </c>
      <c r="C146" s="361">
        <v>5.0</v>
      </c>
      <c r="D146" s="193" t="s">
        <v>2992</v>
      </c>
      <c r="E146" s="193" t="s">
        <v>19</v>
      </c>
      <c r="F146" s="193" t="s">
        <v>24</v>
      </c>
      <c r="G146" s="362">
        <v>45978.0</v>
      </c>
      <c r="H146" s="193" t="s">
        <v>3352</v>
      </c>
      <c r="I146" s="193" t="s">
        <v>3353</v>
      </c>
      <c r="J146" s="193" t="s">
        <v>3355</v>
      </c>
      <c r="K146" s="193" t="s">
        <v>3356</v>
      </c>
      <c r="L146" s="193" t="s">
        <v>3359</v>
      </c>
      <c r="M146" s="193" t="s">
        <v>3360</v>
      </c>
      <c r="N146" s="193" t="s">
        <v>4108</v>
      </c>
      <c r="O146" s="362">
        <v>46036.0</v>
      </c>
      <c r="P146" s="359"/>
      <c r="R146" s="193" t="b">
        <v>0</v>
      </c>
    </row>
    <row r="147">
      <c r="A147" s="359">
        <v>46065.72197021991</v>
      </c>
      <c r="B147" s="193" t="s">
        <v>3012</v>
      </c>
      <c r="C147" s="361">
        <v>4.0</v>
      </c>
      <c r="D147" s="193" t="s">
        <v>17</v>
      </c>
      <c r="E147" s="193" t="s">
        <v>23</v>
      </c>
      <c r="F147" s="193" t="s">
        <v>34</v>
      </c>
      <c r="G147" s="362">
        <v>46006.0</v>
      </c>
      <c r="H147" s="193" t="s">
        <v>213</v>
      </c>
      <c r="I147" s="193" t="s">
        <v>214</v>
      </c>
      <c r="J147" s="193" t="s">
        <v>3517</v>
      </c>
      <c r="K147" s="193" t="s">
        <v>217</v>
      </c>
      <c r="L147" s="193" t="s">
        <v>218</v>
      </c>
      <c r="M147" s="193" t="s">
        <v>221</v>
      </c>
      <c r="N147" s="193" t="s">
        <v>4160</v>
      </c>
      <c r="O147" s="362"/>
      <c r="P147" s="359"/>
      <c r="R147" s="193" t="b">
        <v>0</v>
      </c>
    </row>
    <row r="148">
      <c r="A148" s="359">
        <v>46065.8237975463</v>
      </c>
      <c r="B148" s="193" t="s">
        <v>3116</v>
      </c>
      <c r="C148" s="361">
        <v>13.0</v>
      </c>
      <c r="D148" s="193" t="s">
        <v>22</v>
      </c>
      <c r="E148" s="193" t="s">
        <v>19</v>
      </c>
      <c r="F148" s="193" t="s">
        <v>34</v>
      </c>
      <c r="G148" s="362">
        <v>46063.0</v>
      </c>
      <c r="H148" s="193" t="s">
        <v>4163</v>
      </c>
      <c r="I148" s="193" t="s">
        <v>4164</v>
      </c>
      <c r="J148" s="193" t="s">
        <v>4165</v>
      </c>
      <c r="K148" s="193" t="s">
        <v>4166</v>
      </c>
      <c r="L148" s="193" t="s">
        <v>4167</v>
      </c>
      <c r="M148" s="193" t="s">
        <v>4168</v>
      </c>
      <c r="N148" s="193" t="s">
        <v>4169</v>
      </c>
      <c r="O148" s="362"/>
      <c r="P148" s="359">
        <v>46064.92808898148</v>
      </c>
      <c r="R148" s="193" t="b">
        <v>0</v>
      </c>
    </row>
    <row r="149">
      <c r="A149" s="359">
        <v>46065.82409273148</v>
      </c>
      <c r="B149" s="193" t="s">
        <v>2996</v>
      </c>
      <c r="C149" s="361">
        <v>115.0</v>
      </c>
      <c r="D149" s="193" t="s">
        <v>2992</v>
      </c>
      <c r="E149" s="193" t="s">
        <v>19</v>
      </c>
      <c r="F149" s="193" t="s">
        <v>34</v>
      </c>
      <c r="G149" s="362">
        <v>45978.0</v>
      </c>
      <c r="H149" s="193" t="s">
        <v>3352</v>
      </c>
      <c r="I149" s="193" t="s">
        <v>3353</v>
      </c>
      <c r="J149" s="193" t="s">
        <v>3355</v>
      </c>
      <c r="K149" s="193" t="s">
        <v>3356</v>
      </c>
      <c r="L149" s="193" t="s">
        <v>3359</v>
      </c>
      <c r="M149" s="193" t="s">
        <v>3360</v>
      </c>
      <c r="N149" s="193" t="s">
        <v>4108</v>
      </c>
      <c r="O149" s="362">
        <v>46036.0</v>
      </c>
      <c r="P149" s="359"/>
      <c r="R149" s="193" t="b">
        <v>0</v>
      </c>
    </row>
    <row r="150">
      <c r="A150" s="359">
        <v>46065.928245138886</v>
      </c>
      <c r="B150" s="193" t="s">
        <v>34</v>
      </c>
      <c r="C150" s="361">
        <v>19.0</v>
      </c>
      <c r="D150" s="193" t="s">
        <v>22</v>
      </c>
      <c r="E150" s="193" t="s">
        <v>19</v>
      </c>
      <c r="F150" s="193" t="s">
        <v>1410</v>
      </c>
      <c r="G150" s="362">
        <v>46049.0</v>
      </c>
      <c r="H150" s="193" t="s">
        <v>3499</v>
      </c>
      <c r="I150" s="193" t="s">
        <v>3500</v>
      </c>
      <c r="J150" s="193" t="s">
        <v>3501</v>
      </c>
      <c r="K150" s="193" t="s">
        <v>3502</v>
      </c>
      <c r="L150" s="193" t="s">
        <v>340</v>
      </c>
      <c r="M150" s="193" t="s">
        <v>3504</v>
      </c>
      <c r="N150" s="193" t="s">
        <v>3505</v>
      </c>
      <c r="O150" s="362"/>
      <c r="P150" s="359"/>
      <c r="R150" s="193" t="b">
        <v>0</v>
      </c>
    </row>
    <row r="151">
      <c r="A151" s="359">
        <v>46069.83416304398</v>
      </c>
      <c r="B151" s="193" t="s">
        <v>3116</v>
      </c>
      <c r="C151" s="361">
        <v>3.0</v>
      </c>
      <c r="D151" s="193" t="s">
        <v>22</v>
      </c>
      <c r="E151" s="193" t="s">
        <v>19</v>
      </c>
      <c r="F151" s="193" t="s">
        <v>34</v>
      </c>
      <c r="G151" s="362">
        <v>46044.0</v>
      </c>
      <c r="H151" s="193" t="s">
        <v>931</v>
      </c>
      <c r="I151" s="193" t="s">
        <v>933</v>
      </c>
      <c r="J151" s="193" t="s">
        <v>935</v>
      </c>
      <c r="K151" s="193" t="s">
        <v>937</v>
      </c>
      <c r="L151" s="193" t="s">
        <v>939</v>
      </c>
      <c r="M151" s="193" t="s">
        <v>941</v>
      </c>
      <c r="N151" s="193"/>
      <c r="O151" s="362"/>
      <c r="P151" s="359"/>
      <c r="R151" s="193" t="b">
        <v>0</v>
      </c>
    </row>
    <row r="152">
      <c r="A152" s="359">
        <v>46070.74039868056</v>
      </c>
      <c r="B152" s="193" t="s">
        <v>3116</v>
      </c>
      <c r="C152" s="361">
        <v>4.0</v>
      </c>
      <c r="D152" s="193" t="s">
        <v>22</v>
      </c>
      <c r="E152" s="193" t="s">
        <v>19</v>
      </c>
      <c r="F152" s="193" t="s">
        <v>24</v>
      </c>
      <c r="G152" s="362">
        <v>46056.0</v>
      </c>
      <c r="H152" s="193" t="s">
        <v>875</v>
      </c>
      <c r="I152" s="193" t="s">
        <v>877</v>
      </c>
      <c r="J152" s="193" t="s">
        <v>878</v>
      </c>
      <c r="K152" s="193" t="s">
        <v>879</v>
      </c>
      <c r="L152" s="193" t="s">
        <v>883</v>
      </c>
      <c r="M152" s="193" t="s">
        <v>886</v>
      </c>
      <c r="N152" s="193"/>
      <c r="O152" s="362"/>
      <c r="P152" s="359"/>
      <c r="R152" s="193" t="b">
        <v>0</v>
      </c>
    </row>
    <row r="153">
      <c r="A153" s="359">
        <v>46073.85516987268</v>
      </c>
      <c r="B153" s="193" t="s">
        <v>3116</v>
      </c>
      <c r="C153" s="361">
        <v>27.0</v>
      </c>
      <c r="D153" s="193" t="s">
        <v>22</v>
      </c>
      <c r="E153" s="193" t="s">
        <v>19</v>
      </c>
      <c r="F153" s="193" t="s">
        <v>34</v>
      </c>
      <c r="G153" s="362">
        <v>46071.0</v>
      </c>
      <c r="H153" s="193" t="s">
        <v>3572</v>
      </c>
      <c r="I153" s="193" t="s">
        <v>3573</v>
      </c>
      <c r="J153" s="193" t="s">
        <v>3575</v>
      </c>
      <c r="K153" s="193" t="s">
        <v>4182</v>
      </c>
      <c r="L153" s="193" t="s">
        <v>3578</v>
      </c>
      <c r="M153" s="193" t="s">
        <v>4184</v>
      </c>
      <c r="N153" s="193" t="s">
        <v>4186</v>
      </c>
      <c r="O153" s="362"/>
      <c r="P153" s="359">
        <v>46073.85226714121</v>
      </c>
      <c r="R153" s="193" t="b">
        <v>0</v>
      </c>
    </row>
    <row r="154">
      <c r="A154" s="359">
        <v>46073.91778752315</v>
      </c>
      <c r="B154" s="193" t="s">
        <v>34</v>
      </c>
      <c r="C154" s="361">
        <v>26.0</v>
      </c>
      <c r="D154" s="193" t="s">
        <v>22</v>
      </c>
      <c r="E154" s="193" t="s">
        <v>53</v>
      </c>
      <c r="F154" s="193" t="s">
        <v>24</v>
      </c>
      <c r="G154" s="362">
        <v>46055.0</v>
      </c>
      <c r="H154" s="193" t="s">
        <v>3769</v>
      </c>
      <c r="I154" s="193" t="s">
        <v>3770</v>
      </c>
      <c r="J154" s="193" t="s">
        <v>3771</v>
      </c>
      <c r="K154" s="193" t="s">
        <v>3773</v>
      </c>
      <c r="L154" s="193" t="s">
        <v>1146</v>
      </c>
      <c r="M154" s="193" t="s">
        <v>4189</v>
      </c>
      <c r="N154" s="193" t="s">
        <v>4190</v>
      </c>
      <c r="O154" s="362"/>
      <c r="P154" s="359">
        <v>46073.90964021991</v>
      </c>
      <c r="R154" s="193"/>
    </row>
    <row r="155">
      <c r="A155" s="359">
        <v>46078.90701811343</v>
      </c>
      <c r="B155" s="193" t="s">
        <v>3116</v>
      </c>
      <c r="C155" s="361">
        <v>28.0</v>
      </c>
      <c r="D155" s="193" t="s">
        <v>22</v>
      </c>
      <c r="E155" s="193" t="s">
        <v>19</v>
      </c>
      <c r="F155" s="193" t="s">
        <v>34</v>
      </c>
      <c r="G155" s="362">
        <v>46077.0</v>
      </c>
      <c r="H155" s="193" t="s">
        <v>245</v>
      </c>
      <c r="I155" s="193" t="s">
        <v>246</v>
      </c>
      <c r="J155" s="193" t="s">
        <v>247</v>
      </c>
      <c r="K155" s="193" t="s">
        <v>248</v>
      </c>
      <c r="L155" s="193" t="s">
        <v>210</v>
      </c>
      <c r="M155" s="193" t="s">
        <v>249</v>
      </c>
      <c r="N155" s="193" t="s">
        <v>4199</v>
      </c>
      <c r="O155" s="362"/>
      <c r="P155" s="359">
        <v>46078.85260677083</v>
      </c>
      <c r="R155" s="193" t="b">
        <v>0</v>
      </c>
    </row>
    <row r="156">
      <c r="A156" s="359">
        <v>46078.9071115625</v>
      </c>
      <c r="B156" s="193" t="s">
        <v>34</v>
      </c>
      <c r="C156" s="361">
        <v>20.0</v>
      </c>
      <c r="D156" s="193" t="e">
        <v>#ERROR!</v>
      </c>
      <c r="E156" s="193" t="s">
        <v>19</v>
      </c>
      <c r="F156" s="193" t="s">
        <v>21</v>
      </c>
      <c r="G156" s="362">
        <v>46059.0</v>
      </c>
      <c r="H156" s="193" t="s">
        <v>26</v>
      </c>
      <c r="I156" s="193" t="s">
        <v>27</v>
      </c>
      <c r="J156" s="193" t="s">
        <v>28</v>
      </c>
      <c r="K156" s="193" t="s">
        <v>29</v>
      </c>
      <c r="L156" s="193" t="s">
        <v>30</v>
      </c>
      <c r="M156" s="193" t="s">
        <v>32</v>
      </c>
      <c r="N156" s="193" t="s">
        <v>4206</v>
      </c>
      <c r="O156" s="362"/>
      <c r="P156" s="359">
        <v>46077.92113869213</v>
      </c>
      <c r="R156" s="193" t="b">
        <v>0</v>
      </c>
    </row>
    <row r="157">
      <c r="A157" s="359">
        <v>46078.90922560185</v>
      </c>
      <c r="B157" s="193" t="s">
        <v>4210</v>
      </c>
      <c r="C157" s="361">
        <v>15.0</v>
      </c>
      <c r="D157" s="193" t="s">
        <v>17</v>
      </c>
      <c r="E157" s="193" t="s">
        <v>19</v>
      </c>
      <c r="F157" s="193" t="s">
        <v>867</v>
      </c>
      <c r="G157" s="362">
        <v>45708.0</v>
      </c>
      <c r="H157" s="193" t="s">
        <v>362</v>
      </c>
      <c r="I157" s="193" t="s">
        <v>363</v>
      </c>
      <c r="J157" s="193" t="s">
        <v>365</v>
      </c>
      <c r="K157" s="193" t="s">
        <v>367</v>
      </c>
      <c r="L157" s="193" t="s">
        <v>369</v>
      </c>
      <c r="M157" s="193" t="s">
        <v>371</v>
      </c>
      <c r="N157" s="193" t="s">
        <v>4214</v>
      </c>
      <c r="O157" s="362"/>
      <c r="P157" s="359">
        <v>0.25</v>
      </c>
      <c r="R157" s="193" t="b">
        <v>0</v>
      </c>
    </row>
    <row r="158">
      <c r="A158" s="359">
        <v>46078.909303657405</v>
      </c>
      <c r="B158" s="193" t="s">
        <v>4217</v>
      </c>
      <c r="C158" s="361">
        <v>29.0</v>
      </c>
      <c r="D158" s="193" t="s">
        <v>17</v>
      </c>
      <c r="E158" s="193" t="s">
        <v>23</v>
      </c>
      <c r="F158" s="193" t="s">
        <v>360</v>
      </c>
      <c r="G158" s="362">
        <v>46056.0</v>
      </c>
      <c r="H158" s="193" t="s">
        <v>3793</v>
      </c>
      <c r="I158" s="193" t="s">
        <v>3795</v>
      </c>
      <c r="J158" s="193" t="s">
        <v>3798</v>
      </c>
      <c r="K158" s="193" t="s">
        <v>3799</v>
      </c>
      <c r="L158" s="193" t="s">
        <v>1174</v>
      </c>
      <c r="M158" s="193" t="s">
        <v>3801</v>
      </c>
      <c r="N158" s="193" t="s">
        <v>4221</v>
      </c>
      <c r="O158" s="362"/>
      <c r="P158" s="359"/>
      <c r="R158" s="193"/>
    </row>
    <row r="159">
      <c r="A159" s="359">
        <v>46079.975173865736</v>
      </c>
      <c r="B159" s="193" t="s">
        <v>2996</v>
      </c>
      <c r="C159" s="361">
        <v>28.0</v>
      </c>
      <c r="D159" s="193" t="s">
        <v>410</v>
      </c>
      <c r="E159" s="193" t="s">
        <v>19</v>
      </c>
      <c r="F159" s="193" t="s">
        <v>1451</v>
      </c>
      <c r="G159" s="362">
        <v>45840.0</v>
      </c>
      <c r="H159" s="193" t="s">
        <v>3547</v>
      </c>
      <c r="I159" s="193" t="s">
        <v>3548</v>
      </c>
      <c r="J159" s="193" t="s">
        <v>3549</v>
      </c>
      <c r="K159" s="193" t="s">
        <v>3551</v>
      </c>
      <c r="L159" s="193" t="s">
        <v>581</v>
      </c>
      <c r="M159" s="193" t="s">
        <v>3552</v>
      </c>
      <c r="N159" s="193" t="s">
        <v>3556</v>
      </c>
      <c r="O159" s="362"/>
      <c r="P159" s="359"/>
      <c r="R159" s="193" t="b">
        <v>0</v>
      </c>
    </row>
    <row r="160">
      <c r="A160" s="359">
        <v>46080.99600381944</v>
      </c>
      <c r="B160" s="193" t="s">
        <v>3116</v>
      </c>
      <c r="C160" s="361">
        <v>34.0</v>
      </c>
      <c r="D160" s="193" t="s">
        <v>62</v>
      </c>
      <c r="E160" s="193" t="s">
        <v>19</v>
      </c>
      <c r="F160" s="193" t="s">
        <v>24</v>
      </c>
      <c r="G160" s="362">
        <v>46080.0</v>
      </c>
      <c r="H160" s="193" t="s">
        <v>896</v>
      </c>
      <c r="I160" s="193" t="s">
        <v>897</v>
      </c>
      <c r="J160" s="193" t="s">
        <v>898</v>
      </c>
      <c r="K160" s="193" t="s">
        <v>899</v>
      </c>
      <c r="L160" s="193" t="s">
        <v>612</v>
      </c>
      <c r="M160" s="193" t="s">
        <v>4224</v>
      </c>
      <c r="N160" s="193" t="s">
        <v>901</v>
      </c>
      <c r="O160" s="362"/>
      <c r="P160" s="359">
        <v>46080.994040879625</v>
      </c>
      <c r="R160" s="193" t="b">
        <v>0</v>
      </c>
    </row>
    <row r="161">
      <c r="A161" s="359">
        <v>46083.975253993056</v>
      </c>
      <c r="B161" s="193" t="s">
        <v>2996</v>
      </c>
      <c r="C161" s="361">
        <v>63.0</v>
      </c>
      <c r="D161" s="193" t="s">
        <v>2992</v>
      </c>
      <c r="E161" s="193" t="s">
        <v>53</v>
      </c>
      <c r="F161" s="193" t="s">
        <v>1451</v>
      </c>
      <c r="G161" s="362">
        <v>45971.0</v>
      </c>
      <c r="H161" s="193" t="s">
        <v>3319</v>
      </c>
      <c r="I161" s="193" t="s">
        <v>3320</v>
      </c>
      <c r="J161" s="193" t="s">
        <v>426</v>
      </c>
      <c r="K161" s="193" t="s">
        <v>3321</v>
      </c>
      <c r="L161" s="193" t="s">
        <v>684</v>
      </c>
      <c r="M161" s="193" t="s">
        <v>3322</v>
      </c>
      <c r="N161" s="193" t="s">
        <v>3566</v>
      </c>
      <c r="O161" s="362"/>
      <c r="P161" s="359"/>
      <c r="Q161" s="193" t="s">
        <v>3023</v>
      </c>
      <c r="R161" s="193" t="b">
        <v>0</v>
      </c>
    </row>
    <row r="162">
      <c r="A162" s="359">
        <v>46084.81895003472</v>
      </c>
      <c r="B162" s="193" t="s">
        <v>34</v>
      </c>
      <c r="C162" s="361">
        <v>22.0</v>
      </c>
      <c r="D162" s="193" t="s">
        <v>2992</v>
      </c>
      <c r="E162" s="193" t="s">
        <v>19</v>
      </c>
      <c r="F162" s="193" t="s">
        <v>4230</v>
      </c>
      <c r="G162" s="362">
        <v>45978.0</v>
      </c>
      <c r="H162" s="193" t="s">
        <v>3352</v>
      </c>
      <c r="I162" s="193" t="s">
        <v>3353</v>
      </c>
      <c r="J162" s="193" t="s">
        <v>3355</v>
      </c>
      <c r="K162" s="193" t="s">
        <v>3356</v>
      </c>
      <c r="L162" s="193" t="s">
        <v>3359</v>
      </c>
      <c r="M162" s="193" t="s">
        <v>3360</v>
      </c>
      <c r="N162" s="193" t="s">
        <v>4108</v>
      </c>
      <c r="O162" s="362"/>
      <c r="P162" s="359"/>
      <c r="Q162" s="193"/>
      <c r="R162" s="193" t="b">
        <v>0</v>
      </c>
    </row>
    <row r="163">
      <c r="A163" s="359">
        <v>46084.829407060184</v>
      </c>
      <c r="B163" s="193" t="s">
        <v>34</v>
      </c>
      <c r="C163" s="361">
        <v>24.0</v>
      </c>
      <c r="D163" s="193" t="s">
        <v>22</v>
      </c>
      <c r="E163" s="193" t="s">
        <v>19</v>
      </c>
      <c r="F163" s="193" t="s">
        <v>1451</v>
      </c>
      <c r="G163" s="362">
        <v>46071.0</v>
      </c>
      <c r="H163" s="193" t="s">
        <v>3572</v>
      </c>
      <c r="I163" s="193" t="s">
        <v>3573</v>
      </c>
      <c r="J163" s="193" t="s">
        <v>3575</v>
      </c>
      <c r="K163" s="193" t="s">
        <v>3576</v>
      </c>
      <c r="L163" s="193" t="s">
        <v>3578</v>
      </c>
      <c r="M163" s="193" t="s">
        <v>4184</v>
      </c>
      <c r="N163" s="193" t="s">
        <v>4240</v>
      </c>
      <c r="O163" s="362"/>
      <c r="P163" s="359">
        <v>46084.82699954861</v>
      </c>
      <c r="Q163" s="193"/>
      <c r="R163" s="193" t="b">
        <v>0</v>
      </c>
    </row>
    <row r="164">
      <c r="A164" s="359">
        <v>46084.8294896875</v>
      </c>
      <c r="B164" s="193" t="s">
        <v>34</v>
      </c>
      <c r="C164" s="361">
        <v>4.0</v>
      </c>
      <c r="D164" s="193" t="s">
        <v>62</v>
      </c>
      <c r="E164" s="193" t="s">
        <v>23</v>
      </c>
      <c r="F164" s="193" t="s">
        <v>360</v>
      </c>
      <c r="G164" s="362">
        <v>45943.0</v>
      </c>
      <c r="H164" s="193" t="s">
        <v>559</v>
      </c>
      <c r="I164" s="193" t="s">
        <v>563</v>
      </c>
      <c r="J164" s="193" t="s">
        <v>567</v>
      </c>
      <c r="K164" s="193" t="s">
        <v>569</v>
      </c>
      <c r="L164" s="193" t="s">
        <v>572</v>
      </c>
      <c r="M164" s="193" t="s">
        <v>575</v>
      </c>
      <c r="N164" s="193" t="s">
        <v>4242</v>
      </c>
      <c r="O164" s="362"/>
      <c r="P164" s="359">
        <v>46078.79914364583</v>
      </c>
      <c r="Q164" s="193"/>
      <c r="R164" s="193" t="b">
        <v>0</v>
      </c>
    </row>
    <row r="165">
      <c r="A165" s="359">
        <v>46084.83978759259</v>
      </c>
      <c r="B165" s="193" t="s">
        <v>3116</v>
      </c>
      <c r="C165" s="361">
        <v>32.0</v>
      </c>
      <c r="D165" s="193" t="s">
        <v>22</v>
      </c>
      <c r="E165" s="193" t="s">
        <v>19</v>
      </c>
      <c r="F165" s="193" t="s">
        <v>1451</v>
      </c>
      <c r="G165" s="362">
        <v>46080.0</v>
      </c>
      <c r="H165" s="193" t="s">
        <v>3593</v>
      </c>
      <c r="I165" s="193" t="s">
        <v>3594</v>
      </c>
      <c r="J165" s="193" t="s">
        <v>3595</v>
      </c>
      <c r="K165" s="193" t="s">
        <v>3596</v>
      </c>
      <c r="L165" s="193" t="s">
        <v>3597</v>
      </c>
      <c r="M165" s="193" t="s">
        <v>3598</v>
      </c>
      <c r="N165" s="193"/>
      <c r="O165" s="362"/>
      <c r="P165" s="359"/>
      <c r="Q165" s="193"/>
      <c r="R165" s="193" t="b">
        <v>0</v>
      </c>
    </row>
    <row r="166">
      <c r="A166" s="359">
        <v>46084.84331615741</v>
      </c>
      <c r="B166" s="193" t="s">
        <v>2996</v>
      </c>
      <c r="C166" s="361">
        <v>40.0</v>
      </c>
      <c r="D166" s="193" t="s">
        <v>22</v>
      </c>
      <c r="E166" s="193" t="s">
        <v>53</v>
      </c>
      <c r="F166" s="193" t="s">
        <v>1410</v>
      </c>
      <c r="G166" s="362">
        <v>45889.0</v>
      </c>
      <c r="H166" s="193" t="s">
        <v>3602</v>
      </c>
      <c r="I166" s="193" t="s">
        <v>3603</v>
      </c>
      <c r="J166" s="193" t="s">
        <v>3605</v>
      </c>
      <c r="K166" s="193" t="s">
        <v>3606</v>
      </c>
      <c r="L166" s="193" t="s">
        <v>2998</v>
      </c>
      <c r="M166" s="193" t="s">
        <v>3607</v>
      </c>
      <c r="N166" s="193" t="s">
        <v>3608</v>
      </c>
      <c r="O166" s="362"/>
      <c r="P166" s="359">
        <v>46084.83998826389</v>
      </c>
      <c r="Q166" s="193"/>
      <c r="R166" s="193" t="b">
        <v>0</v>
      </c>
    </row>
    <row r="167">
      <c r="A167" s="359">
        <v>46084.912682511575</v>
      </c>
      <c r="B167" s="193" t="s">
        <v>3116</v>
      </c>
      <c r="C167" s="361">
        <v>39.0</v>
      </c>
      <c r="D167" s="193" t="s">
        <v>62</v>
      </c>
      <c r="E167" s="193" t="s">
        <v>19</v>
      </c>
      <c r="F167" s="193" t="s">
        <v>24</v>
      </c>
      <c r="G167" s="362">
        <v>46084.0</v>
      </c>
      <c r="H167" s="193" t="s">
        <v>904</v>
      </c>
      <c r="I167" s="193" t="s">
        <v>905</v>
      </c>
      <c r="J167" s="193" t="s">
        <v>907</v>
      </c>
      <c r="K167" s="193" t="s">
        <v>908</v>
      </c>
      <c r="L167" s="193"/>
      <c r="M167" s="193"/>
      <c r="N167" s="193" t="s">
        <v>910</v>
      </c>
      <c r="O167" s="362"/>
      <c r="P167" s="359">
        <v>46084.91062501157</v>
      </c>
      <c r="Q167" s="193"/>
      <c r="R167" s="193" t="b">
        <v>0</v>
      </c>
    </row>
    <row r="168">
      <c r="A168" s="359">
        <v>46084.92312266203</v>
      </c>
      <c r="B168" s="193" t="s">
        <v>3116</v>
      </c>
      <c r="C168" s="361">
        <v>33.0</v>
      </c>
      <c r="D168" s="193" t="s">
        <v>62</v>
      </c>
      <c r="E168" s="193" t="s">
        <v>225</v>
      </c>
      <c r="F168" s="193" t="s">
        <v>24</v>
      </c>
      <c r="G168" s="362">
        <v>46083.0</v>
      </c>
      <c r="H168" s="193" t="s">
        <v>1109</v>
      </c>
      <c r="I168" s="193" t="s">
        <v>1110</v>
      </c>
      <c r="J168" s="193" t="s">
        <v>1111</v>
      </c>
      <c r="K168" s="193" t="s">
        <v>4262</v>
      </c>
      <c r="L168" s="193" t="s">
        <v>4264</v>
      </c>
      <c r="M168" s="193" t="s">
        <v>4265</v>
      </c>
      <c r="N168" s="193" t="s">
        <v>4266</v>
      </c>
      <c r="O168" s="362"/>
      <c r="P168" s="359">
        <v>46083.933406550925</v>
      </c>
      <c r="Q168" s="193"/>
      <c r="R168" s="193" t="b">
        <v>0</v>
      </c>
    </row>
    <row r="169">
      <c r="A169" s="359">
        <v>46084.92317686343</v>
      </c>
      <c r="B169" s="193" t="s">
        <v>3116</v>
      </c>
      <c r="C169" s="361">
        <v>16.0</v>
      </c>
      <c r="D169" s="193" t="s">
        <v>62</v>
      </c>
      <c r="E169" s="193" t="s">
        <v>225</v>
      </c>
      <c r="F169" s="193" t="s">
        <v>867</v>
      </c>
      <c r="G169" s="362">
        <v>46070.0</v>
      </c>
      <c r="H169" s="193" t="s">
        <v>4270</v>
      </c>
      <c r="I169" s="193" t="s">
        <v>4272</v>
      </c>
      <c r="J169" s="193" t="s">
        <v>4273</v>
      </c>
      <c r="K169" s="193" t="s">
        <v>4274</v>
      </c>
      <c r="L169" s="193" t="s">
        <v>4275</v>
      </c>
      <c r="M169" s="193" t="s">
        <v>4276</v>
      </c>
      <c r="N169" s="193" t="s">
        <v>4278</v>
      </c>
      <c r="O169" s="362"/>
      <c r="P169" s="359">
        <v>46071.82264628472</v>
      </c>
      <c r="Q169" s="193"/>
      <c r="R169" s="193" t="b">
        <v>0</v>
      </c>
    </row>
    <row r="170">
      <c r="A170" s="359">
        <v>46084.92327871528</v>
      </c>
      <c r="B170" s="193" t="s">
        <v>3116</v>
      </c>
      <c r="C170" s="361">
        <v>31.0</v>
      </c>
      <c r="D170" s="193" t="s">
        <v>62</v>
      </c>
      <c r="E170" s="193" t="s">
        <v>225</v>
      </c>
      <c r="F170" s="193" t="s">
        <v>24</v>
      </c>
      <c r="G170" s="362">
        <v>46083.0</v>
      </c>
      <c r="H170" s="193" t="s">
        <v>922</v>
      </c>
      <c r="I170" s="193" t="s">
        <v>923</v>
      </c>
      <c r="J170" s="193" t="s">
        <v>924</v>
      </c>
      <c r="K170" s="193" t="s">
        <v>4282</v>
      </c>
      <c r="L170" s="193" t="s">
        <v>926</v>
      </c>
      <c r="M170" s="193" t="s">
        <v>4283</v>
      </c>
      <c r="N170" s="193" t="s">
        <v>4284</v>
      </c>
      <c r="O170" s="362"/>
      <c r="P170" s="359">
        <v>46084.01589277778</v>
      </c>
      <c r="Q170" s="193"/>
      <c r="R170" s="193" t="b">
        <v>0</v>
      </c>
    </row>
    <row r="171">
      <c r="A171" s="359">
        <v>46084.92336246528</v>
      </c>
      <c r="B171" s="193" t="s">
        <v>3116</v>
      </c>
      <c r="C171" s="361">
        <v>11.0</v>
      </c>
      <c r="D171" s="193" t="s">
        <v>62</v>
      </c>
      <c r="E171" s="193" t="s">
        <v>23</v>
      </c>
      <c r="F171" s="193" t="s">
        <v>24</v>
      </c>
      <c r="G171" s="362">
        <v>46064.0</v>
      </c>
      <c r="H171" s="193" t="s">
        <v>942</v>
      </c>
      <c r="I171" s="193" t="s">
        <v>943</v>
      </c>
      <c r="J171" s="193" t="s">
        <v>945</v>
      </c>
      <c r="K171" s="193" t="s">
        <v>946</v>
      </c>
      <c r="L171" s="193" t="s">
        <v>947</v>
      </c>
      <c r="M171" s="193" t="s">
        <v>4293</v>
      </c>
      <c r="N171" s="193" t="s">
        <v>4295</v>
      </c>
      <c r="O171" s="362"/>
      <c r="P171" s="359">
        <v>46065.940274050925</v>
      </c>
      <c r="Q171" s="193"/>
      <c r="R171" s="193" t="b">
        <v>0</v>
      </c>
    </row>
    <row r="172">
      <c r="A172" s="359">
        <v>46084.92341206019</v>
      </c>
      <c r="B172" s="193" t="s">
        <v>3116</v>
      </c>
      <c r="C172" s="361">
        <v>7.0</v>
      </c>
      <c r="D172" s="193" t="s">
        <v>17</v>
      </c>
      <c r="E172" s="193" t="s">
        <v>23</v>
      </c>
      <c r="F172" s="193" t="s">
        <v>867</v>
      </c>
      <c r="G172" s="362">
        <v>46062.0</v>
      </c>
      <c r="H172" s="193" t="s">
        <v>2095</v>
      </c>
      <c r="I172" s="193" t="s">
        <v>2098</v>
      </c>
      <c r="J172" s="193" t="s">
        <v>2100</v>
      </c>
      <c r="K172" s="193" t="s">
        <v>4299</v>
      </c>
      <c r="L172" s="193" t="s">
        <v>1378</v>
      </c>
      <c r="M172" s="193" t="s">
        <v>4302</v>
      </c>
      <c r="N172" s="193" t="s">
        <v>4304</v>
      </c>
      <c r="O172" s="362"/>
      <c r="P172" s="359">
        <v>46064.75247395833</v>
      </c>
      <c r="Q172" s="193"/>
      <c r="R172" s="193" t="b">
        <v>0</v>
      </c>
    </row>
    <row r="173">
      <c r="A173" s="359">
        <v>46084.92347599537</v>
      </c>
      <c r="B173" s="193" t="s">
        <v>3116</v>
      </c>
      <c r="C173" s="361">
        <v>12.0</v>
      </c>
      <c r="D173" s="193" t="s">
        <v>62</v>
      </c>
      <c r="E173" s="193" t="s">
        <v>19</v>
      </c>
      <c r="F173" s="193" t="s">
        <v>24</v>
      </c>
      <c r="G173" s="362">
        <v>46066.0</v>
      </c>
      <c r="H173" s="193" t="s">
        <v>957</v>
      </c>
      <c r="I173" s="193" t="s">
        <v>958</v>
      </c>
      <c r="J173" s="193" t="s">
        <v>959</v>
      </c>
      <c r="K173" s="193" t="s">
        <v>960</v>
      </c>
      <c r="L173" s="193" t="s">
        <v>513</v>
      </c>
      <c r="M173" s="193" t="s">
        <v>962</v>
      </c>
      <c r="N173" s="193" t="s">
        <v>964</v>
      </c>
      <c r="O173" s="362"/>
      <c r="P173" s="359">
        <v>46070.87062462963</v>
      </c>
      <c r="Q173" s="193"/>
      <c r="R173" s="193" t="b">
        <v>0</v>
      </c>
    </row>
    <row r="174">
      <c r="A174" s="359">
        <v>46084.92352894676</v>
      </c>
      <c r="B174" s="193" t="s">
        <v>3116</v>
      </c>
      <c r="C174" s="361">
        <v>8.0</v>
      </c>
      <c r="D174" s="193" t="s">
        <v>62</v>
      </c>
      <c r="E174" s="193" t="s">
        <v>23</v>
      </c>
      <c r="F174" s="193" t="s">
        <v>24</v>
      </c>
      <c r="G174" s="362">
        <v>46063.0</v>
      </c>
      <c r="H174" s="193" t="s">
        <v>974</v>
      </c>
      <c r="I174" s="193" t="s">
        <v>976</v>
      </c>
      <c r="J174" s="193" t="s">
        <v>977</v>
      </c>
      <c r="K174" s="193" t="s">
        <v>978</v>
      </c>
      <c r="L174" s="193" t="s">
        <v>980</v>
      </c>
      <c r="M174" s="193" t="s">
        <v>981</v>
      </c>
      <c r="N174" s="193" t="s">
        <v>4321</v>
      </c>
      <c r="O174" s="362"/>
      <c r="P174" s="359">
        <v>46065.73809909722</v>
      </c>
      <c r="Q174" s="193"/>
      <c r="R174" s="193" t="b">
        <v>0</v>
      </c>
    </row>
    <row r="175">
      <c r="A175" s="359">
        <v>46084.92360912037</v>
      </c>
      <c r="B175" s="193" t="s">
        <v>3116</v>
      </c>
      <c r="C175" s="361">
        <v>6.0</v>
      </c>
      <c r="D175" s="193" t="s">
        <v>62</v>
      </c>
      <c r="E175" s="193" t="s">
        <v>225</v>
      </c>
      <c r="F175" s="193" t="s">
        <v>1451</v>
      </c>
      <c r="G175" s="362">
        <v>46059.0</v>
      </c>
      <c r="H175" s="193" t="s">
        <v>3639</v>
      </c>
      <c r="I175" s="193" t="s">
        <v>3640</v>
      </c>
      <c r="J175" s="193" t="s">
        <v>3641</v>
      </c>
      <c r="K175" s="193" t="s">
        <v>3642</v>
      </c>
      <c r="L175" s="193" t="s">
        <v>3643</v>
      </c>
      <c r="M175" s="193" t="s">
        <v>3646</v>
      </c>
      <c r="N175" s="193" t="s">
        <v>3648</v>
      </c>
      <c r="O175" s="362"/>
      <c r="P175" s="359">
        <v>46059.95002040509</v>
      </c>
      <c r="Q175" s="193"/>
      <c r="R175" s="193" t="b">
        <v>0</v>
      </c>
    </row>
    <row r="176">
      <c r="A176" s="359">
        <v>46084.92367174769</v>
      </c>
      <c r="B176" s="193" t="s">
        <v>3116</v>
      </c>
      <c r="C176" s="361">
        <v>9.0</v>
      </c>
      <c r="D176" s="193" t="s">
        <v>22</v>
      </c>
      <c r="E176" s="193" t="s">
        <v>225</v>
      </c>
      <c r="F176" s="193" t="s">
        <v>24</v>
      </c>
      <c r="G176" s="362">
        <v>46065.0</v>
      </c>
      <c r="H176" s="193" t="s">
        <v>2151</v>
      </c>
      <c r="I176" s="193" t="s">
        <v>2154</v>
      </c>
      <c r="J176" s="193" t="s">
        <v>4005</v>
      </c>
      <c r="K176" s="193" t="s">
        <v>2158</v>
      </c>
      <c r="L176" s="193" t="s">
        <v>1584</v>
      </c>
      <c r="M176" s="193" t="s">
        <v>4333</v>
      </c>
      <c r="N176" s="193" t="s">
        <v>4008</v>
      </c>
      <c r="O176" s="362"/>
      <c r="P176" s="359">
        <v>46071.82304949074</v>
      </c>
      <c r="Q176" s="193"/>
      <c r="R176" s="193" t="b">
        <v>0</v>
      </c>
    </row>
    <row r="177">
      <c r="A177" s="359">
        <v>46084.923742824074</v>
      </c>
      <c r="B177" s="193" t="s">
        <v>3116</v>
      </c>
      <c r="C177" s="361">
        <v>4.0</v>
      </c>
      <c r="D177" s="193" t="s">
        <v>17</v>
      </c>
      <c r="E177" s="193" t="s">
        <v>53</v>
      </c>
      <c r="F177" s="193" t="s">
        <v>24</v>
      </c>
      <c r="G177" s="362">
        <v>46058.0</v>
      </c>
      <c r="H177" s="193" t="s">
        <v>3816</v>
      </c>
      <c r="I177" s="193" t="s">
        <v>3817</v>
      </c>
      <c r="J177" s="193" t="s">
        <v>3819</v>
      </c>
      <c r="K177" s="193" t="s">
        <v>3820</v>
      </c>
      <c r="L177" s="193" t="s">
        <v>581</v>
      </c>
      <c r="M177" s="193" t="s">
        <v>3822</v>
      </c>
      <c r="N177" s="193" t="s">
        <v>3710</v>
      </c>
      <c r="O177" s="362"/>
      <c r="P177" s="359">
        <v>46065.82022760417</v>
      </c>
      <c r="Q177" s="193"/>
      <c r="R177" s="193" t="b">
        <v>0</v>
      </c>
    </row>
    <row r="178">
      <c r="A178" s="359">
        <v>46084.92380390046</v>
      </c>
      <c r="B178" s="193" t="s">
        <v>3116</v>
      </c>
      <c r="C178" s="361">
        <v>3.0</v>
      </c>
      <c r="D178" s="193" t="s">
        <v>62</v>
      </c>
      <c r="E178" s="193" t="s">
        <v>23</v>
      </c>
      <c r="F178" s="193" t="s">
        <v>24</v>
      </c>
      <c r="G178" s="362">
        <v>46057.0</v>
      </c>
      <c r="H178" s="193" t="s">
        <v>989</v>
      </c>
      <c r="I178" s="193" t="s">
        <v>991</v>
      </c>
      <c r="J178" s="193" t="s">
        <v>992</v>
      </c>
      <c r="K178" s="193" t="s">
        <v>995</v>
      </c>
      <c r="L178" s="193" t="s">
        <v>996</v>
      </c>
      <c r="M178" s="193" t="s">
        <v>998</v>
      </c>
      <c r="N178" s="193" t="s">
        <v>4352</v>
      </c>
      <c r="O178" s="362"/>
      <c r="P178" s="359">
        <v>46063.933754722224</v>
      </c>
      <c r="Q178" s="193"/>
      <c r="R178" s="193" t="b">
        <v>0</v>
      </c>
    </row>
    <row r="179">
      <c r="A179" s="359">
        <v>46084.92386347222</v>
      </c>
      <c r="B179" s="193" t="s">
        <v>3116</v>
      </c>
      <c r="C179" s="361">
        <v>13.0</v>
      </c>
      <c r="D179" s="193" t="s">
        <v>62</v>
      </c>
      <c r="E179" s="193" t="s">
        <v>23</v>
      </c>
      <c r="F179" s="193" t="s">
        <v>24</v>
      </c>
      <c r="G179" s="362">
        <v>46073.0</v>
      </c>
      <c r="H179" s="193" t="s">
        <v>1012</v>
      </c>
      <c r="I179" s="193" t="s">
        <v>1014</v>
      </c>
      <c r="J179" s="193" t="s">
        <v>1016</v>
      </c>
      <c r="K179" s="193" t="s">
        <v>1018</v>
      </c>
      <c r="L179" s="193" t="s">
        <v>1020</v>
      </c>
      <c r="M179" s="193" t="s">
        <v>1021</v>
      </c>
      <c r="N179" s="193" t="s">
        <v>4359</v>
      </c>
      <c r="O179" s="362"/>
      <c r="P179" s="359">
        <v>46083.8814074074</v>
      </c>
      <c r="Q179" s="193"/>
      <c r="R179" s="193" t="b">
        <v>0</v>
      </c>
    </row>
    <row r="180">
      <c r="A180" s="359">
        <v>46084.92659832176</v>
      </c>
      <c r="B180" s="193" t="s">
        <v>34</v>
      </c>
      <c r="C180" s="361">
        <v>18.0</v>
      </c>
      <c r="D180" s="193" t="s">
        <v>135</v>
      </c>
      <c r="E180" s="193" t="s">
        <v>225</v>
      </c>
      <c r="F180" s="193" t="s">
        <v>1451</v>
      </c>
      <c r="G180" s="362">
        <v>46055.0</v>
      </c>
      <c r="H180" s="193" t="s">
        <v>3662</v>
      </c>
      <c r="I180" s="193" t="s">
        <v>3664</v>
      </c>
      <c r="J180" s="193" t="s">
        <v>3665</v>
      </c>
      <c r="K180" s="193" t="s">
        <v>3668</v>
      </c>
      <c r="L180" s="193" t="s">
        <v>980</v>
      </c>
      <c r="M180" s="193" t="s">
        <v>3670</v>
      </c>
      <c r="N180" s="193" t="s">
        <v>3671</v>
      </c>
      <c r="O180" s="362"/>
      <c r="P180" s="359">
        <v>46078.96325961806</v>
      </c>
      <c r="Q180" s="193"/>
      <c r="R180" s="193" t="b">
        <v>0</v>
      </c>
    </row>
    <row r="181">
      <c r="A181" s="359">
        <v>46084.926649444446</v>
      </c>
      <c r="B181" s="193" t="s">
        <v>2996</v>
      </c>
      <c r="C181" s="361">
        <v>100.0</v>
      </c>
      <c r="D181" s="193" t="s">
        <v>17</v>
      </c>
      <c r="E181" s="193" t="s">
        <v>225</v>
      </c>
      <c r="F181" s="193" t="s">
        <v>1451</v>
      </c>
      <c r="G181" s="362">
        <v>46037.0</v>
      </c>
      <c r="H181" s="193" t="s">
        <v>3676</v>
      </c>
      <c r="I181" s="193" t="s">
        <v>3678</v>
      </c>
      <c r="J181" s="193" t="s">
        <v>3679</v>
      </c>
      <c r="K181" s="193" t="s">
        <v>3680</v>
      </c>
      <c r="L181" s="193" t="s">
        <v>3681</v>
      </c>
      <c r="M181" s="193" t="s">
        <v>3682</v>
      </c>
      <c r="N181" s="193" t="s">
        <v>3684</v>
      </c>
      <c r="O181" s="362"/>
      <c r="P181" s="359"/>
      <c r="Q181" s="193"/>
      <c r="R181" s="193" t="b">
        <v>0</v>
      </c>
    </row>
    <row r="182">
      <c r="A182" s="359">
        <v>46084.9278524074</v>
      </c>
      <c r="B182" s="193" t="s">
        <v>3116</v>
      </c>
      <c r="C182" s="361">
        <v>21.0</v>
      </c>
      <c r="D182" s="193" t="s">
        <v>17</v>
      </c>
      <c r="E182" s="193" t="s">
        <v>225</v>
      </c>
      <c r="F182" s="193" t="s">
        <v>24</v>
      </c>
      <c r="G182" s="362">
        <v>46083.0</v>
      </c>
      <c r="H182" s="193" t="s">
        <v>1002</v>
      </c>
      <c r="I182" s="193" t="s">
        <v>1003</v>
      </c>
      <c r="J182" s="193" t="s">
        <v>4380</v>
      </c>
      <c r="K182" s="193" t="s">
        <v>4382</v>
      </c>
      <c r="L182" s="193" t="s">
        <v>1006</v>
      </c>
      <c r="M182" s="193" t="s">
        <v>4383</v>
      </c>
      <c r="N182" s="193"/>
      <c r="O182" s="362"/>
      <c r="P182" s="359"/>
      <c r="Q182" s="193"/>
      <c r="R182" s="193" t="b">
        <v>0</v>
      </c>
    </row>
    <row r="183">
      <c r="A183" s="359">
        <v>46084.92790952546</v>
      </c>
      <c r="B183" s="193" t="s">
        <v>3116</v>
      </c>
      <c r="C183" s="361">
        <v>20.0</v>
      </c>
      <c r="D183" s="193" t="s">
        <v>62</v>
      </c>
      <c r="E183" s="193" t="s">
        <v>225</v>
      </c>
      <c r="F183" s="193" t="s">
        <v>867</v>
      </c>
      <c r="G183" s="362">
        <v>46080.0</v>
      </c>
      <c r="H183" s="193" t="s">
        <v>1919</v>
      </c>
      <c r="I183" s="193" t="s">
        <v>1920</v>
      </c>
      <c r="J183" s="193" t="s">
        <v>1923</v>
      </c>
      <c r="K183" s="193" t="s">
        <v>4390</v>
      </c>
      <c r="L183" s="193" t="s">
        <v>4391</v>
      </c>
      <c r="M183" s="193"/>
      <c r="N183" s="193"/>
      <c r="O183" s="362"/>
      <c r="P183" s="359"/>
      <c r="Q183" s="193"/>
      <c r="R183" s="193" t="b">
        <v>0</v>
      </c>
    </row>
    <row r="184">
      <c r="A184" s="359">
        <v>46084.92794771991</v>
      </c>
      <c r="B184" s="193" t="s">
        <v>3116</v>
      </c>
      <c r="C184" s="361">
        <v>13.0</v>
      </c>
      <c r="D184" s="193" t="s">
        <v>62</v>
      </c>
      <c r="E184" s="193" t="s">
        <v>225</v>
      </c>
      <c r="F184" s="193" t="s">
        <v>1451</v>
      </c>
      <c r="G184" s="362">
        <v>46076.0</v>
      </c>
      <c r="H184" s="193" t="s">
        <v>3689</v>
      </c>
      <c r="I184" s="193" t="s">
        <v>3690</v>
      </c>
      <c r="J184" s="193" t="s">
        <v>3691</v>
      </c>
      <c r="K184" s="193" t="s">
        <v>3692</v>
      </c>
      <c r="L184" s="193" t="s">
        <v>1760</v>
      </c>
      <c r="M184" s="193" t="s">
        <v>3694</v>
      </c>
      <c r="N184" s="193" t="s">
        <v>4397</v>
      </c>
      <c r="O184" s="362"/>
      <c r="P184" s="359">
        <v>46083.881574942134</v>
      </c>
      <c r="Q184" s="193"/>
      <c r="R184" s="193" t="b">
        <v>0</v>
      </c>
    </row>
    <row r="185">
      <c r="A185" s="359">
        <v>46084.92798604167</v>
      </c>
      <c r="B185" s="193" t="s">
        <v>3116</v>
      </c>
      <c r="C185" s="361">
        <v>12.0</v>
      </c>
      <c r="D185" s="193" t="s">
        <v>62</v>
      </c>
      <c r="E185" s="193" t="s">
        <v>53</v>
      </c>
      <c r="F185" s="193" t="s">
        <v>24</v>
      </c>
      <c r="G185" s="362">
        <v>46073.0</v>
      </c>
      <c r="H185" s="193" t="s">
        <v>4401</v>
      </c>
      <c r="I185" s="193" t="s">
        <v>4403</v>
      </c>
      <c r="J185" s="193" t="s">
        <v>4405</v>
      </c>
      <c r="K185" s="193" t="s">
        <v>4408</v>
      </c>
      <c r="L185" s="193" t="s">
        <v>445</v>
      </c>
      <c r="M185" s="193" t="s">
        <v>4410</v>
      </c>
      <c r="N185" s="193" t="s">
        <v>4411</v>
      </c>
      <c r="O185" s="362"/>
      <c r="P185" s="359">
        <v>46084.891599062496</v>
      </c>
      <c r="Q185" s="193"/>
      <c r="R185" s="193" t="b">
        <v>0</v>
      </c>
    </row>
    <row r="186">
      <c r="A186" s="359">
        <v>46084.928042997686</v>
      </c>
      <c r="B186" s="193" t="s">
        <v>3116</v>
      </c>
      <c r="C186" s="361">
        <v>11.0</v>
      </c>
      <c r="D186" s="193" t="s">
        <v>62</v>
      </c>
      <c r="E186" s="193" t="s">
        <v>225</v>
      </c>
      <c r="F186" s="193" t="s">
        <v>360</v>
      </c>
      <c r="G186" s="362">
        <v>46071.0</v>
      </c>
      <c r="H186" s="193" t="s">
        <v>4415</v>
      </c>
      <c r="I186" s="193" t="s">
        <v>4416</v>
      </c>
      <c r="J186" s="193" t="s">
        <v>4418</v>
      </c>
      <c r="K186" s="193" t="s">
        <v>4419</v>
      </c>
      <c r="L186" s="193" t="s">
        <v>1089</v>
      </c>
      <c r="M186" s="193"/>
      <c r="N186" s="193" t="s">
        <v>4420</v>
      </c>
      <c r="O186" s="362"/>
      <c r="P186" s="359">
        <v>46071.844028935186</v>
      </c>
      <c r="Q186" s="193"/>
      <c r="R186" s="193" t="b">
        <v>0</v>
      </c>
    </row>
    <row r="187">
      <c r="A187" s="359">
        <v>46084.92808037037</v>
      </c>
      <c r="B187" s="193" t="s">
        <v>3116</v>
      </c>
      <c r="C187" s="361">
        <v>10.0</v>
      </c>
      <c r="D187" s="193" t="s">
        <v>62</v>
      </c>
      <c r="E187" s="193" t="s">
        <v>225</v>
      </c>
      <c r="F187" s="193" t="s">
        <v>867</v>
      </c>
      <c r="G187" s="362">
        <v>46070.0</v>
      </c>
      <c r="H187" s="193" t="s">
        <v>1127</v>
      </c>
      <c r="I187" s="193" t="s">
        <v>1129</v>
      </c>
      <c r="J187" s="193" t="s">
        <v>1130</v>
      </c>
      <c r="K187" s="193" t="s">
        <v>1131</v>
      </c>
      <c r="L187" s="193" t="s">
        <v>1132</v>
      </c>
      <c r="M187" s="193" t="s">
        <v>1134</v>
      </c>
      <c r="N187" s="193" t="s">
        <v>4429</v>
      </c>
      <c r="O187" s="362"/>
      <c r="P187" s="359">
        <v>46079.758593900464</v>
      </c>
      <c r="Q187" s="193"/>
      <c r="R187" s="193" t="b">
        <v>0</v>
      </c>
    </row>
    <row r="188">
      <c r="A188" s="359">
        <v>46084.928116689814</v>
      </c>
      <c r="B188" s="193" t="s">
        <v>3116</v>
      </c>
      <c r="C188" s="361">
        <v>9.0</v>
      </c>
      <c r="D188" s="193" t="s">
        <v>62</v>
      </c>
      <c r="E188" s="193" t="s">
        <v>225</v>
      </c>
      <c r="F188" s="193" t="s">
        <v>24</v>
      </c>
      <c r="G188" s="362">
        <v>46070.0</v>
      </c>
      <c r="H188" s="193" t="s">
        <v>1095</v>
      </c>
      <c r="I188" s="193" t="s">
        <v>1096</v>
      </c>
      <c r="J188" s="193" t="s">
        <v>1097</v>
      </c>
      <c r="K188" s="193" t="s">
        <v>1098</v>
      </c>
      <c r="L188" s="193" t="s">
        <v>1100</v>
      </c>
      <c r="M188" s="193" t="s">
        <v>1102</v>
      </c>
      <c r="N188" s="193" t="s">
        <v>4437</v>
      </c>
      <c r="O188" s="362"/>
      <c r="P188" s="359">
        <v>46078.90377420139</v>
      </c>
      <c r="Q188" s="193"/>
      <c r="R188" s="193" t="b">
        <v>0</v>
      </c>
    </row>
    <row r="189">
      <c r="A189" s="359">
        <v>46084.928182233794</v>
      </c>
      <c r="B189" s="193" t="s">
        <v>3116</v>
      </c>
      <c r="C189" s="361">
        <v>7.0</v>
      </c>
      <c r="D189" s="193" t="s">
        <v>22</v>
      </c>
      <c r="E189" s="193" t="s">
        <v>225</v>
      </c>
      <c r="F189" s="193" t="s">
        <v>867</v>
      </c>
      <c r="G189" s="362">
        <v>46066.0</v>
      </c>
      <c r="H189" s="193" t="s">
        <v>1936</v>
      </c>
      <c r="I189" s="193" t="s">
        <v>1938</v>
      </c>
      <c r="J189" s="193" t="s">
        <v>1940</v>
      </c>
      <c r="K189" s="193" t="s">
        <v>1942</v>
      </c>
      <c r="L189" s="193" t="s">
        <v>613</v>
      </c>
      <c r="M189" s="193" t="s">
        <v>1944</v>
      </c>
      <c r="N189" s="193" t="s">
        <v>1946</v>
      </c>
      <c r="O189" s="362"/>
      <c r="P189" s="359">
        <v>46070.8782496875</v>
      </c>
      <c r="Q189" s="193"/>
      <c r="R189" s="193" t="b">
        <v>0</v>
      </c>
    </row>
    <row r="190">
      <c r="A190" s="359">
        <v>46084.92822765047</v>
      </c>
      <c r="B190" s="193" t="s">
        <v>3116</v>
      </c>
      <c r="C190" s="361">
        <v>6.0</v>
      </c>
      <c r="D190" s="193" t="s">
        <v>62</v>
      </c>
      <c r="E190" s="193" t="s">
        <v>53</v>
      </c>
      <c r="F190" s="193" t="s">
        <v>24</v>
      </c>
      <c r="G190" s="362">
        <v>46065.0</v>
      </c>
      <c r="H190" s="193" t="s">
        <v>1032</v>
      </c>
      <c r="I190" s="193" t="s">
        <v>1033</v>
      </c>
      <c r="J190" s="193" t="s">
        <v>1034</v>
      </c>
      <c r="K190" s="193" t="s">
        <v>1035</v>
      </c>
      <c r="L190" s="193" t="s">
        <v>947</v>
      </c>
      <c r="M190" s="193" t="s">
        <v>4447</v>
      </c>
      <c r="N190" s="193" t="s">
        <v>4448</v>
      </c>
      <c r="O190" s="362"/>
      <c r="P190" s="359">
        <v>46066.935197326384</v>
      </c>
      <c r="Q190" s="193"/>
      <c r="R190" s="193" t="b">
        <v>0</v>
      </c>
    </row>
    <row r="191">
      <c r="A191" s="359">
        <v>46084.92827241898</v>
      </c>
      <c r="B191" s="193" t="s">
        <v>3116</v>
      </c>
      <c r="C191" s="361">
        <v>4.0</v>
      </c>
      <c r="D191" s="193" t="s">
        <v>22</v>
      </c>
      <c r="E191" s="193" t="s">
        <v>225</v>
      </c>
      <c r="F191" s="193" t="s">
        <v>24</v>
      </c>
      <c r="G191" s="362">
        <v>46062.0</v>
      </c>
      <c r="H191" s="193" t="s">
        <v>1045</v>
      </c>
      <c r="I191" s="193" t="s">
        <v>1046</v>
      </c>
      <c r="J191" s="193" t="s">
        <v>1047</v>
      </c>
      <c r="K191" s="193" t="s">
        <v>1048</v>
      </c>
      <c r="L191" s="193" t="s">
        <v>240</v>
      </c>
      <c r="M191" s="193" t="s">
        <v>1051</v>
      </c>
      <c r="N191" s="193" t="s">
        <v>4451</v>
      </c>
      <c r="O191" s="362"/>
      <c r="P191" s="359">
        <v>46069.67954185185</v>
      </c>
      <c r="Q191" s="193"/>
      <c r="R191" s="193" t="b">
        <v>0</v>
      </c>
    </row>
    <row r="192">
      <c r="A192" s="359">
        <v>46084.92832784722</v>
      </c>
      <c r="B192" s="193" t="s">
        <v>3116</v>
      </c>
      <c r="C192" s="361">
        <v>3.0</v>
      </c>
      <c r="D192" s="193" t="s">
        <v>62</v>
      </c>
      <c r="E192" s="193" t="s">
        <v>225</v>
      </c>
      <c r="F192" s="193" t="s">
        <v>1451</v>
      </c>
      <c r="G192" s="362">
        <v>46058.0</v>
      </c>
      <c r="H192" s="193" t="s">
        <v>3701</v>
      </c>
      <c r="I192" s="193" t="s">
        <v>3702</v>
      </c>
      <c r="J192" s="193" t="s">
        <v>3703</v>
      </c>
      <c r="K192" s="193" t="s">
        <v>3705</v>
      </c>
      <c r="L192" s="193" t="s">
        <v>3707</v>
      </c>
      <c r="M192" s="193" t="s">
        <v>3709</v>
      </c>
      <c r="N192" s="193" t="s">
        <v>3710</v>
      </c>
      <c r="O192" s="362"/>
      <c r="P192" s="359">
        <v>46064.899623749996</v>
      </c>
      <c r="Q192" s="193"/>
      <c r="R192" s="193" t="b">
        <v>0</v>
      </c>
    </row>
    <row r="193">
      <c r="A193" s="359">
        <v>46084.964777615736</v>
      </c>
      <c r="B193" s="193" t="s">
        <v>2996</v>
      </c>
      <c r="C193" s="361">
        <v>75.0</v>
      </c>
      <c r="D193" s="193" t="s">
        <v>17</v>
      </c>
      <c r="E193" s="193" t="s">
        <v>53</v>
      </c>
      <c r="F193" s="193" t="s">
        <v>1451</v>
      </c>
      <c r="G193" s="362">
        <v>45985.0</v>
      </c>
      <c r="H193" s="193" t="s">
        <v>3713</v>
      </c>
      <c r="I193" s="193" t="s">
        <v>3714</v>
      </c>
      <c r="J193" s="193" t="s">
        <v>3715</v>
      </c>
      <c r="K193" s="193" t="s">
        <v>3716</v>
      </c>
      <c r="L193" s="193" t="s">
        <v>282</v>
      </c>
      <c r="M193" s="193" t="s">
        <v>3718</v>
      </c>
      <c r="N193" s="193" t="s">
        <v>4460</v>
      </c>
      <c r="O193" s="362"/>
      <c r="P193" s="359">
        <v>46084.96239836805</v>
      </c>
      <c r="Q193" s="193"/>
      <c r="R193" s="193" t="b">
        <v>0</v>
      </c>
    </row>
    <row r="194">
      <c r="A194" s="359">
        <v>46085.725204490736</v>
      </c>
      <c r="B194" s="193" t="s">
        <v>3116</v>
      </c>
      <c r="C194" s="361">
        <v>12.0</v>
      </c>
      <c r="D194" s="193" t="s">
        <v>17</v>
      </c>
      <c r="E194" s="193" t="s">
        <v>23</v>
      </c>
      <c r="F194" s="193" t="s">
        <v>34</v>
      </c>
      <c r="G194" s="362">
        <v>46084.0</v>
      </c>
      <c r="H194" s="193" t="s">
        <v>261</v>
      </c>
      <c r="I194" s="193" t="s">
        <v>263</v>
      </c>
      <c r="J194" s="193" t="s">
        <v>264</v>
      </c>
      <c r="K194" s="193" t="s">
        <v>4468</v>
      </c>
      <c r="L194" s="193" t="s">
        <v>269</v>
      </c>
      <c r="M194" s="193" t="s">
        <v>4469</v>
      </c>
      <c r="N194" s="193" t="s">
        <v>4471</v>
      </c>
      <c r="O194" s="362"/>
      <c r="P194" s="359">
        <v>46085.71866513889</v>
      </c>
      <c r="Q194" s="193"/>
      <c r="R194" s="193" t="b">
        <v>0</v>
      </c>
    </row>
    <row r="195">
      <c r="A195" s="359">
        <v>46085.72866332176</v>
      </c>
      <c r="B195" s="193" t="s">
        <v>3116</v>
      </c>
      <c r="C195" s="361">
        <v>10.0</v>
      </c>
      <c r="D195" s="193" t="s">
        <v>17</v>
      </c>
      <c r="E195" s="193" t="s">
        <v>53</v>
      </c>
      <c r="F195" s="193" t="s">
        <v>24</v>
      </c>
      <c r="G195" s="362">
        <v>46083.0</v>
      </c>
      <c r="H195" s="193" t="s">
        <v>1062</v>
      </c>
      <c r="I195" s="193" t="s">
        <v>1066</v>
      </c>
      <c r="J195" s="193" t="s">
        <v>1068</v>
      </c>
      <c r="K195" s="193" t="s">
        <v>1069</v>
      </c>
      <c r="L195" s="193" t="s">
        <v>1079</v>
      </c>
      <c r="M195" s="193" t="s">
        <v>4475</v>
      </c>
      <c r="N195" s="193" t="s">
        <v>4477</v>
      </c>
      <c r="O195" s="362"/>
      <c r="P195" s="359">
        <v>46084.99979299768</v>
      </c>
      <c r="Q195" s="193"/>
      <c r="R195" s="193" t="b">
        <v>0</v>
      </c>
    </row>
    <row r="196">
      <c r="A196" s="359">
        <v>46085.81349799769</v>
      </c>
      <c r="B196" s="193" t="s">
        <v>3116</v>
      </c>
      <c r="C196" s="361">
        <v>9.0</v>
      </c>
      <c r="D196" s="193" t="s">
        <v>62</v>
      </c>
      <c r="E196" s="193" t="s">
        <v>225</v>
      </c>
      <c r="F196" s="193" t="s">
        <v>360</v>
      </c>
      <c r="G196" s="362">
        <v>46080.0</v>
      </c>
      <c r="H196" s="193" t="s">
        <v>4482</v>
      </c>
      <c r="I196" s="193" t="s">
        <v>4483</v>
      </c>
      <c r="J196" s="193" t="s">
        <v>4484</v>
      </c>
      <c r="K196" s="193" t="s">
        <v>4485</v>
      </c>
      <c r="L196" s="193" t="s">
        <v>850</v>
      </c>
      <c r="M196" s="193"/>
      <c r="N196" s="193" t="s">
        <v>4486</v>
      </c>
      <c r="O196" s="362"/>
      <c r="P196" s="359">
        <v>46085.007273807874</v>
      </c>
      <c r="Q196" s="193"/>
      <c r="R196" s="193" t="b">
        <v>0</v>
      </c>
    </row>
    <row r="197">
      <c r="A197" s="359">
        <v>46085.86540715278</v>
      </c>
      <c r="B197" s="193" t="s">
        <v>2996</v>
      </c>
      <c r="C197" s="361">
        <v>68.0</v>
      </c>
      <c r="D197" s="193" t="s">
        <v>410</v>
      </c>
      <c r="E197" s="193" t="s">
        <v>19</v>
      </c>
      <c r="F197" s="193" t="s">
        <v>1451</v>
      </c>
      <c r="G197" s="362">
        <v>45972.0</v>
      </c>
      <c r="H197" s="193" t="s">
        <v>3331</v>
      </c>
      <c r="I197" s="193" t="s">
        <v>3332</v>
      </c>
      <c r="J197" s="193" t="s">
        <v>3333</v>
      </c>
      <c r="K197" s="193" t="s">
        <v>3335</v>
      </c>
      <c r="L197" s="193" t="s">
        <v>973</v>
      </c>
      <c r="M197" s="193" t="s">
        <v>3336</v>
      </c>
      <c r="N197" s="193" t="s">
        <v>4496</v>
      </c>
      <c r="O197" s="362"/>
      <c r="P197" s="359">
        <v>46085.864904525464</v>
      </c>
      <c r="Q197" s="193"/>
      <c r="R197" s="193" t="b">
        <v>0</v>
      </c>
    </row>
    <row r="198">
      <c r="A198" s="359">
        <v>46085.87102273148</v>
      </c>
      <c r="B198" s="193" t="s">
        <v>2996</v>
      </c>
      <c r="C198" s="361">
        <v>66.0</v>
      </c>
      <c r="D198" s="193" t="s">
        <v>18</v>
      </c>
      <c r="E198" s="193" t="s">
        <v>53</v>
      </c>
      <c r="F198" s="193" t="s">
        <v>1451</v>
      </c>
      <c r="G198" s="362">
        <v>45971.0</v>
      </c>
      <c r="H198" s="193" t="s">
        <v>3310</v>
      </c>
      <c r="I198" s="193" t="s">
        <v>3312</v>
      </c>
      <c r="J198" s="193" t="s">
        <v>3313</v>
      </c>
      <c r="K198" s="193" t="s">
        <v>3314</v>
      </c>
      <c r="L198" s="193" t="s">
        <v>1478</v>
      </c>
      <c r="M198" s="193" t="s">
        <v>3315</v>
      </c>
      <c r="N198" s="193" t="s">
        <v>3755</v>
      </c>
      <c r="O198" s="362"/>
      <c r="P198" s="359"/>
      <c r="Q198" s="193"/>
      <c r="R198" s="193" t="b">
        <v>0</v>
      </c>
    </row>
    <row r="199">
      <c r="A199" s="359">
        <v>46085.87577766203</v>
      </c>
      <c r="B199" s="193" t="s">
        <v>2996</v>
      </c>
      <c r="C199" s="361">
        <v>92.0</v>
      </c>
      <c r="D199" s="193" t="s">
        <v>17</v>
      </c>
      <c r="E199" s="193" t="s">
        <v>53</v>
      </c>
      <c r="F199" s="193" t="s">
        <v>1451</v>
      </c>
      <c r="G199" s="362">
        <v>46050.0</v>
      </c>
      <c r="H199" s="193" t="s">
        <v>3746</v>
      </c>
      <c r="I199" s="193" t="s">
        <v>3747</v>
      </c>
      <c r="J199" s="193" t="s">
        <v>3748</v>
      </c>
      <c r="K199" s="193" t="s">
        <v>3749</v>
      </c>
      <c r="L199" s="193" t="s">
        <v>1119</v>
      </c>
      <c r="M199" s="193" t="s">
        <v>3750</v>
      </c>
      <c r="N199" s="193" t="s">
        <v>3768</v>
      </c>
      <c r="O199" s="362"/>
      <c r="P199" s="359"/>
      <c r="Q199" s="193"/>
      <c r="R199" s="193" t="b">
        <v>0</v>
      </c>
    </row>
    <row r="200">
      <c r="A200" s="359">
        <v>46085.88620961805</v>
      </c>
      <c r="B200" s="193" t="s">
        <v>2996</v>
      </c>
      <c r="C200" s="361">
        <v>39.0</v>
      </c>
      <c r="D200" s="193" t="s">
        <v>22</v>
      </c>
      <c r="E200" s="193" t="s">
        <v>53</v>
      </c>
      <c r="F200" s="193" t="s">
        <v>1451</v>
      </c>
      <c r="G200" s="362">
        <v>45887.0</v>
      </c>
      <c r="H200" s="193" t="s">
        <v>3778</v>
      </c>
      <c r="I200" s="193" t="s">
        <v>3779</v>
      </c>
      <c r="J200" s="193" t="s">
        <v>3781</v>
      </c>
      <c r="K200" s="193" t="s">
        <v>3782</v>
      </c>
      <c r="L200" s="193" t="s">
        <v>3783</v>
      </c>
      <c r="M200" s="193" t="s">
        <v>3785</v>
      </c>
      <c r="N200" s="193" t="s">
        <v>3786</v>
      </c>
      <c r="O200" s="362"/>
      <c r="P200" s="359"/>
      <c r="Q200" s="193"/>
      <c r="R200" s="193" t="b">
        <v>0</v>
      </c>
    </row>
    <row r="201">
      <c r="A201" s="359">
        <v>46085.88842408565</v>
      </c>
      <c r="B201" s="193" t="s">
        <v>2996</v>
      </c>
      <c r="C201" s="361">
        <v>48.0</v>
      </c>
      <c r="D201" s="193" t="s">
        <v>22</v>
      </c>
      <c r="E201" s="193" t="s">
        <v>23</v>
      </c>
      <c r="F201" s="193" t="s">
        <v>1451</v>
      </c>
      <c r="G201" s="362">
        <v>45904.0</v>
      </c>
      <c r="H201" s="193" t="s">
        <v>3791</v>
      </c>
      <c r="I201" s="193" t="s">
        <v>3792</v>
      </c>
      <c r="J201" s="193" t="s">
        <v>3794</v>
      </c>
      <c r="K201" s="193" t="s">
        <v>3796</v>
      </c>
      <c r="L201" s="193" t="s">
        <v>3209</v>
      </c>
      <c r="M201" s="193" t="s">
        <v>3800</v>
      </c>
      <c r="N201" s="193" t="s">
        <v>3802</v>
      </c>
      <c r="O201" s="362"/>
      <c r="P201" s="359">
        <v>46058.78767539352</v>
      </c>
      <c r="Q201" s="193"/>
      <c r="R201" s="193" t="b">
        <v>0</v>
      </c>
    </row>
    <row r="202">
      <c r="A202" s="359">
        <v>46085.9057978125</v>
      </c>
      <c r="B202" s="193" t="s">
        <v>3116</v>
      </c>
      <c r="C202" s="361">
        <v>9.0</v>
      </c>
      <c r="D202" s="193" t="s">
        <v>17</v>
      </c>
      <c r="E202" s="193" t="s">
        <v>225</v>
      </c>
      <c r="F202" s="193" t="s">
        <v>34</v>
      </c>
      <c r="G202" s="362">
        <v>46083.0</v>
      </c>
      <c r="H202" s="193" t="s">
        <v>3856</v>
      </c>
      <c r="I202" s="193" t="s">
        <v>3857</v>
      </c>
      <c r="J202" s="193" t="s">
        <v>3859</v>
      </c>
      <c r="K202" s="193" t="s">
        <v>3860</v>
      </c>
      <c r="L202" s="193" t="s">
        <v>1405</v>
      </c>
      <c r="M202" s="193" t="s">
        <v>4534</v>
      </c>
      <c r="N202" s="193" t="s">
        <v>4535</v>
      </c>
      <c r="O202" s="362"/>
      <c r="P202" s="359">
        <v>46085.903608761575</v>
      </c>
      <c r="Q202" s="193"/>
      <c r="R202" s="193" t="b">
        <v>0</v>
      </c>
    </row>
    <row r="203">
      <c r="A203" s="359">
        <v>46085.905859085644</v>
      </c>
      <c r="B203" s="193" t="s">
        <v>34</v>
      </c>
      <c r="C203" s="361">
        <v>13.0</v>
      </c>
      <c r="D203" s="193" t="s">
        <v>17</v>
      </c>
      <c r="E203" s="193" t="s">
        <v>53</v>
      </c>
      <c r="F203" s="193" t="s">
        <v>1451</v>
      </c>
      <c r="G203" s="362">
        <v>46036.0</v>
      </c>
      <c r="H203" s="193" t="s">
        <v>3623</v>
      </c>
      <c r="I203" s="193" t="s">
        <v>3625</v>
      </c>
      <c r="J203" s="193" t="s">
        <v>3808</v>
      </c>
      <c r="K203" s="193" t="s">
        <v>3627</v>
      </c>
      <c r="L203" s="193" t="s">
        <v>401</v>
      </c>
      <c r="M203" s="193" t="s">
        <v>3629</v>
      </c>
      <c r="N203" s="193" t="s">
        <v>3810</v>
      </c>
      <c r="O203" s="362"/>
      <c r="P203" s="359">
        <v>46078.95922236111</v>
      </c>
      <c r="Q203" s="193"/>
      <c r="R203" s="193" t="b">
        <v>0</v>
      </c>
    </row>
    <row r="204">
      <c r="A204" s="359">
        <v>46085.93695657408</v>
      </c>
      <c r="B204" s="193" t="s">
        <v>3116</v>
      </c>
      <c r="C204" s="361">
        <v>76.0</v>
      </c>
      <c r="D204" s="193"/>
      <c r="E204" s="193"/>
      <c r="F204" s="193" t="s">
        <v>4230</v>
      </c>
      <c r="G204" s="362"/>
      <c r="H204" s="193"/>
      <c r="I204" s="193"/>
      <c r="J204" s="193"/>
      <c r="K204" s="193"/>
      <c r="L204" s="193"/>
      <c r="M204" s="193"/>
      <c r="N204" s="193"/>
      <c r="O204" s="362"/>
      <c r="P204" s="359"/>
      <c r="Q204" s="193"/>
      <c r="R204" s="193" t="b">
        <v>0</v>
      </c>
    </row>
    <row r="205">
      <c r="A205" s="359">
        <v>46085.94392509259</v>
      </c>
      <c r="B205" s="193" t="s">
        <v>34</v>
      </c>
      <c r="C205" s="361">
        <v>12.0</v>
      </c>
      <c r="D205" s="193" t="s">
        <v>22</v>
      </c>
      <c r="E205" s="193" t="s">
        <v>23</v>
      </c>
      <c r="F205" s="193" t="s">
        <v>296</v>
      </c>
      <c r="G205" s="362">
        <v>46031.0</v>
      </c>
      <c r="H205" s="193" t="s">
        <v>297</v>
      </c>
      <c r="I205" s="193" t="s">
        <v>298</v>
      </c>
      <c r="J205" s="193" t="s">
        <v>299</v>
      </c>
      <c r="K205" s="193" t="s">
        <v>300</v>
      </c>
      <c r="L205" s="193" t="s">
        <v>301</v>
      </c>
      <c r="M205" s="193" t="s">
        <v>302</v>
      </c>
      <c r="N205" s="193" t="s">
        <v>4542</v>
      </c>
      <c r="O205" s="362"/>
      <c r="P205" s="359">
        <v>46085.94107033565</v>
      </c>
      <c r="Q205" s="193"/>
      <c r="R205" s="193" t="b">
        <v>0</v>
      </c>
    </row>
    <row r="206">
      <c r="A206" s="359">
        <v>46086.87448615741</v>
      </c>
      <c r="B206" s="193" t="s">
        <v>2996</v>
      </c>
      <c r="C206" s="361">
        <v>116.0</v>
      </c>
      <c r="D206" s="193" t="s">
        <v>17</v>
      </c>
      <c r="E206" s="193" t="s">
        <v>53</v>
      </c>
      <c r="F206" s="193" t="s">
        <v>1451</v>
      </c>
      <c r="G206" s="362">
        <v>46058.0</v>
      </c>
      <c r="H206" s="193" t="s">
        <v>3816</v>
      </c>
      <c r="I206" s="193" t="s">
        <v>3817</v>
      </c>
      <c r="J206" s="193" t="s">
        <v>3819</v>
      </c>
      <c r="K206" s="193" t="s">
        <v>3820</v>
      </c>
      <c r="L206" s="193" t="s">
        <v>581</v>
      </c>
      <c r="M206" s="193" t="s">
        <v>3822</v>
      </c>
      <c r="N206" s="193" t="s">
        <v>3824</v>
      </c>
      <c r="O206" s="362"/>
      <c r="P206" s="359">
        <v>46086.87137724537</v>
      </c>
      <c r="Q206" s="193"/>
      <c r="R206" s="193" t="b">
        <v>0</v>
      </c>
    </row>
    <row r="207">
      <c r="A207" s="359">
        <v>46086.87801688658</v>
      </c>
      <c r="B207" s="193" t="s">
        <v>3116</v>
      </c>
      <c r="C207" s="361">
        <v>8.0</v>
      </c>
      <c r="D207" s="193" t="s">
        <v>62</v>
      </c>
      <c r="E207" s="193" t="s">
        <v>23</v>
      </c>
      <c r="F207" s="193" t="s">
        <v>24</v>
      </c>
      <c r="G207" s="362">
        <v>46080.0</v>
      </c>
      <c r="H207" s="193" t="s">
        <v>1124</v>
      </c>
      <c r="I207" s="193" t="s">
        <v>1125</v>
      </c>
      <c r="J207" s="193" t="s">
        <v>1126</v>
      </c>
      <c r="K207" s="193" t="s">
        <v>1128</v>
      </c>
      <c r="L207" s="193" t="s">
        <v>445</v>
      </c>
      <c r="M207" s="193" t="s">
        <v>1133</v>
      </c>
      <c r="N207" s="193" t="s">
        <v>4546</v>
      </c>
      <c r="O207" s="362"/>
      <c r="P207" s="359">
        <v>46083.88116158565</v>
      </c>
      <c r="Q207" s="193"/>
      <c r="R207" s="193" t="b">
        <v>0</v>
      </c>
    </row>
    <row r="208">
      <c r="A208" s="359">
        <v>46086.88491354167</v>
      </c>
      <c r="B208" s="193" t="s">
        <v>2996</v>
      </c>
      <c r="C208" s="361">
        <v>54.0</v>
      </c>
      <c r="D208" s="193" t="s">
        <v>22</v>
      </c>
      <c r="E208" s="193" t="s">
        <v>23</v>
      </c>
      <c r="F208" s="193" t="s">
        <v>1451</v>
      </c>
      <c r="G208" s="362">
        <v>45896.0</v>
      </c>
      <c r="H208" s="193" t="s">
        <v>3828</v>
      </c>
      <c r="I208" s="193" t="s">
        <v>3830</v>
      </c>
      <c r="J208" s="193" t="s">
        <v>3833</v>
      </c>
      <c r="K208" s="193" t="s">
        <v>3834</v>
      </c>
      <c r="L208" s="193" t="s">
        <v>3835</v>
      </c>
      <c r="M208" s="193" t="s">
        <v>3836</v>
      </c>
      <c r="N208" s="193" t="s">
        <v>3837</v>
      </c>
      <c r="O208" s="362"/>
      <c r="P208" s="359"/>
      <c r="Q208" s="193" t="s">
        <v>3839</v>
      </c>
      <c r="R208" s="193" t="b">
        <v>0</v>
      </c>
    </row>
    <row r="209">
      <c r="A209" s="359">
        <v>46086.91268006944</v>
      </c>
      <c r="B209" s="193" t="s">
        <v>3116</v>
      </c>
      <c r="C209" s="361">
        <v>8.0</v>
      </c>
      <c r="D209" s="193" t="s">
        <v>22</v>
      </c>
      <c r="E209" s="193" t="s">
        <v>19</v>
      </c>
      <c r="F209" s="193" t="s">
        <v>34</v>
      </c>
      <c r="G209" s="362">
        <v>46085.0</v>
      </c>
      <c r="H209" s="193" t="s">
        <v>4082</v>
      </c>
      <c r="I209" s="193" t="s">
        <v>4083</v>
      </c>
      <c r="J209" s="193" t="s">
        <v>4084</v>
      </c>
      <c r="K209" s="193" t="s">
        <v>4085</v>
      </c>
      <c r="L209" s="193" t="s">
        <v>1170</v>
      </c>
      <c r="M209" s="193" t="s">
        <v>4549</v>
      </c>
      <c r="N209" s="193" t="s">
        <v>4551</v>
      </c>
      <c r="O209" s="362"/>
      <c r="P209" s="359">
        <v>46086.81983090278</v>
      </c>
      <c r="Q209" s="193"/>
      <c r="R209" s="193" t="b">
        <v>0</v>
      </c>
    </row>
    <row r="210">
      <c r="A210" s="359">
        <v>46086.91626708333</v>
      </c>
      <c r="B210" s="193" t="s">
        <v>34</v>
      </c>
      <c r="C210" s="361">
        <v>3.0</v>
      </c>
      <c r="D210" s="193" t="s">
        <v>410</v>
      </c>
      <c r="E210" s="193" t="s">
        <v>23</v>
      </c>
      <c r="F210" s="193" t="s">
        <v>1451</v>
      </c>
      <c r="G210" s="362">
        <v>45887.0</v>
      </c>
      <c r="H210" s="193" t="s">
        <v>3843</v>
      </c>
      <c r="I210" s="193" t="s">
        <v>3844</v>
      </c>
      <c r="J210" s="193" t="s">
        <v>3845</v>
      </c>
      <c r="K210" s="193" t="s">
        <v>3846</v>
      </c>
      <c r="L210" s="193" t="s">
        <v>3847</v>
      </c>
      <c r="M210" s="193" t="s">
        <v>3849</v>
      </c>
      <c r="N210" s="193" t="s">
        <v>4554</v>
      </c>
      <c r="O210" s="362"/>
      <c r="P210" s="359">
        <v>46086.915437118056</v>
      </c>
      <c r="Q210" s="193"/>
      <c r="R210" s="193" t="b">
        <v>0</v>
      </c>
    </row>
    <row r="211">
      <c r="A211" s="359">
        <v>46086.98907096065</v>
      </c>
      <c r="B211" s="193" t="s">
        <v>3116</v>
      </c>
      <c r="C211" s="361">
        <v>3.0</v>
      </c>
      <c r="D211" s="193" t="s">
        <v>62</v>
      </c>
      <c r="E211" s="193" t="s">
        <v>53</v>
      </c>
      <c r="F211" s="193" t="s">
        <v>24</v>
      </c>
      <c r="G211" s="362">
        <v>46063.0</v>
      </c>
      <c r="H211" s="193" t="s">
        <v>1220</v>
      </c>
      <c r="I211" s="193" t="s">
        <v>1223</v>
      </c>
      <c r="J211" s="193" t="s">
        <v>1224</v>
      </c>
      <c r="K211" s="193" t="s">
        <v>1225</v>
      </c>
      <c r="L211" s="193" t="s">
        <v>843</v>
      </c>
      <c r="M211" s="193" t="s">
        <v>1226</v>
      </c>
      <c r="N211" s="193" t="s">
        <v>4559</v>
      </c>
      <c r="O211" s="362"/>
      <c r="P211" s="359">
        <v>46086.82798164352</v>
      </c>
      <c r="Q211" s="193"/>
      <c r="R211" s="193" t="b">
        <v>0</v>
      </c>
    </row>
    <row r="212">
      <c r="A212" s="359">
        <v>46086.99035337963</v>
      </c>
      <c r="B212" s="193" t="s">
        <v>3116</v>
      </c>
      <c r="C212" s="361">
        <v>5.0</v>
      </c>
      <c r="D212" s="193" t="s">
        <v>62</v>
      </c>
      <c r="E212" s="193" t="s">
        <v>53</v>
      </c>
      <c r="F212" s="193" t="s">
        <v>24</v>
      </c>
      <c r="G212" s="362">
        <v>46080.0</v>
      </c>
      <c r="H212" s="193" t="s">
        <v>1247</v>
      </c>
      <c r="I212" s="193" t="s">
        <v>1248</v>
      </c>
      <c r="J212" s="193" t="s">
        <v>1249</v>
      </c>
      <c r="K212" s="193" t="s">
        <v>1250</v>
      </c>
      <c r="L212" s="193" t="s">
        <v>359</v>
      </c>
      <c r="M212" s="193" t="s">
        <v>4562</v>
      </c>
      <c r="N212" s="193" t="s">
        <v>4563</v>
      </c>
      <c r="O212" s="362"/>
      <c r="P212" s="359">
        <v>46085.94635730324</v>
      </c>
      <c r="Q212" s="193"/>
      <c r="R212" s="193" t="b">
        <v>0</v>
      </c>
    </row>
    <row r="213">
      <c r="A213" s="359">
        <v>46087.864063518515</v>
      </c>
      <c r="B213" s="193" t="s">
        <v>2996</v>
      </c>
      <c r="C213" s="361">
        <v>76.0</v>
      </c>
      <c r="D213" s="193" t="s">
        <v>117</v>
      </c>
      <c r="E213" s="193" t="s">
        <v>53</v>
      </c>
      <c r="F213" s="193" t="s">
        <v>601</v>
      </c>
      <c r="G213" s="362">
        <v>46001.0</v>
      </c>
      <c r="H213" s="193" t="s">
        <v>334</v>
      </c>
      <c r="I213" s="193" t="s">
        <v>336</v>
      </c>
      <c r="J213" s="193" t="s">
        <v>338</v>
      </c>
      <c r="K213" s="193" t="s">
        <v>339</v>
      </c>
      <c r="L213" s="193" t="s">
        <v>340</v>
      </c>
      <c r="M213" s="193" t="s">
        <v>342</v>
      </c>
      <c r="N213" s="193" t="s">
        <v>344</v>
      </c>
      <c r="O213" s="362"/>
      <c r="P213" s="359">
        <v>46058.82197443287</v>
      </c>
      <c r="Q213" s="193"/>
      <c r="R213" s="193" t="b">
        <v>0</v>
      </c>
    </row>
    <row r="214">
      <c r="A214" s="359">
        <v>46087.86410892361</v>
      </c>
      <c r="B214" s="193" t="s">
        <v>2996</v>
      </c>
      <c r="C214" s="361">
        <v>64.0</v>
      </c>
      <c r="D214" s="193" t="s">
        <v>117</v>
      </c>
      <c r="E214" s="193" t="s">
        <v>53</v>
      </c>
      <c r="F214" s="193" t="s">
        <v>360</v>
      </c>
      <c r="G214" s="362">
        <v>45974.0</v>
      </c>
      <c r="H214" s="193" t="s">
        <v>366</v>
      </c>
      <c r="I214" s="193" t="s">
        <v>368</v>
      </c>
      <c r="J214" s="193" t="s">
        <v>370</v>
      </c>
      <c r="K214" s="193" t="s">
        <v>372</v>
      </c>
      <c r="L214" s="193" t="s">
        <v>59</v>
      </c>
      <c r="M214" s="193" t="s">
        <v>374</v>
      </c>
      <c r="N214" s="193" t="s">
        <v>375</v>
      </c>
      <c r="O214" s="362"/>
      <c r="P214" s="359"/>
      <c r="Q214" s="193"/>
      <c r="R214" s="193" t="b">
        <v>0</v>
      </c>
    </row>
    <row r="215">
      <c r="A215" s="359">
        <v>46087.86537289352</v>
      </c>
      <c r="B215" s="193" t="s">
        <v>2996</v>
      </c>
      <c r="C215" s="361">
        <v>123.0</v>
      </c>
      <c r="D215" s="193" t="s">
        <v>62</v>
      </c>
      <c r="E215" s="193" t="s">
        <v>225</v>
      </c>
      <c r="F215" s="193" t="s">
        <v>360</v>
      </c>
      <c r="G215" s="362">
        <v>46080.0</v>
      </c>
      <c r="H215" s="193" t="s">
        <v>4482</v>
      </c>
      <c r="I215" s="193" t="s">
        <v>4483</v>
      </c>
      <c r="J215" s="193" t="s">
        <v>4484</v>
      </c>
      <c r="K215" s="193" t="s">
        <v>4485</v>
      </c>
      <c r="L215" s="193" t="s">
        <v>850</v>
      </c>
      <c r="M215" s="193"/>
      <c r="N215" s="193" t="s">
        <v>4550</v>
      </c>
      <c r="O215" s="362"/>
      <c r="P215" s="359">
        <v>46085.007273807874</v>
      </c>
      <c r="Q215" s="193"/>
      <c r="R215" s="193" t="b">
        <v>0</v>
      </c>
    </row>
    <row r="216">
      <c r="A216" s="359">
        <v>46087.86542670139</v>
      </c>
      <c r="B216" s="193" t="s">
        <v>2996</v>
      </c>
      <c r="C216" s="361">
        <v>117.0</v>
      </c>
      <c r="D216" s="193" t="s">
        <v>62</v>
      </c>
      <c r="E216" s="193" t="s">
        <v>225</v>
      </c>
      <c r="F216" s="193" t="s">
        <v>360</v>
      </c>
      <c r="G216" s="362">
        <v>46071.0</v>
      </c>
      <c r="H216" s="193" t="s">
        <v>4415</v>
      </c>
      <c r="I216" s="193" t="s">
        <v>4416</v>
      </c>
      <c r="J216" s="193" t="s">
        <v>4418</v>
      </c>
      <c r="K216" s="193" t="s">
        <v>4419</v>
      </c>
      <c r="L216" s="193" t="s">
        <v>1089</v>
      </c>
      <c r="M216" s="193"/>
      <c r="N216" s="193" t="s">
        <v>4571</v>
      </c>
      <c r="O216" s="362"/>
      <c r="P216" s="359">
        <v>46071.844028935186</v>
      </c>
      <c r="Q216" s="193"/>
      <c r="R216" s="193" t="b">
        <v>0</v>
      </c>
    </row>
    <row r="217">
      <c r="A217" s="359">
        <v>46087.86549207176</v>
      </c>
      <c r="B217" s="193" t="s">
        <v>2996</v>
      </c>
      <c r="C217" s="361">
        <v>105.0</v>
      </c>
      <c r="D217" s="193" t="s">
        <v>62</v>
      </c>
      <c r="E217" s="193" t="s">
        <v>23</v>
      </c>
      <c r="F217" s="193" t="s">
        <v>360</v>
      </c>
      <c r="G217" s="362">
        <v>45943.0</v>
      </c>
      <c r="H217" s="193" t="s">
        <v>559</v>
      </c>
      <c r="I217" s="193" t="s">
        <v>563</v>
      </c>
      <c r="J217" s="193" t="s">
        <v>567</v>
      </c>
      <c r="K217" s="193" t="s">
        <v>569</v>
      </c>
      <c r="L217" s="193" t="s">
        <v>572</v>
      </c>
      <c r="M217" s="193" t="s">
        <v>575</v>
      </c>
      <c r="N217" s="193" t="s">
        <v>4578</v>
      </c>
      <c r="O217" s="362"/>
      <c r="P217" s="359">
        <v>46078.79914364583</v>
      </c>
      <c r="Q217" s="193"/>
      <c r="R217" s="193" t="b">
        <v>0</v>
      </c>
    </row>
    <row r="218">
      <c r="A218" s="359">
        <v>46087.86555672454</v>
      </c>
      <c r="B218" s="193" t="s">
        <v>2996</v>
      </c>
      <c r="C218" s="361">
        <v>98.0</v>
      </c>
      <c r="D218" s="193" t="s">
        <v>17</v>
      </c>
      <c r="E218" s="193" t="s">
        <v>23</v>
      </c>
      <c r="F218" s="193" t="s">
        <v>360</v>
      </c>
      <c r="G218" s="362">
        <v>46048.0</v>
      </c>
      <c r="H218" s="193" t="s">
        <v>392</v>
      </c>
      <c r="I218" s="193" t="s">
        <v>393</v>
      </c>
      <c r="J218" s="193" t="s">
        <v>394</v>
      </c>
      <c r="K218" s="193" t="s">
        <v>396</v>
      </c>
      <c r="L218" s="193" t="s">
        <v>174</v>
      </c>
      <c r="M218" s="193" t="s">
        <v>3884</v>
      </c>
      <c r="N218" s="193"/>
      <c r="O218" s="362"/>
      <c r="P218" s="359"/>
      <c r="Q218" s="193" t="b">
        <v>0</v>
      </c>
      <c r="R218" s="193"/>
      <c r="S218" s="193" t="s">
        <v>406</v>
      </c>
    </row>
    <row r="219">
      <c r="A219" s="359">
        <v>46087.865620358796</v>
      </c>
      <c r="B219" s="193" t="s">
        <v>2996</v>
      </c>
      <c r="C219" s="361">
        <v>96.0</v>
      </c>
      <c r="D219" s="193" t="s">
        <v>22</v>
      </c>
      <c r="E219" s="193" t="s">
        <v>23</v>
      </c>
      <c r="F219" s="193" t="s">
        <v>360</v>
      </c>
      <c r="G219" s="362">
        <v>45776.0</v>
      </c>
      <c r="H219" s="193" t="s">
        <v>411</v>
      </c>
      <c r="I219" s="193" t="s">
        <v>412</v>
      </c>
      <c r="J219" s="193" t="s">
        <v>414</v>
      </c>
      <c r="K219" s="193" t="s">
        <v>415</v>
      </c>
      <c r="L219" s="193" t="s">
        <v>416</v>
      </c>
      <c r="M219" s="193" t="s">
        <v>418</v>
      </c>
      <c r="N219" s="193" t="s">
        <v>421</v>
      </c>
      <c r="O219" s="362"/>
      <c r="P219" s="359">
        <v>46058.77822115741</v>
      </c>
      <c r="Q219" s="193"/>
      <c r="R219" s="193" t="b">
        <v>0</v>
      </c>
      <c r="S219" s="193"/>
    </row>
    <row r="220">
      <c r="A220" s="359">
        <v>46087.86569097222</v>
      </c>
      <c r="B220" s="193" t="s">
        <v>2996</v>
      </c>
      <c r="C220" s="361">
        <v>95.0</v>
      </c>
      <c r="D220" s="193" t="s">
        <v>17</v>
      </c>
      <c r="E220" s="193" t="s">
        <v>23</v>
      </c>
      <c r="F220" s="193" t="s">
        <v>360</v>
      </c>
      <c r="G220" s="362">
        <v>45719.0</v>
      </c>
      <c r="H220" s="193" t="s">
        <v>433</v>
      </c>
      <c r="I220" s="193" t="s">
        <v>436</v>
      </c>
      <c r="J220" s="193" t="s">
        <v>437</v>
      </c>
      <c r="K220" s="193"/>
      <c r="L220" s="193" t="s">
        <v>140</v>
      </c>
      <c r="M220" s="193" t="s">
        <v>439</v>
      </c>
      <c r="N220" s="193" t="s">
        <v>4588</v>
      </c>
      <c r="O220" s="362"/>
      <c r="P220" s="359"/>
      <c r="Q220" s="193"/>
      <c r="R220" s="193" t="b">
        <v>0</v>
      </c>
      <c r="S220" s="193"/>
    </row>
    <row r="221">
      <c r="A221" s="359">
        <v>46087.865750578705</v>
      </c>
      <c r="B221" s="193" t="s">
        <v>2996</v>
      </c>
      <c r="C221" s="361">
        <v>94.0</v>
      </c>
      <c r="D221" s="193" t="s">
        <v>18</v>
      </c>
      <c r="E221" s="193" t="s">
        <v>23</v>
      </c>
      <c r="F221" s="193" t="s">
        <v>360</v>
      </c>
      <c r="G221" s="362">
        <v>45980.0</v>
      </c>
      <c r="H221" s="193" t="s">
        <v>449</v>
      </c>
      <c r="I221" s="193" t="s">
        <v>450</v>
      </c>
      <c r="J221" s="193" t="s">
        <v>451</v>
      </c>
      <c r="K221" s="193" t="s">
        <v>452</v>
      </c>
      <c r="L221" s="193" t="s">
        <v>453</v>
      </c>
      <c r="M221" s="193" t="s">
        <v>454</v>
      </c>
      <c r="N221" s="193" t="s">
        <v>4598</v>
      </c>
      <c r="O221" s="362"/>
      <c r="P221" s="359">
        <v>46084.705999247686</v>
      </c>
      <c r="Q221" s="193"/>
      <c r="R221" s="193" t="b">
        <v>0</v>
      </c>
      <c r="S221" s="193"/>
    </row>
    <row r="222">
      <c r="A222" s="359">
        <v>46087.86580997685</v>
      </c>
      <c r="B222" s="193" t="s">
        <v>2996</v>
      </c>
      <c r="C222" s="361">
        <v>93.0</v>
      </c>
      <c r="D222" s="193" t="s">
        <v>135</v>
      </c>
      <c r="E222" s="193" t="s">
        <v>225</v>
      </c>
      <c r="F222" s="193" t="s">
        <v>360</v>
      </c>
      <c r="G222" s="362">
        <v>45664.0</v>
      </c>
      <c r="H222" s="193" t="s">
        <v>3553</v>
      </c>
      <c r="I222" s="193" t="s">
        <v>3555</v>
      </c>
      <c r="J222" s="193" t="s">
        <v>3557</v>
      </c>
      <c r="K222" s="193" t="s">
        <v>3558</v>
      </c>
      <c r="L222" s="193" t="s">
        <v>2317</v>
      </c>
      <c r="M222" s="193" t="s">
        <v>3560</v>
      </c>
      <c r="N222" s="193" t="s">
        <v>4600</v>
      </c>
      <c r="O222" s="362"/>
      <c r="P222" s="359">
        <v>46058.75870972223</v>
      </c>
      <c r="Q222" s="193"/>
      <c r="R222" s="193" t="b">
        <v>0</v>
      </c>
      <c r="S222" s="193"/>
    </row>
    <row r="223">
      <c r="A223" s="359">
        <v>46087.86586777778</v>
      </c>
      <c r="B223" s="193" t="s">
        <v>2996</v>
      </c>
      <c r="C223" s="361">
        <v>92.0</v>
      </c>
      <c r="D223" s="193" t="s">
        <v>62</v>
      </c>
      <c r="E223" s="193" t="s">
        <v>225</v>
      </c>
      <c r="F223" s="193" t="s">
        <v>360</v>
      </c>
      <c r="G223" s="362">
        <v>46043.0</v>
      </c>
      <c r="H223" s="193" t="s">
        <v>3904</v>
      </c>
      <c r="I223" s="193" t="s">
        <v>3905</v>
      </c>
      <c r="J223" s="193" t="s">
        <v>3906</v>
      </c>
      <c r="K223" s="193" t="s">
        <v>3907</v>
      </c>
      <c r="L223" s="193" t="s">
        <v>497</v>
      </c>
      <c r="M223" s="193" t="s">
        <v>3908</v>
      </c>
      <c r="N223" s="193"/>
      <c r="O223" s="362"/>
      <c r="P223" s="359"/>
      <c r="Q223" s="193"/>
      <c r="R223" s="193"/>
      <c r="S223" s="193"/>
    </row>
    <row r="224">
      <c r="A224" s="359">
        <v>46087.865919351854</v>
      </c>
      <c r="B224" s="193" t="s">
        <v>2996</v>
      </c>
      <c r="C224" s="361">
        <v>91.0</v>
      </c>
      <c r="D224" s="193" t="s">
        <v>17</v>
      </c>
      <c r="E224" s="193" t="s">
        <v>225</v>
      </c>
      <c r="F224" s="193" t="s">
        <v>360</v>
      </c>
      <c r="G224" s="362">
        <v>46038.0</v>
      </c>
      <c r="H224" s="193" t="s">
        <v>3645</v>
      </c>
      <c r="I224" s="193" t="s">
        <v>3647</v>
      </c>
      <c r="J224" s="193" t="s">
        <v>3649</v>
      </c>
      <c r="K224" s="193" t="s">
        <v>3650</v>
      </c>
      <c r="L224" s="193" t="s">
        <v>2827</v>
      </c>
      <c r="M224" s="193" t="s">
        <v>3652</v>
      </c>
      <c r="N224" s="193" t="s">
        <v>4561</v>
      </c>
      <c r="O224" s="362"/>
      <c r="P224" s="359"/>
      <c r="Q224" s="193"/>
      <c r="R224" s="193" t="b">
        <v>0</v>
      </c>
      <c r="S224" s="193"/>
    </row>
    <row r="225">
      <c r="A225" s="359">
        <v>46087.865971990745</v>
      </c>
      <c r="B225" s="193" t="s">
        <v>2996</v>
      </c>
      <c r="C225" s="361">
        <v>90.0</v>
      </c>
      <c r="D225" s="193" t="s">
        <v>18</v>
      </c>
      <c r="E225" s="193" t="s">
        <v>225</v>
      </c>
      <c r="F225" s="193" t="s">
        <v>360</v>
      </c>
      <c r="G225" s="362">
        <v>46056.0</v>
      </c>
      <c r="H225" s="193" t="s">
        <v>463</v>
      </c>
      <c r="I225" s="193" t="s">
        <v>465</v>
      </c>
      <c r="J225" s="193" t="s">
        <v>467</v>
      </c>
      <c r="K225" s="193" t="s">
        <v>470</v>
      </c>
      <c r="L225" s="193" t="s">
        <v>472</v>
      </c>
      <c r="M225" s="193" t="s">
        <v>473</v>
      </c>
      <c r="N225" s="193" t="s">
        <v>4617</v>
      </c>
      <c r="O225" s="362"/>
      <c r="P225" s="359">
        <v>46084.91920396991</v>
      </c>
      <c r="Q225" s="193"/>
      <c r="R225" s="193" t="b">
        <v>0</v>
      </c>
      <c r="S225" s="193"/>
    </row>
    <row r="226">
      <c r="A226" s="359">
        <v>46087.86603427083</v>
      </c>
      <c r="B226" s="193" t="s">
        <v>2996</v>
      </c>
      <c r="C226" s="361">
        <v>89.0</v>
      </c>
      <c r="D226" s="193" t="s">
        <v>17</v>
      </c>
      <c r="E226" s="193" t="s">
        <v>225</v>
      </c>
      <c r="F226" s="193" t="s">
        <v>360</v>
      </c>
      <c r="G226" s="362">
        <v>46037.0</v>
      </c>
      <c r="H226" s="193" t="s">
        <v>2199</v>
      </c>
      <c r="I226" s="193" t="s">
        <v>2200</v>
      </c>
      <c r="J226" s="193" t="s">
        <v>2202</v>
      </c>
      <c r="K226" s="193" t="s">
        <v>2203</v>
      </c>
      <c r="L226" s="193" t="s">
        <v>2204</v>
      </c>
      <c r="M226" s="193" t="s">
        <v>2205</v>
      </c>
      <c r="N226" s="193" t="s">
        <v>2206</v>
      </c>
      <c r="O226" s="362"/>
      <c r="P226" s="359">
        <v>46084.919616643514</v>
      </c>
      <c r="Q226" s="193"/>
      <c r="R226" s="193" t="b">
        <v>0</v>
      </c>
      <c r="S226" s="193"/>
    </row>
    <row r="227">
      <c r="A227" s="359">
        <v>46087.86610244213</v>
      </c>
      <c r="B227" s="193" t="s">
        <v>2996</v>
      </c>
      <c r="C227" s="361">
        <v>87.0</v>
      </c>
      <c r="D227" s="193" t="s">
        <v>62</v>
      </c>
      <c r="E227" s="193" t="s">
        <v>225</v>
      </c>
      <c r="F227" s="193" t="s">
        <v>360</v>
      </c>
      <c r="G227" s="362">
        <v>46052.0</v>
      </c>
      <c r="H227" s="193" t="s">
        <v>3758</v>
      </c>
      <c r="I227" s="193" t="s">
        <v>3759</v>
      </c>
      <c r="J227" s="193" t="s">
        <v>3760</v>
      </c>
      <c r="K227" s="193" t="s">
        <v>3761</v>
      </c>
      <c r="L227" s="193" t="s">
        <v>4568</v>
      </c>
      <c r="M227" s="193" t="s">
        <v>3764</v>
      </c>
      <c r="N227" s="193" t="s">
        <v>4569</v>
      </c>
      <c r="O227" s="362"/>
      <c r="P227" s="359">
        <v>46064.882049907406</v>
      </c>
      <c r="Q227" s="193"/>
      <c r="R227" s="193" t="b">
        <v>0</v>
      </c>
      <c r="S227" s="193"/>
    </row>
    <row r="228">
      <c r="A228" s="359">
        <v>46087.866168900466</v>
      </c>
      <c r="B228" s="193" t="s">
        <v>2996</v>
      </c>
      <c r="C228" s="361">
        <v>84.0</v>
      </c>
      <c r="D228" s="193" t="s">
        <v>62</v>
      </c>
      <c r="E228" s="193" t="s">
        <v>225</v>
      </c>
      <c r="F228" s="193" t="s">
        <v>360</v>
      </c>
      <c r="G228" s="362">
        <v>46043.0</v>
      </c>
      <c r="H228" s="193" t="s">
        <v>480</v>
      </c>
      <c r="I228" s="193" t="s">
        <v>483</v>
      </c>
      <c r="J228" s="193" t="s">
        <v>484</v>
      </c>
      <c r="K228" s="193" t="s">
        <v>487</v>
      </c>
      <c r="L228" s="193" t="s">
        <v>490</v>
      </c>
      <c r="M228" s="193" t="s">
        <v>493</v>
      </c>
      <c r="N228" s="193" t="s">
        <v>496</v>
      </c>
      <c r="O228" s="362"/>
      <c r="P228" s="359"/>
      <c r="Q228" s="193"/>
      <c r="R228" s="193" t="b">
        <v>0</v>
      </c>
      <c r="S228" s="193"/>
    </row>
    <row r="229">
      <c r="A229" s="359">
        <v>46087.86622299768</v>
      </c>
      <c r="B229" s="193" t="s">
        <v>2996</v>
      </c>
      <c r="C229" s="361">
        <v>81.0</v>
      </c>
      <c r="D229" s="193" t="s">
        <v>62</v>
      </c>
      <c r="E229" s="193" t="s">
        <v>225</v>
      </c>
      <c r="F229" s="193" t="s">
        <v>360</v>
      </c>
      <c r="G229" s="362">
        <v>46035.0</v>
      </c>
      <c r="H229" s="193" t="s">
        <v>500</v>
      </c>
      <c r="I229" s="193" t="s">
        <v>501</v>
      </c>
      <c r="J229" s="193" t="s">
        <v>502</v>
      </c>
      <c r="K229" s="193" t="s">
        <v>503</v>
      </c>
      <c r="L229" s="193" t="s">
        <v>269</v>
      </c>
      <c r="M229" s="193" t="s">
        <v>504</v>
      </c>
      <c r="N229" s="193" t="s">
        <v>505</v>
      </c>
      <c r="O229" s="362"/>
      <c r="P229" s="359"/>
      <c r="Q229" s="193"/>
      <c r="R229" s="193" t="b">
        <v>0</v>
      </c>
      <c r="S229" s="193"/>
    </row>
    <row r="230">
      <c r="A230" s="359">
        <v>46087.866276817134</v>
      </c>
      <c r="B230" s="193" t="s">
        <v>2996</v>
      </c>
      <c r="C230" s="361">
        <v>74.0</v>
      </c>
      <c r="D230" s="193" t="s">
        <v>117</v>
      </c>
      <c r="E230" s="193" t="s">
        <v>19</v>
      </c>
      <c r="F230" s="193" t="s">
        <v>360</v>
      </c>
      <c r="G230" s="362">
        <v>45995.0</v>
      </c>
      <c r="H230" s="193" t="s">
        <v>519</v>
      </c>
      <c r="I230" s="193" t="s">
        <v>521</v>
      </c>
      <c r="J230" s="193" t="s">
        <v>522</v>
      </c>
      <c r="K230" s="193" t="s">
        <v>523</v>
      </c>
      <c r="L230" s="193"/>
      <c r="M230" s="193" t="s">
        <v>524</v>
      </c>
      <c r="N230" s="193" t="s">
        <v>525</v>
      </c>
      <c r="O230" s="362"/>
      <c r="P230" s="359"/>
      <c r="Q230" s="193"/>
      <c r="R230" s="193" t="b">
        <v>0</v>
      </c>
      <c r="S230" s="193"/>
    </row>
    <row r="231">
      <c r="A231" s="359">
        <v>46087.86633424769</v>
      </c>
      <c r="B231" s="193" t="s">
        <v>2996</v>
      </c>
      <c r="C231" s="361">
        <v>73.0</v>
      </c>
      <c r="D231" s="193" t="s">
        <v>117</v>
      </c>
      <c r="E231" s="193" t="s">
        <v>53</v>
      </c>
      <c r="F231" s="193" t="s">
        <v>360</v>
      </c>
      <c r="G231" s="362">
        <v>45995.0</v>
      </c>
      <c r="H231" s="193" t="s">
        <v>531</v>
      </c>
      <c r="I231" s="193" t="s">
        <v>535</v>
      </c>
      <c r="J231" s="193" t="s">
        <v>538</v>
      </c>
      <c r="K231" s="193" t="s">
        <v>541</v>
      </c>
      <c r="L231" s="193" t="s">
        <v>544</v>
      </c>
      <c r="M231" s="193" t="s">
        <v>549</v>
      </c>
      <c r="N231" s="193" t="s">
        <v>552</v>
      </c>
      <c r="O231" s="362"/>
      <c r="P231" s="359">
        <v>46063.68051607639</v>
      </c>
      <c r="Q231" s="193"/>
      <c r="R231" s="193" t="b">
        <v>0</v>
      </c>
      <c r="S231" s="193"/>
    </row>
    <row r="232">
      <c r="A232" s="359">
        <v>46087.86640219907</v>
      </c>
      <c r="B232" s="193" t="s">
        <v>2996</v>
      </c>
      <c r="C232" s="361">
        <v>72.0</v>
      </c>
      <c r="D232" s="193" t="s">
        <v>62</v>
      </c>
      <c r="E232" s="193" t="s">
        <v>53</v>
      </c>
      <c r="F232" s="193" t="s">
        <v>360</v>
      </c>
      <c r="G232" s="362">
        <v>45993.0</v>
      </c>
      <c r="H232" s="193" t="s">
        <v>2359</v>
      </c>
      <c r="I232" s="193" t="s">
        <v>3469</v>
      </c>
      <c r="J232" s="193" t="s">
        <v>3471</v>
      </c>
      <c r="K232" s="193" t="s">
        <v>2362</v>
      </c>
      <c r="L232" s="193" t="s">
        <v>558</v>
      </c>
      <c r="M232" s="193" t="s">
        <v>2367</v>
      </c>
      <c r="N232" s="193" t="s">
        <v>2370</v>
      </c>
      <c r="O232" s="362"/>
      <c r="P232" s="359">
        <v>46066.89408398148</v>
      </c>
      <c r="Q232" s="193"/>
      <c r="R232" s="193" t="b">
        <v>0</v>
      </c>
      <c r="S232" s="193"/>
    </row>
    <row r="233">
      <c r="A233" s="359">
        <v>46087.86647628472</v>
      </c>
      <c r="B233" s="193" t="s">
        <v>2996</v>
      </c>
      <c r="C233" s="361">
        <v>61.0</v>
      </c>
      <c r="D233" s="193" t="s">
        <v>62</v>
      </c>
      <c r="E233" s="193" t="s">
        <v>53</v>
      </c>
      <c r="F233" s="193" t="s">
        <v>360</v>
      </c>
      <c r="G233" s="362">
        <v>45943.0</v>
      </c>
      <c r="H233" s="193" t="s">
        <v>2381</v>
      </c>
      <c r="I233" s="193" t="s">
        <v>2382</v>
      </c>
      <c r="J233" s="193" t="s">
        <v>2384</v>
      </c>
      <c r="K233" s="193" t="s">
        <v>2386</v>
      </c>
      <c r="L233" s="193" t="s">
        <v>1963</v>
      </c>
      <c r="M233" s="193" t="s">
        <v>2387</v>
      </c>
      <c r="N233" s="193" t="s">
        <v>4673</v>
      </c>
      <c r="O233" s="362"/>
      <c r="P233" s="359">
        <v>46084.91723925926</v>
      </c>
      <c r="Q233" s="193"/>
      <c r="R233" s="193" t="b">
        <v>0</v>
      </c>
      <c r="S233" s="193"/>
    </row>
    <row r="234">
      <c r="A234" s="359">
        <v>46087.866535497684</v>
      </c>
      <c r="B234" s="193" t="s">
        <v>2996</v>
      </c>
      <c r="C234" s="361">
        <v>58.0</v>
      </c>
      <c r="D234" s="193" t="s">
        <v>17</v>
      </c>
      <c r="E234" s="193" t="s">
        <v>23</v>
      </c>
      <c r="F234" s="193" t="s">
        <v>360</v>
      </c>
      <c r="G234" s="362">
        <v>46034.0</v>
      </c>
      <c r="H234" s="193" t="s">
        <v>553</v>
      </c>
      <c r="I234" s="193" t="s">
        <v>554</v>
      </c>
      <c r="J234" s="193" t="s">
        <v>555</v>
      </c>
      <c r="K234" s="193" t="s">
        <v>556</v>
      </c>
      <c r="L234" s="193" t="s">
        <v>558</v>
      </c>
      <c r="M234" s="193" t="s">
        <v>561</v>
      </c>
      <c r="N234" s="193" t="s">
        <v>4678</v>
      </c>
      <c r="O234" s="362"/>
      <c r="P234" s="359">
        <v>46065.9014278588</v>
      </c>
      <c r="Q234" s="193"/>
      <c r="R234" s="193" t="b">
        <v>0</v>
      </c>
      <c r="S234" s="193"/>
    </row>
    <row r="235">
      <c r="A235" s="359">
        <v>46087.866592962964</v>
      </c>
      <c r="B235" s="193" t="s">
        <v>2996</v>
      </c>
      <c r="C235" s="361">
        <v>3.0</v>
      </c>
      <c r="D235" s="193" t="s">
        <v>22</v>
      </c>
      <c r="E235" s="193" t="s">
        <v>19</v>
      </c>
      <c r="F235" s="193" t="s">
        <v>360</v>
      </c>
      <c r="G235" s="362">
        <v>45692.0</v>
      </c>
      <c r="H235" s="193" t="s">
        <v>577</v>
      </c>
      <c r="I235" s="193" t="s">
        <v>578</v>
      </c>
      <c r="J235" s="193" t="s">
        <v>579</v>
      </c>
      <c r="K235" s="193" t="s">
        <v>580</v>
      </c>
      <c r="L235" s="193" t="s">
        <v>581</v>
      </c>
      <c r="M235" s="193" t="s">
        <v>582</v>
      </c>
      <c r="N235" s="193" t="s">
        <v>4683</v>
      </c>
      <c r="O235" s="362"/>
      <c r="P235" s="359">
        <v>0.75</v>
      </c>
      <c r="Q235" s="193"/>
      <c r="R235" s="193" t="b">
        <v>0</v>
      </c>
      <c r="S235" s="193"/>
    </row>
    <row r="236">
      <c r="A236" s="359">
        <v>46087.92678844907</v>
      </c>
      <c r="B236" s="193" t="s">
        <v>2996</v>
      </c>
      <c r="C236" s="361">
        <v>60.0</v>
      </c>
      <c r="D236" s="193" t="s">
        <v>410</v>
      </c>
      <c r="E236" s="193" t="s">
        <v>53</v>
      </c>
      <c r="F236" s="193" t="s">
        <v>360</v>
      </c>
      <c r="G236" s="362">
        <v>45971.0</v>
      </c>
      <c r="H236" s="193" t="s">
        <v>591</v>
      </c>
      <c r="I236" s="193" t="s">
        <v>593</v>
      </c>
      <c r="J236" s="193" t="s">
        <v>594</v>
      </c>
      <c r="K236" s="193" t="s">
        <v>596</v>
      </c>
      <c r="L236" s="193" t="s">
        <v>597</v>
      </c>
      <c r="M236" s="193" t="s">
        <v>598</v>
      </c>
      <c r="N236" s="193" t="s">
        <v>599</v>
      </c>
      <c r="O236" s="362"/>
      <c r="P236" s="359"/>
      <c r="Q236" s="193"/>
      <c r="R236" s="193" t="b">
        <v>0</v>
      </c>
      <c r="S236" s="193"/>
    </row>
    <row r="237">
      <c r="A237" s="359">
        <v>46087.96477684028</v>
      </c>
      <c r="B237" s="193" t="s">
        <v>2996</v>
      </c>
      <c r="C237" s="361">
        <v>82.0</v>
      </c>
      <c r="D237" s="193" t="s">
        <v>17</v>
      </c>
      <c r="E237" s="193" t="s">
        <v>23</v>
      </c>
      <c r="F237" s="193" t="s">
        <v>360</v>
      </c>
      <c r="G237" s="362">
        <v>46056.0</v>
      </c>
      <c r="H237" s="193" t="s">
        <v>3793</v>
      </c>
      <c r="I237" s="193" t="s">
        <v>3795</v>
      </c>
      <c r="J237" s="193" t="s">
        <v>3798</v>
      </c>
      <c r="K237" s="193" t="s">
        <v>3799</v>
      </c>
      <c r="L237" s="193" t="s">
        <v>1174</v>
      </c>
      <c r="M237" s="193" t="s">
        <v>3801</v>
      </c>
      <c r="N237" s="193" t="s">
        <v>4221</v>
      </c>
      <c r="O237" s="362"/>
      <c r="P237" s="359"/>
      <c r="Q237" s="193"/>
      <c r="R237" s="193"/>
      <c r="S237" s="193"/>
    </row>
    <row r="238">
      <c r="A238" s="359">
        <v>46091.80854445602</v>
      </c>
      <c r="B238" s="193" t="s">
        <v>34</v>
      </c>
      <c r="C238" s="361">
        <v>21.0</v>
      </c>
      <c r="D238" s="193" t="s">
        <v>17</v>
      </c>
      <c r="E238" s="193" t="s">
        <v>225</v>
      </c>
      <c r="F238" s="193" t="s">
        <v>1451</v>
      </c>
      <c r="G238" s="362">
        <v>46083.0</v>
      </c>
      <c r="H238" s="193" t="s">
        <v>3856</v>
      </c>
      <c r="I238" s="193" t="s">
        <v>3857</v>
      </c>
      <c r="J238" s="193" t="s">
        <v>3859</v>
      </c>
      <c r="K238" s="193" t="s">
        <v>3860</v>
      </c>
      <c r="L238" s="193" t="s">
        <v>686</v>
      </c>
      <c r="M238" s="193" t="s">
        <v>4534</v>
      </c>
      <c r="N238" s="193" t="s">
        <v>3862</v>
      </c>
      <c r="O238" s="362"/>
      <c r="P238" s="359">
        <v>46091.805811238424</v>
      </c>
      <c r="Q238" s="193"/>
      <c r="R238" s="193" t="b">
        <v>0</v>
      </c>
      <c r="S238" s="193"/>
    </row>
    <row r="239">
      <c r="A239" s="359">
        <v>46092.85710638889</v>
      </c>
      <c r="B239" s="193" t="s">
        <v>3116</v>
      </c>
      <c r="C239" s="361">
        <v>3.0</v>
      </c>
      <c r="D239" s="193" t="s">
        <v>62</v>
      </c>
      <c r="E239" s="193" t="s">
        <v>53</v>
      </c>
      <c r="F239" s="193" t="s">
        <v>24</v>
      </c>
      <c r="G239" s="362">
        <v>46077.0</v>
      </c>
      <c r="H239" s="193" t="s">
        <v>1267</v>
      </c>
      <c r="I239" s="193" t="s">
        <v>1268</v>
      </c>
      <c r="J239" s="193" t="s">
        <v>1269</v>
      </c>
      <c r="K239" s="193" t="s">
        <v>1270</v>
      </c>
      <c r="L239" s="193" t="s">
        <v>612</v>
      </c>
      <c r="M239" s="193" t="s">
        <v>1272</v>
      </c>
      <c r="N239" s="193" t="s">
        <v>4706</v>
      </c>
      <c r="O239" s="362"/>
      <c r="P239" s="359">
        <v>46087.974540625</v>
      </c>
      <c r="Q239" s="193"/>
      <c r="R239" s="193" t="b">
        <v>0</v>
      </c>
      <c r="S239" s="193"/>
    </row>
    <row r="240">
      <c r="A240" s="359">
        <v>46092.86073783565</v>
      </c>
      <c r="B240" s="193" t="s">
        <v>3116</v>
      </c>
      <c r="C240" s="361">
        <v>7.0</v>
      </c>
      <c r="D240" s="193" t="s">
        <v>22</v>
      </c>
      <c r="E240" s="193" t="s">
        <v>53</v>
      </c>
      <c r="F240" s="193" t="s">
        <v>34</v>
      </c>
      <c r="G240" s="362">
        <v>46086.0</v>
      </c>
      <c r="H240" s="193" t="s">
        <v>285</v>
      </c>
      <c r="I240" s="193" t="s">
        <v>286</v>
      </c>
      <c r="J240" s="193" t="s">
        <v>287</v>
      </c>
      <c r="K240" s="193" t="s">
        <v>4708</v>
      </c>
      <c r="L240" s="193" t="s">
        <v>290</v>
      </c>
      <c r="M240" s="193" t="s">
        <v>292</v>
      </c>
      <c r="N240" s="193" t="s">
        <v>4710</v>
      </c>
      <c r="O240" s="362"/>
      <c r="P240" s="359">
        <v>46091.84224456019</v>
      </c>
      <c r="Q240" s="193"/>
      <c r="R240" s="193" t="b">
        <v>0</v>
      </c>
      <c r="S240" s="193"/>
    </row>
    <row r="241">
      <c r="A241" s="359">
        <v>46092.86535173611</v>
      </c>
      <c r="B241" s="193" t="s">
        <v>3116</v>
      </c>
      <c r="C241" s="361">
        <v>4.0</v>
      </c>
      <c r="D241" s="193" t="s">
        <v>62</v>
      </c>
      <c r="E241" s="193" t="s">
        <v>53</v>
      </c>
      <c r="F241" s="193" t="s">
        <v>24</v>
      </c>
      <c r="G241" s="362">
        <v>46085.0</v>
      </c>
      <c r="H241" s="193" t="s">
        <v>1281</v>
      </c>
      <c r="I241" s="193" t="s">
        <v>1283</v>
      </c>
      <c r="J241" s="193" t="s">
        <v>4713</v>
      </c>
      <c r="K241" s="193" t="s">
        <v>1286</v>
      </c>
      <c r="L241" s="193" t="s">
        <v>140</v>
      </c>
      <c r="M241" s="193" t="s">
        <v>4714</v>
      </c>
      <c r="N241" s="193" t="s">
        <v>4715</v>
      </c>
      <c r="O241" s="362"/>
      <c r="P241" s="359">
        <v>46090.87682803241</v>
      </c>
      <c r="Q241" s="193"/>
      <c r="R241" s="193" t="b">
        <v>0</v>
      </c>
      <c r="S241" s="193"/>
    </row>
    <row r="242">
      <c r="A242" s="359">
        <v>46093.832803425925</v>
      </c>
      <c r="B242" s="193" t="s">
        <v>2996</v>
      </c>
      <c r="C242" s="361">
        <v>56.0</v>
      </c>
      <c r="D242" s="193" t="s">
        <v>18</v>
      </c>
      <c r="E242" s="193" t="s">
        <v>19</v>
      </c>
      <c r="F242" s="193" t="s">
        <v>601</v>
      </c>
      <c r="G242" s="362">
        <v>46009.0</v>
      </c>
      <c r="H242" s="193" t="s">
        <v>605</v>
      </c>
      <c r="I242" s="193" t="s">
        <v>608</v>
      </c>
      <c r="J242" s="193" t="s">
        <v>611</v>
      </c>
      <c r="K242" s="193" t="s">
        <v>614</v>
      </c>
      <c r="L242" s="193" t="s">
        <v>616</v>
      </c>
      <c r="M242" s="193" t="s">
        <v>619</v>
      </c>
      <c r="N242" s="193" t="s">
        <v>4721</v>
      </c>
      <c r="O242" s="362"/>
      <c r="P242" s="359">
        <v>46085.87195303241</v>
      </c>
      <c r="Q242" s="193"/>
      <c r="R242" s="193" t="b">
        <v>0</v>
      </c>
      <c r="S242" s="193"/>
    </row>
    <row r="243">
      <c r="A243" s="359">
        <v>46097.97173631944</v>
      </c>
      <c r="B243" s="193" t="s">
        <v>3116</v>
      </c>
      <c r="C243" s="361">
        <v>6.0</v>
      </c>
      <c r="D243" s="193" t="s">
        <v>17</v>
      </c>
      <c r="E243" s="193" t="s">
        <v>23</v>
      </c>
      <c r="F243" s="193" t="s">
        <v>24</v>
      </c>
      <c r="G243" s="362">
        <v>46086.0</v>
      </c>
      <c r="H243" s="193" t="s">
        <v>1298</v>
      </c>
      <c r="I243" s="193" t="s">
        <v>1301</v>
      </c>
      <c r="J243" s="193" t="s">
        <v>1303</v>
      </c>
      <c r="K243" s="193" t="s">
        <v>1305</v>
      </c>
      <c r="L243" s="193" t="s">
        <v>973</v>
      </c>
      <c r="M243" s="193" t="s">
        <v>4727</v>
      </c>
      <c r="N243" s="193" t="s">
        <v>4729</v>
      </c>
      <c r="O243" s="362"/>
      <c r="P243" s="359">
        <v>46093.8080462037</v>
      </c>
      <c r="Q243" s="193"/>
      <c r="R243" s="193" t="b">
        <v>0</v>
      </c>
      <c r="S243" s="193"/>
    </row>
    <row r="244">
      <c r="A244" s="359">
        <v>46097.97180378472</v>
      </c>
      <c r="B244" s="193" t="s">
        <v>2996</v>
      </c>
      <c r="C244" s="361">
        <v>14.0</v>
      </c>
      <c r="D244" s="193" t="s">
        <v>621</v>
      </c>
      <c r="E244" s="193" t="s">
        <v>23</v>
      </c>
      <c r="F244" s="193" t="s">
        <v>601</v>
      </c>
      <c r="G244" s="362">
        <v>45798.0</v>
      </c>
      <c r="H244" s="193" t="s">
        <v>625</v>
      </c>
      <c r="I244" s="193" t="s">
        <v>627</v>
      </c>
      <c r="J244" s="193"/>
      <c r="K244" s="193"/>
      <c r="L244" s="193" t="s">
        <v>630</v>
      </c>
      <c r="M244" s="193" t="s">
        <v>631</v>
      </c>
      <c r="N244" s="193"/>
      <c r="O244" s="362"/>
      <c r="P244" s="359"/>
      <c r="Q244" s="193"/>
      <c r="R244" s="193" t="b">
        <v>0</v>
      </c>
      <c r="S244" s="193"/>
    </row>
    <row r="245">
      <c r="A245" s="359">
        <v>46097.97184646991</v>
      </c>
      <c r="B245" s="193" t="s">
        <v>2996</v>
      </c>
      <c r="C245" s="361">
        <v>8.0</v>
      </c>
      <c r="D245" s="193" t="s">
        <v>633</v>
      </c>
      <c r="E245" s="193" t="s">
        <v>53</v>
      </c>
      <c r="F245" s="193" t="s">
        <v>601</v>
      </c>
      <c r="G245" s="362">
        <v>45729.0</v>
      </c>
      <c r="H245" s="193" t="s">
        <v>637</v>
      </c>
      <c r="I245" s="193" t="s">
        <v>638</v>
      </c>
      <c r="J245" s="193" t="s">
        <v>640</v>
      </c>
      <c r="K245" s="193" t="s">
        <v>642</v>
      </c>
      <c r="L245" s="193" t="s">
        <v>581</v>
      </c>
      <c r="M245" s="193" t="s">
        <v>643</v>
      </c>
      <c r="N245" s="193" t="s">
        <v>645</v>
      </c>
      <c r="O245" s="362"/>
      <c r="P245" s="359"/>
      <c r="Q245" s="193"/>
      <c r="R245" s="193" t="b">
        <v>0</v>
      </c>
      <c r="S245" s="193"/>
    </row>
    <row r="246">
      <c r="A246" s="359">
        <v>46097.97190846065</v>
      </c>
      <c r="B246" s="193" t="s">
        <v>3116</v>
      </c>
      <c r="C246" s="361">
        <v>9.0</v>
      </c>
      <c r="D246" s="193" t="s">
        <v>22</v>
      </c>
      <c r="E246" s="193" t="s">
        <v>53</v>
      </c>
      <c r="F246" s="193" t="s">
        <v>24</v>
      </c>
      <c r="G246" s="362">
        <v>46090.0</v>
      </c>
      <c r="H246" s="193" t="s">
        <v>4305</v>
      </c>
      <c r="I246" s="193" t="s">
        <v>4307</v>
      </c>
      <c r="J246" s="193" t="s">
        <v>4749</v>
      </c>
      <c r="K246" s="193" t="s">
        <v>4309</v>
      </c>
      <c r="L246" s="193" t="s">
        <v>1405</v>
      </c>
      <c r="M246" s="193" t="s">
        <v>4753</v>
      </c>
      <c r="N246" s="193" t="s">
        <v>4756</v>
      </c>
      <c r="O246" s="362"/>
      <c r="P246" s="359">
        <v>46093.90225436343</v>
      </c>
      <c r="Q246" s="193"/>
      <c r="R246" s="193" t="b">
        <v>0</v>
      </c>
      <c r="S246" s="193"/>
    </row>
    <row r="247">
      <c r="A247" s="359">
        <v>46097.97991248843</v>
      </c>
      <c r="B247" s="193" t="s">
        <v>3116</v>
      </c>
      <c r="C247" s="361">
        <v>12.0</v>
      </c>
      <c r="D247" s="193" t="s">
        <v>62</v>
      </c>
      <c r="E247" s="193" t="s">
        <v>53</v>
      </c>
      <c r="F247" s="193" t="s">
        <v>24</v>
      </c>
      <c r="G247" s="362">
        <v>46092.0</v>
      </c>
      <c r="H247" s="193" t="s">
        <v>65</v>
      </c>
      <c r="I247" s="193" t="s">
        <v>66</v>
      </c>
      <c r="J247" s="193" t="s">
        <v>67</v>
      </c>
      <c r="K247" s="193" t="s">
        <v>68</v>
      </c>
      <c r="L247" s="193" t="s">
        <v>581</v>
      </c>
      <c r="M247" s="193" t="s">
        <v>4763</v>
      </c>
      <c r="N247" s="193" t="s">
        <v>4764</v>
      </c>
      <c r="O247" s="362"/>
      <c r="P247" s="359">
        <v>46094.844249490736</v>
      </c>
      <c r="Q247" s="193"/>
      <c r="R247" s="193" t="b">
        <v>0</v>
      </c>
      <c r="S247" s="193"/>
    </row>
    <row r="248">
      <c r="A248" s="359">
        <v>46097.97996254629</v>
      </c>
      <c r="B248" s="193" t="s">
        <v>3116</v>
      </c>
      <c r="C248" s="361">
        <v>8.0</v>
      </c>
      <c r="D248" s="193" t="s">
        <v>22</v>
      </c>
      <c r="E248" s="193" t="s">
        <v>23</v>
      </c>
      <c r="F248" s="193" t="s">
        <v>24</v>
      </c>
      <c r="G248" s="362">
        <v>46090.0</v>
      </c>
      <c r="H248" s="193" t="s">
        <v>4052</v>
      </c>
      <c r="I248" s="193" t="s">
        <v>4053</v>
      </c>
      <c r="J248" s="193" t="s">
        <v>4054</v>
      </c>
      <c r="K248" s="193"/>
      <c r="L248" s="193" t="s">
        <v>30</v>
      </c>
      <c r="M248" s="193" t="s">
        <v>4776</v>
      </c>
      <c r="N248" s="193" t="s">
        <v>4777</v>
      </c>
      <c r="O248" s="362"/>
      <c r="P248" s="359">
        <v>46092.70153951389</v>
      </c>
      <c r="Q248" s="193"/>
      <c r="R248" s="193" t="b">
        <v>0</v>
      </c>
      <c r="S248" s="193"/>
    </row>
    <row r="249">
      <c r="A249" s="359">
        <v>46097.98000140046</v>
      </c>
      <c r="B249" s="193" t="s">
        <v>2996</v>
      </c>
      <c r="C249" s="361">
        <v>50.0</v>
      </c>
      <c r="D249" s="193" t="s">
        <v>646</v>
      </c>
      <c r="E249" s="193" t="s">
        <v>23</v>
      </c>
      <c r="F249" s="193" t="s">
        <v>601</v>
      </c>
      <c r="G249" s="362">
        <v>45917.0</v>
      </c>
      <c r="H249" s="193" t="s">
        <v>650</v>
      </c>
      <c r="I249" s="193" t="s">
        <v>652</v>
      </c>
      <c r="J249" s="193" t="s">
        <v>653</v>
      </c>
      <c r="K249" s="193" t="s">
        <v>654</v>
      </c>
      <c r="L249" s="193" t="s">
        <v>655</v>
      </c>
      <c r="M249" s="193" t="s">
        <v>656</v>
      </c>
      <c r="N249" s="193" t="s">
        <v>657</v>
      </c>
      <c r="O249" s="362"/>
      <c r="P249" s="359"/>
      <c r="Q249" s="193"/>
      <c r="R249" s="193" t="b">
        <v>0</v>
      </c>
      <c r="S249" s="193"/>
    </row>
    <row r="250">
      <c r="A250" s="359">
        <v>46097.98003987268</v>
      </c>
      <c r="B250" s="193" t="s">
        <v>2996</v>
      </c>
      <c r="C250" s="361">
        <v>47.0</v>
      </c>
      <c r="D250" s="193" t="s">
        <v>646</v>
      </c>
      <c r="E250" s="193" t="s">
        <v>19</v>
      </c>
      <c r="F250" s="193" t="s">
        <v>601</v>
      </c>
      <c r="G250" s="362">
        <v>45916.0</v>
      </c>
      <c r="H250" s="193" t="s">
        <v>658</v>
      </c>
      <c r="I250" s="193" t="s">
        <v>659</v>
      </c>
      <c r="J250" s="193" t="s">
        <v>660</v>
      </c>
      <c r="K250" s="193" t="s">
        <v>661</v>
      </c>
      <c r="L250" s="193"/>
      <c r="M250" s="193" t="s">
        <v>662</v>
      </c>
      <c r="N250" s="193" t="s">
        <v>663</v>
      </c>
      <c r="O250" s="362"/>
      <c r="P250" s="359"/>
      <c r="Q250" s="193"/>
      <c r="R250" s="193" t="b">
        <v>0</v>
      </c>
      <c r="S250" s="193"/>
    </row>
    <row r="251">
      <c r="A251" s="359">
        <v>46097.98008026621</v>
      </c>
      <c r="B251" s="193" t="s">
        <v>2996</v>
      </c>
      <c r="C251" s="361">
        <v>43.0</v>
      </c>
      <c r="D251" s="193" t="s">
        <v>646</v>
      </c>
      <c r="E251" s="193" t="s">
        <v>19</v>
      </c>
      <c r="F251" s="193" t="s">
        <v>601</v>
      </c>
      <c r="G251" s="362">
        <v>45918.0</v>
      </c>
      <c r="H251" s="193" t="s">
        <v>664</v>
      </c>
      <c r="I251" s="193" t="s">
        <v>665</v>
      </c>
      <c r="J251" s="193" t="s">
        <v>666</v>
      </c>
      <c r="K251" s="193" t="s">
        <v>668</v>
      </c>
      <c r="L251" s="193" t="s">
        <v>669</v>
      </c>
      <c r="M251" s="193" t="s">
        <v>671</v>
      </c>
      <c r="N251" s="193" t="s">
        <v>672</v>
      </c>
      <c r="O251" s="362"/>
      <c r="P251" s="359"/>
      <c r="Q251" s="193"/>
      <c r="R251" s="193" t="b">
        <v>0</v>
      </c>
      <c r="S251" s="193"/>
    </row>
    <row r="252">
      <c r="A252" s="359">
        <v>46097.9801196412</v>
      </c>
      <c r="B252" s="193" t="s">
        <v>2996</v>
      </c>
      <c r="C252" s="361">
        <v>42.0</v>
      </c>
      <c r="D252" s="193" t="s">
        <v>646</v>
      </c>
      <c r="E252" s="193" t="s">
        <v>23</v>
      </c>
      <c r="F252" s="193" t="s">
        <v>601</v>
      </c>
      <c r="G252" s="362">
        <v>45905.0</v>
      </c>
      <c r="H252" s="193"/>
      <c r="I252" s="193" t="s">
        <v>673</v>
      </c>
      <c r="J252" s="193" t="s">
        <v>675</v>
      </c>
      <c r="K252" s="193"/>
      <c r="L252" s="193" t="s">
        <v>677</v>
      </c>
      <c r="M252" s="193"/>
      <c r="N252" s="193"/>
      <c r="O252" s="362"/>
      <c r="P252" s="359"/>
      <c r="Q252" s="193"/>
      <c r="R252" s="193" t="b">
        <v>0</v>
      </c>
      <c r="S252" s="193"/>
    </row>
    <row r="253">
      <c r="A253" s="359">
        <v>46097.98017538195</v>
      </c>
      <c r="B253" s="193" t="s">
        <v>2996</v>
      </c>
      <c r="C253" s="361">
        <v>41.0</v>
      </c>
      <c r="D253" s="193" t="s">
        <v>646</v>
      </c>
      <c r="E253" s="193" t="s">
        <v>53</v>
      </c>
      <c r="F253" s="193" t="s">
        <v>601</v>
      </c>
      <c r="G253" s="362">
        <v>45909.0</v>
      </c>
      <c r="H253" s="193" t="s">
        <v>681</v>
      </c>
      <c r="I253" s="193" t="s">
        <v>682</v>
      </c>
      <c r="J253" s="193"/>
      <c r="K253" s="193" t="s">
        <v>683</v>
      </c>
      <c r="L253" s="193" t="s">
        <v>684</v>
      </c>
      <c r="M253" s="193"/>
      <c r="N253" s="193" t="s">
        <v>685</v>
      </c>
      <c r="O253" s="362"/>
      <c r="P253" s="359"/>
      <c r="Q253" s="193"/>
      <c r="R253" s="193" t="b">
        <v>0</v>
      </c>
      <c r="S253" s="193"/>
    </row>
    <row r="254">
      <c r="A254" s="359">
        <v>46097.98022275463</v>
      </c>
      <c r="B254" s="193" t="s">
        <v>2996</v>
      </c>
      <c r="C254" s="361">
        <v>40.0</v>
      </c>
      <c r="D254" s="193" t="s">
        <v>646</v>
      </c>
      <c r="E254" s="193" t="s">
        <v>53</v>
      </c>
      <c r="F254" s="193" t="s">
        <v>601</v>
      </c>
      <c r="G254" s="362">
        <v>45911.0</v>
      </c>
      <c r="H254" s="193" t="s">
        <v>688</v>
      </c>
      <c r="I254" s="193" t="s">
        <v>689</v>
      </c>
      <c r="J254" s="193" t="s">
        <v>690</v>
      </c>
      <c r="K254" s="193" t="s">
        <v>691</v>
      </c>
      <c r="L254" s="193" t="s">
        <v>669</v>
      </c>
      <c r="M254" s="193" t="s">
        <v>692</v>
      </c>
      <c r="N254" s="193" t="s">
        <v>693</v>
      </c>
      <c r="O254" s="362"/>
      <c r="P254" s="359"/>
      <c r="Q254" s="193"/>
      <c r="R254" s="193" t="b">
        <v>0</v>
      </c>
      <c r="S254" s="193"/>
    </row>
    <row r="255">
      <c r="A255" s="359">
        <v>46097.980269050924</v>
      </c>
      <c r="B255" s="193" t="s">
        <v>2996</v>
      </c>
      <c r="C255" s="361">
        <v>24.0</v>
      </c>
      <c r="D255" s="193" t="s">
        <v>621</v>
      </c>
      <c r="E255" s="193" t="s">
        <v>23</v>
      </c>
      <c r="F255" s="193" t="s">
        <v>601</v>
      </c>
      <c r="G255" s="362">
        <v>45821.0</v>
      </c>
      <c r="H255" s="193" t="s">
        <v>699</v>
      </c>
      <c r="I255" s="193" t="s">
        <v>700</v>
      </c>
      <c r="J255" s="193" t="s">
        <v>701</v>
      </c>
      <c r="K255" s="193" t="s">
        <v>702</v>
      </c>
      <c r="L255" s="193" t="s">
        <v>409</v>
      </c>
      <c r="M255" s="193" t="s">
        <v>703</v>
      </c>
      <c r="N255" s="193" t="s">
        <v>704</v>
      </c>
      <c r="O255" s="362"/>
      <c r="P255" s="359"/>
      <c r="Q255" s="193"/>
      <c r="R255" s="193" t="b">
        <v>0</v>
      </c>
      <c r="S255" s="193"/>
    </row>
    <row r="256">
      <c r="A256" s="359">
        <v>46097.9803433912</v>
      </c>
      <c r="B256" s="193" t="s">
        <v>2996</v>
      </c>
      <c r="C256" s="361">
        <v>23.0</v>
      </c>
      <c r="D256" s="193" t="s">
        <v>621</v>
      </c>
      <c r="E256" s="193" t="s">
        <v>53</v>
      </c>
      <c r="F256" s="193" t="s">
        <v>601</v>
      </c>
      <c r="G256" s="362">
        <v>45819.0</v>
      </c>
      <c r="H256" s="193" t="s">
        <v>705</v>
      </c>
      <c r="I256" s="193" t="s">
        <v>706</v>
      </c>
      <c r="J256" s="193" t="s">
        <v>707</v>
      </c>
      <c r="K256" s="193"/>
      <c r="L256" s="193"/>
      <c r="M256" s="193" t="s">
        <v>710</v>
      </c>
      <c r="N256" s="193" t="s">
        <v>712</v>
      </c>
      <c r="O256" s="362"/>
      <c r="P256" s="359"/>
      <c r="Q256" s="193"/>
      <c r="R256" s="193" t="b">
        <v>0</v>
      </c>
      <c r="S256" s="193"/>
    </row>
    <row r="257">
      <c r="A257" s="359">
        <v>46097.98038083334</v>
      </c>
      <c r="B257" s="193" t="s">
        <v>2996</v>
      </c>
      <c r="C257" s="361">
        <v>22.0</v>
      </c>
      <c r="D257" s="193" t="s">
        <v>621</v>
      </c>
      <c r="E257" s="193" t="s">
        <v>53</v>
      </c>
      <c r="F257" s="193" t="s">
        <v>601</v>
      </c>
      <c r="G257" s="362">
        <v>45819.0</v>
      </c>
      <c r="H257" s="193" t="s">
        <v>715</v>
      </c>
      <c r="I257" s="193" t="s">
        <v>716</v>
      </c>
      <c r="J257" s="193" t="s">
        <v>717</v>
      </c>
      <c r="K257" s="193" t="s">
        <v>718</v>
      </c>
      <c r="L257" s="193" t="s">
        <v>719</v>
      </c>
      <c r="M257" s="193" t="s">
        <v>720</v>
      </c>
      <c r="N257" s="193" t="s">
        <v>721</v>
      </c>
      <c r="O257" s="362"/>
      <c r="P257" s="359"/>
      <c r="Q257" s="193"/>
      <c r="R257" s="193" t="b">
        <v>0</v>
      </c>
      <c r="S257" s="193"/>
    </row>
    <row r="258">
      <c r="A258" s="359">
        <v>46097.98041675926</v>
      </c>
      <c r="B258" s="193" t="s">
        <v>2996</v>
      </c>
      <c r="C258" s="361">
        <v>21.0</v>
      </c>
      <c r="D258" s="193" t="s">
        <v>621</v>
      </c>
      <c r="E258" s="193" t="s">
        <v>53</v>
      </c>
      <c r="F258" s="193" t="s">
        <v>601</v>
      </c>
      <c r="G258" s="362">
        <v>45812.0</v>
      </c>
      <c r="H258" s="193" t="s">
        <v>723</v>
      </c>
      <c r="I258" s="193" t="s">
        <v>725</v>
      </c>
      <c r="J258" s="193" t="s">
        <v>727</v>
      </c>
      <c r="K258" s="193"/>
      <c r="L258" s="193"/>
      <c r="M258" s="193" t="s">
        <v>729</v>
      </c>
      <c r="N258" s="193" t="s">
        <v>731</v>
      </c>
      <c r="O258" s="362"/>
      <c r="P258" s="359"/>
      <c r="Q258" s="193"/>
      <c r="R258" s="193" t="b">
        <v>0</v>
      </c>
      <c r="S258" s="193"/>
    </row>
    <row r="259">
      <c r="A259" s="359">
        <v>46097.98047064815</v>
      </c>
      <c r="B259" s="193" t="s">
        <v>2996</v>
      </c>
      <c r="C259" s="361">
        <v>20.0</v>
      </c>
      <c r="D259" s="193" t="s">
        <v>621</v>
      </c>
      <c r="E259" s="193" t="s">
        <v>23</v>
      </c>
      <c r="F259" s="193" t="s">
        <v>601</v>
      </c>
      <c r="G259" s="362">
        <v>45812.0</v>
      </c>
      <c r="H259" s="193" t="s">
        <v>732</v>
      </c>
      <c r="I259" s="193" t="s">
        <v>733</v>
      </c>
      <c r="J259" s="193" t="s">
        <v>734</v>
      </c>
      <c r="K259" s="193"/>
      <c r="L259" s="193" t="s">
        <v>735</v>
      </c>
      <c r="M259" s="193" t="s">
        <v>736</v>
      </c>
      <c r="N259" s="193" t="s">
        <v>737</v>
      </c>
      <c r="O259" s="362"/>
      <c r="P259" s="359"/>
      <c r="Q259" s="193"/>
      <c r="R259" s="193" t="b">
        <v>0</v>
      </c>
      <c r="S259" s="193"/>
    </row>
    <row r="260">
      <c r="A260" s="359">
        <v>46097.98052172454</v>
      </c>
      <c r="B260" s="193" t="s">
        <v>2996</v>
      </c>
      <c r="C260" s="361">
        <v>19.0</v>
      </c>
      <c r="D260" s="193" t="s">
        <v>621</v>
      </c>
      <c r="E260" s="193" t="s">
        <v>23</v>
      </c>
      <c r="F260" s="193" t="s">
        <v>601</v>
      </c>
      <c r="G260" s="362">
        <v>45810.0</v>
      </c>
      <c r="H260" s="193" t="s">
        <v>742</v>
      </c>
      <c r="I260" s="193" t="s">
        <v>743</v>
      </c>
      <c r="J260" s="193" t="s">
        <v>744</v>
      </c>
      <c r="K260" s="193" t="s">
        <v>746</v>
      </c>
      <c r="L260" s="193" t="s">
        <v>747</v>
      </c>
      <c r="M260" s="193" t="s">
        <v>748</v>
      </c>
      <c r="N260" s="193" t="s">
        <v>749</v>
      </c>
      <c r="O260" s="362"/>
      <c r="P260" s="359"/>
      <c r="Q260" s="193"/>
      <c r="R260" s="193" t="b">
        <v>0</v>
      </c>
      <c r="S260" s="193"/>
    </row>
    <row r="261">
      <c r="A261" s="359">
        <v>46097.98057730324</v>
      </c>
      <c r="B261" s="193" t="s">
        <v>2996</v>
      </c>
      <c r="C261" s="361">
        <v>18.0</v>
      </c>
      <c r="D261" s="193" t="s">
        <v>621</v>
      </c>
      <c r="E261" s="193" t="s">
        <v>19</v>
      </c>
      <c r="F261" s="193" t="s">
        <v>601</v>
      </c>
      <c r="G261" s="362">
        <v>45810.0</v>
      </c>
      <c r="H261" s="193" t="s">
        <v>751</v>
      </c>
      <c r="I261" s="193" t="s">
        <v>752</v>
      </c>
      <c r="J261" s="193" t="s">
        <v>753</v>
      </c>
      <c r="K261" s="193" t="s">
        <v>754</v>
      </c>
      <c r="L261" s="193"/>
      <c r="M261" s="193" t="s">
        <v>755</v>
      </c>
      <c r="N261" s="193" t="s">
        <v>756</v>
      </c>
      <c r="O261" s="362"/>
      <c r="P261" s="359"/>
      <c r="Q261" s="193"/>
      <c r="R261" s="193" t="b">
        <v>0</v>
      </c>
      <c r="S261" s="193"/>
    </row>
    <row r="262">
      <c r="A262" s="359">
        <v>46097.9806187037</v>
      </c>
      <c r="B262" s="193" t="s">
        <v>2996</v>
      </c>
      <c r="C262" s="361">
        <v>17.0</v>
      </c>
      <c r="D262" s="193" t="s">
        <v>621</v>
      </c>
      <c r="E262" s="193" t="s">
        <v>23</v>
      </c>
      <c r="F262" s="193" t="s">
        <v>601</v>
      </c>
      <c r="G262" s="362">
        <v>45806.0</v>
      </c>
      <c r="H262" s="193" t="s">
        <v>758</v>
      </c>
      <c r="I262" s="193" t="s">
        <v>759</v>
      </c>
      <c r="J262" s="193" t="s">
        <v>760</v>
      </c>
      <c r="K262" s="193" t="s">
        <v>761</v>
      </c>
      <c r="L262" s="193" t="s">
        <v>762</v>
      </c>
      <c r="M262" s="193" t="s">
        <v>763</v>
      </c>
      <c r="N262" s="193" t="s">
        <v>764</v>
      </c>
      <c r="O262" s="362"/>
      <c r="P262" s="359"/>
      <c r="Q262" s="193"/>
      <c r="R262" s="193" t="b">
        <v>0</v>
      </c>
      <c r="S262" s="193"/>
    </row>
    <row r="263">
      <c r="A263" s="359">
        <v>46097.98067521991</v>
      </c>
      <c r="B263" s="193" t="s">
        <v>2996</v>
      </c>
      <c r="C263" s="361">
        <v>16.0</v>
      </c>
      <c r="D263" s="193" t="s">
        <v>621</v>
      </c>
      <c r="E263" s="193" t="s">
        <v>53</v>
      </c>
      <c r="F263" s="193" t="s">
        <v>601</v>
      </c>
      <c r="G263" s="362">
        <v>45805.0</v>
      </c>
      <c r="H263" s="193" t="s">
        <v>765</v>
      </c>
      <c r="I263" s="193" t="s">
        <v>766</v>
      </c>
      <c r="J263" s="193" t="s">
        <v>767</v>
      </c>
      <c r="K263" s="193" t="s">
        <v>768</v>
      </c>
      <c r="L263" s="193"/>
      <c r="M263" s="193" t="s">
        <v>769</v>
      </c>
      <c r="N263" s="193"/>
      <c r="O263" s="362"/>
      <c r="P263" s="359"/>
      <c r="Q263" s="193"/>
      <c r="R263" s="193" t="b">
        <v>0</v>
      </c>
      <c r="S263" s="193"/>
    </row>
    <row r="264">
      <c r="A264" s="359">
        <v>46097.98071782407</v>
      </c>
      <c r="B264" s="193" t="s">
        <v>2996</v>
      </c>
      <c r="C264" s="361">
        <v>15.0</v>
      </c>
      <c r="D264" s="193" t="s">
        <v>621</v>
      </c>
      <c r="E264" s="193" t="s">
        <v>23</v>
      </c>
      <c r="F264" s="193" t="s">
        <v>601</v>
      </c>
      <c r="G264" s="362">
        <v>45799.0</v>
      </c>
      <c r="H264" s="193" t="s">
        <v>770</v>
      </c>
      <c r="I264" s="193" t="s">
        <v>771</v>
      </c>
      <c r="J264" s="193" t="s">
        <v>772</v>
      </c>
      <c r="K264" s="193" t="s">
        <v>773</v>
      </c>
      <c r="L264" s="193" t="s">
        <v>774</v>
      </c>
      <c r="M264" s="193" t="s">
        <v>775</v>
      </c>
      <c r="N264" s="193" t="s">
        <v>776</v>
      </c>
      <c r="O264" s="362"/>
      <c r="P264" s="359"/>
      <c r="Q264" s="193"/>
      <c r="R264" s="193" t="b">
        <v>0</v>
      </c>
      <c r="S264" s="193"/>
    </row>
    <row r="265">
      <c r="A265" s="359">
        <v>46097.980777453704</v>
      </c>
      <c r="B265" s="193" t="s">
        <v>2996</v>
      </c>
      <c r="C265" s="361">
        <v>14.0</v>
      </c>
      <c r="D265" s="193" t="s">
        <v>621</v>
      </c>
      <c r="E265" s="193" t="s">
        <v>23</v>
      </c>
      <c r="F265" s="193" t="s">
        <v>601</v>
      </c>
      <c r="G265" s="362">
        <v>45799.0</v>
      </c>
      <c r="H265" s="193" t="s">
        <v>777</v>
      </c>
      <c r="I265" s="193" t="s">
        <v>778</v>
      </c>
      <c r="J265" s="193" t="s">
        <v>779</v>
      </c>
      <c r="K265" s="193"/>
      <c r="L265" s="193" t="s">
        <v>780</v>
      </c>
      <c r="M265" s="193" t="s">
        <v>781</v>
      </c>
      <c r="N265" s="193" t="s">
        <v>64</v>
      </c>
      <c r="O265" s="362"/>
      <c r="P265" s="359"/>
      <c r="Q265" s="193"/>
      <c r="R265" s="193" t="b">
        <v>0</v>
      </c>
      <c r="S265" s="193"/>
    </row>
    <row r="266">
      <c r="A266" s="359">
        <v>46097.98082596065</v>
      </c>
      <c r="B266" s="193" t="s">
        <v>2996</v>
      </c>
      <c r="C266" s="361">
        <v>13.0</v>
      </c>
      <c r="D266" s="193" t="s">
        <v>621</v>
      </c>
      <c r="E266" s="193" t="s">
        <v>23</v>
      </c>
      <c r="F266" s="193" t="s">
        <v>601</v>
      </c>
      <c r="G266" s="362">
        <v>45799.0</v>
      </c>
      <c r="H266" s="193" t="s">
        <v>782</v>
      </c>
      <c r="I266" s="193" t="s">
        <v>783</v>
      </c>
      <c r="J266" s="193" t="s">
        <v>784</v>
      </c>
      <c r="K266" s="193" t="s">
        <v>785</v>
      </c>
      <c r="L266" s="193" t="s">
        <v>786</v>
      </c>
      <c r="M266" s="193" t="s">
        <v>787</v>
      </c>
      <c r="N266" s="193" t="s">
        <v>788</v>
      </c>
      <c r="O266" s="362"/>
      <c r="P266" s="359"/>
      <c r="Q266" s="193"/>
      <c r="R266" s="193" t="b">
        <v>0</v>
      </c>
      <c r="S266" s="193"/>
    </row>
    <row r="267">
      <c r="A267" s="359">
        <v>46098.735769189814</v>
      </c>
      <c r="B267" s="193" t="s">
        <v>3116</v>
      </c>
      <c r="C267" s="361">
        <v>13.0</v>
      </c>
      <c r="D267" s="193" t="s">
        <v>410</v>
      </c>
      <c r="E267" s="193" t="s">
        <v>19</v>
      </c>
      <c r="F267" s="193" t="s">
        <v>24</v>
      </c>
      <c r="G267" s="362">
        <v>46098.0</v>
      </c>
      <c r="H267" s="193" t="s">
        <v>4222</v>
      </c>
      <c r="I267" s="193" t="s">
        <v>4223</v>
      </c>
      <c r="J267" s="193" t="s">
        <v>4225</v>
      </c>
      <c r="K267" s="193" t="s">
        <v>4226</v>
      </c>
      <c r="L267" s="193" t="s">
        <v>4227</v>
      </c>
      <c r="M267" s="193" t="s">
        <v>4839</v>
      </c>
      <c r="N267" s="193"/>
      <c r="O267" s="362"/>
      <c r="P267" s="359"/>
      <c r="Q267" s="193"/>
      <c r="R267" s="193" t="b">
        <v>0</v>
      </c>
      <c r="S267" s="193"/>
    </row>
    <row r="268">
      <c r="A268" s="359">
        <v>46098.895325046295</v>
      </c>
      <c r="B268" s="193" t="s">
        <v>2996</v>
      </c>
      <c r="C268" s="361">
        <v>30.0</v>
      </c>
      <c r="D268" s="193" t="s">
        <v>789</v>
      </c>
      <c r="E268" s="193" t="s">
        <v>23</v>
      </c>
      <c r="F268" s="193" t="s">
        <v>601</v>
      </c>
      <c r="G268" s="362">
        <v>45910.0</v>
      </c>
      <c r="H268" s="193" t="s">
        <v>790</v>
      </c>
      <c r="I268" s="193" t="s">
        <v>791</v>
      </c>
      <c r="J268" s="193"/>
      <c r="K268" s="193" t="s">
        <v>792</v>
      </c>
      <c r="L268" s="193" t="s">
        <v>156</v>
      </c>
      <c r="M268" s="193" t="s">
        <v>793</v>
      </c>
      <c r="N268" s="193"/>
      <c r="O268" s="362"/>
      <c r="P268" s="359"/>
      <c r="Q268" s="193"/>
      <c r="R268" s="193" t="b">
        <v>0</v>
      </c>
      <c r="S268" s="193"/>
    </row>
    <row r="269">
      <c r="A269" s="359">
        <v>46098.89545056713</v>
      </c>
      <c r="B269" s="193" t="s">
        <v>2996</v>
      </c>
      <c r="C269" s="361">
        <v>28.0</v>
      </c>
      <c r="D269" s="193" t="s">
        <v>794</v>
      </c>
      <c r="E269" s="193" t="s">
        <v>53</v>
      </c>
      <c r="F269" s="193" t="s">
        <v>601</v>
      </c>
      <c r="G269" s="362">
        <v>45918.0</v>
      </c>
      <c r="H269" s="193" t="s">
        <v>795</v>
      </c>
      <c r="I269" s="193" t="s">
        <v>797</v>
      </c>
      <c r="J269" s="193" t="s">
        <v>799</v>
      </c>
      <c r="K269" s="193"/>
      <c r="L269" s="193" t="s">
        <v>801</v>
      </c>
      <c r="M269" s="193" t="s">
        <v>802</v>
      </c>
      <c r="N269" s="193" t="s">
        <v>803</v>
      </c>
      <c r="O269" s="362"/>
      <c r="P269" s="359"/>
      <c r="Q269" s="193"/>
      <c r="R269" s="193" t="b">
        <v>0</v>
      </c>
      <c r="S269" s="193"/>
    </row>
    <row r="270">
      <c r="A270" s="359">
        <v>46098.895536192125</v>
      </c>
      <c r="B270" s="193" t="s">
        <v>2996</v>
      </c>
      <c r="C270" s="361">
        <v>18.0</v>
      </c>
      <c r="D270" s="193" t="s">
        <v>805</v>
      </c>
      <c r="E270" s="193" t="s">
        <v>23</v>
      </c>
      <c r="F270" s="193" t="s">
        <v>601</v>
      </c>
      <c r="G270" s="362">
        <v>45856.0</v>
      </c>
      <c r="H270" s="193" t="s">
        <v>806</v>
      </c>
      <c r="I270" s="193" t="s">
        <v>807</v>
      </c>
      <c r="J270" s="193" t="s">
        <v>808</v>
      </c>
      <c r="K270" s="193" t="s">
        <v>809</v>
      </c>
      <c r="L270" s="193" t="s">
        <v>810</v>
      </c>
      <c r="M270" s="193" t="s">
        <v>811</v>
      </c>
      <c r="N270" s="193" t="s">
        <v>813</v>
      </c>
      <c r="O270" s="362"/>
      <c r="P270" s="359"/>
      <c r="Q270" s="193"/>
      <c r="R270" s="193" t="b">
        <v>0</v>
      </c>
      <c r="S270" s="193"/>
    </row>
    <row r="271">
      <c r="A271" s="359">
        <v>46098.89662734953</v>
      </c>
      <c r="B271" s="193" t="s">
        <v>2996</v>
      </c>
      <c r="C271" s="361">
        <v>41.0</v>
      </c>
      <c r="D271" s="193" t="s">
        <v>815</v>
      </c>
      <c r="E271" s="193" t="s">
        <v>53</v>
      </c>
      <c r="F271" s="193" t="s">
        <v>601</v>
      </c>
      <c r="G271" s="362">
        <v>45985.0</v>
      </c>
      <c r="H271" s="193" t="s">
        <v>816</v>
      </c>
      <c r="I271" s="193" t="s">
        <v>817</v>
      </c>
      <c r="J271" s="193" t="s">
        <v>818</v>
      </c>
      <c r="K271" s="193" t="s">
        <v>819</v>
      </c>
      <c r="L271" s="193" t="s">
        <v>820</v>
      </c>
      <c r="M271" s="193" t="s">
        <v>821</v>
      </c>
      <c r="N271" s="193" t="s">
        <v>822</v>
      </c>
      <c r="O271" s="362"/>
      <c r="P271" s="359"/>
      <c r="Q271" s="193"/>
      <c r="R271" s="193" t="b">
        <v>0</v>
      </c>
      <c r="S271" s="193"/>
    </row>
    <row r="272">
      <c r="A272" s="359">
        <v>46098.896685416665</v>
      </c>
      <c r="B272" s="193" t="s">
        <v>2996</v>
      </c>
      <c r="C272" s="361">
        <v>34.0</v>
      </c>
      <c r="D272" s="193" t="s">
        <v>0</v>
      </c>
      <c r="E272" s="193" t="s">
        <v>23</v>
      </c>
      <c r="F272" s="193" t="s">
        <v>601</v>
      </c>
      <c r="G272" s="362">
        <v>45939.0</v>
      </c>
      <c r="H272" s="193" t="s">
        <v>823</v>
      </c>
      <c r="I272" s="193" t="s">
        <v>824</v>
      </c>
      <c r="J272" s="193"/>
      <c r="K272" s="193" t="s">
        <v>825</v>
      </c>
      <c r="L272" s="193" t="s">
        <v>826</v>
      </c>
      <c r="M272" s="193" t="s">
        <v>827</v>
      </c>
      <c r="N272" s="193" t="s">
        <v>828</v>
      </c>
      <c r="O272" s="362"/>
      <c r="P272" s="359"/>
      <c r="Q272" s="193"/>
      <c r="R272" s="193" t="b">
        <v>0</v>
      </c>
      <c r="S272" s="193"/>
    </row>
    <row r="273">
      <c r="A273" s="359">
        <v>46104.67657971065</v>
      </c>
      <c r="B273" s="193" t="s">
        <v>3116</v>
      </c>
      <c r="C273" s="361">
        <v>19.0</v>
      </c>
      <c r="D273" s="193" t="s">
        <v>17</v>
      </c>
      <c r="E273" s="193" t="s">
        <v>19</v>
      </c>
      <c r="F273" s="193" t="s">
        <v>1451</v>
      </c>
      <c r="G273" s="362">
        <v>46100.0</v>
      </c>
      <c r="H273" s="193" t="s">
        <v>3873</v>
      </c>
      <c r="I273" s="193" t="s">
        <v>3874</v>
      </c>
      <c r="J273" s="193" t="s">
        <v>3875</v>
      </c>
      <c r="K273" s="193" t="s">
        <v>3877</v>
      </c>
      <c r="L273" s="193" t="s">
        <v>3878</v>
      </c>
      <c r="M273" s="193" t="s">
        <v>3879</v>
      </c>
      <c r="N273" s="193"/>
      <c r="O273" s="362"/>
      <c r="P273" s="359"/>
      <c r="Q273" s="193"/>
      <c r="R273" s="193" t="b">
        <v>0</v>
      </c>
      <c r="S273" s="193"/>
    </row>
    <row r="274">
      <c r="A274" s="359">
        <v>46105.829332442125</v>
      </c>
      <c r="B274" s="193" t="s">
        <v>3116</v>
      </c>
      <c r="C274" s="361">
        <v>3.0</v>
      </c>
      <c r="D274" s="193" t="s">
        <v>4863</v>
      </c>
      <c r="E274" s="193" t="s">
        <v>225</v>
      </c>
      <c r="F274" s="193" t="s">
        <v>1451</v>
      </c>
      <c r="G274" s="362">
        <v>46080.0</v>
      </c>
      <c r="H274" s="193" t="s">
        <v>2007</v>
      </c>
      <c r="I274" s="193" t="s">
        <v>2009</v>
      </c>
      <c r="J274" s="193" t="s">
        <v>2010</v>
      </c>
      <c r="K274" s="193" t="s">
        <v>2013</v>
      </c>
      <c r="L274" s="193" t="s">
        <v>2020</v>
      </c>
      <c r="M274" s="193" t="s">
        <v>4867</v>
      </c>
      <c r="N274" s="193" t="s">
        <v>4869</v>
      </c>
      <c r="O274" s="362"/>
      <c r="P274" s="359">
        <v>46105.82894175926</v>
      </c>
      <c r="Q274" s="193"/>
      <c r="R274" s="193" t="b">
        <v>0</v>
      </c>
      <c r="S274" s="193"/>
    </row>
    <row r="275">
      <c r="A275" s="359">
        <v>46105.9369902662</v>
      </c>
      <c r="B275" s="193" t="s">
        <v>3116</v>
      </c>
      <c r="C275" s="361">
        <v>13.0</v>
      </c>
      <c r="D275" s="193" t="s">
        <v>22</v>
      </c>
      <c r="E275" s="193" t="s">
        <v>23</v>
      </c>
      <c r="F275" s="193" t="s">
        <v>1451</v>
      </c>
      <c r="G275" s="362">
        <v>46098.0</v>
      </c>
      <c r="H275" s="193" t="s">
        <v>3887</v>
      </c>
      <c r="I275" s="193" t="s">
        <v>3888</v>
      </c>
      <c r="J275" s="193" t="s">
        <v>3889</v>
      </c>
      <c r="K275" s="193" t="s">
        <v>3891</v>
      </c>
      <c r="L275" s="193" t="s">
        <v>3892</v>
      </c>
      <c r="M275" s="193" t="s">
        <v>4878</v>
      </c>
      <c r="N275" s="193" t="s">
        <v>4880</v>
      </c>
      <c r="O275" s="362"/>
      <c r="P275" s="359">
        <v>46105.93520317129</v>
      </c>
      <c r="Q275" s="193"/>
      <c r="R275" s="193" t="b">
        <v>0</v>
      </c>
      <c r="S275" s="193"/>
    </row>
    <row r="276">
      <c r="A276" s="359">
        <v>46108.823728020834</v>
      </c>
      <c r="B276" s="193" t="s">
        <v>21</v>
      </c>
      <c r="C276" s="361">
        <v>3.0</v>
      </c>
      <c r="D276" s="193" t="s">
        <v>2992</v>
      </c>
      <c r="E276" s="193" t="s">
        <v>19</v>
      </c>
      <c r="F276" s="193" t="s">
        <v>1410</v>
      </c>
      <c r="G276" s="362">
        <v>45978.0</v>
      </c>
      <c r="H276" s="193" t="s">
        <v>3352</v>
      </c>
      <c r="I276" s="193" t="s">
        <v>3353</v>
      </c>
      <c r="J276" s="193" t="s">
        <v>3355</v>
      </c>
      <c r="K276" s="193" t="s">
        <v>3356</v>
      </c>
      <c r="L276" s="193" t="s">
        <v>3359</v>
      </c>
      <c r="M276" s="193" t="s">
        <v>3360</v>
      </c>
      <c r="N276" s="193" t="s">
        <v>4887</v>
      </c>
      <c r="O276" s="362"/>
      <c r="P276" s="359">
        <v>46090.98028754629</v>
      </c>
      <c r="Q276" s="193"/>
      <c r="R276" s="193" t="b">
        <v>0</v>
      </c>
      <c r="S276" s="193"/>
    </row>
    <row r="277">
      <c r="A277" s="359">
        <v>46112.68355872685</v>
      </c>
      <c r="B277" s="193" t="s">
        <v>3116</v>
      </c>
      <c r="C277" s="361">
        <v>26.0</v>
      </c>
      <c r="D277" s="193" t="s">
        <v>17</v>
      </c>
      <c r="E277" s="193" t="s">
        <v>225</v>
      </c>
      <c r="F277" s="193" t="s">
        <v>1451</v>
      </c>
      <c r="G277" s="362">
        <v>46108.0</v>
      </c>
      <c r="H277" s="193" t="s">
        <v>3910</v>
      </c>
      <c r="I277" s="193" t="s">
        <v>3912</v>
      </c>
      <c r="J277" s="193" t="s">
        <v>4897</v>
      </c>
      <c r="K277" s="193" t="s">
        <v>4898</v>
      </c>
      <c r="L277" s="193" t="s">
        <v>1508</v>
      </c>
      <c r="M277" s="193" t="s">
        <v>4900</v>
      </c>
      <c r="N277" s="193"/>
      <c r="O277" s="362"/>
      <c r="P277" s="359"/>
      <c r="Q277" s="193"/>
      <c r="R277" s="193" t="b">
        <v>0</v>
      </c>
      <c r="S277" s="193"/>
    </row>
    <row r="278">
      <c r="A278" s="359">
        <v>46112.89538563657</v>
      </c>
      <c r="B278" s="193" t="s">
        <v>2996</v>
      </c>
      <c r="C278" s="361">
        <v>84.0</v>
      </c>
      <c r="D278" s="193" t="s">
        <v>22</v>
      </c>
      <c r="E278" s="193" t="s">
        <v>53</v>
      </c>
      <c r="F278" s="193" t="s">
        <v>1451</v>
      </c>
      <c r="G278" s="362">
        <v>46091.0</v>
      </c>
      <c r="H278" s="193" t="s">
        <v>3927</v>
      </c>
      <c r="I278" s="193" t="s">
        <v>3929</v>
      </c>
      <c r="J278" s="193" t="s">
        <v>3930</v>
      </c>
      <c r="K278" s="193" t="s">
        <v>3931</v>
      </c>
      <c r="L278" s="193" t="s">
        <v>3932</v>
      </c>
      <c r="M278" s="193" t="s">
        <v>4911</v>
      </c>
      <c r="N278" s="193" t="s">
        <v>4913</v>
      </c>
      <c r="O278" s="362"/>
      <c r="P278" s="359">
        <v>46112.89476188658</v>
      </c>
      <c r="Q278" s="193"/>
      <c r="R278" s="193" t="b">
        <v>0</v>
      </c>
      <c r="S278" s="193"/>
    </row>
    <row r="279">
      <c r="A279" s="359">
        <v>46112.89660412037</v>
      </c>
      <c r="B279" s="193" t="s">
        <v>2996</v>
      </c>
      <c r="C279" s="361">
        <v>46.0</v>
      </c>
      <c r="D279" s="193" t="s">
        <v>17</v>
      </c>
      <c r="E279" s="193" t="s">
        <v>587</v>
      </c>
      <c r="F279" s="193" t="s">
        <v>34</v>
      </c>
      <c r="G279" s="362">
        <v>46008.0</v>
      </c>
      <c r="H279" s="193" t="s">
        <v>1948</v>
      </c>
      <c r="I279" s="193" t="s">
        <v>1951</v>
      </c>
      <c r="J279" s="193" t="s">
        <v>1952</v>
      </c>
      <c r="K279" s="193"/>
      <c r="L279" s="193"/>
      <c r="M279" s="193"/>
      <c r="N279" s="193"/>
      <c r="O279" s="362"/>
      <c r="P279" s="359"/>
      <c r="Q279" s="193"/>
      <c r="R279" s="193" t="b">
        <v>0</v>
      </c>
      <c r="S279" s="193"/>
    </row>
    <row r="280">
      <c r="A280" s="359">
        <v>46112.905783194445</v>
      </c>
      <c r="B280" s="193" t="s">
        <v>2996</v>
      </c>
      <c r="C280" s="361">
        <v>41.0</v>
      </c>
      <c r="D280" s="193" t="s">
        <v>18</v>
      </c>
      <c r="E280" s="193" t="s">
        <v>19</v>
      </c>
      <c r="F280" s="193" t="s">
        <v>867</v>
      </c>
      <c r="G280" s="362">
        <v>45992.0</v>
      </c>
      <c r="H280" s="193" t="s">
        <v>1956</v>
      </c>
      <c r="I280" s="193" t="s">
        <v>1958</v>
      </c>
      <c r="J280" s="193" t="s">
        <v>1960</v>
      </c>
      <c r="K280" s="193" t="s">
        <v>1962</v>
      </c>
      <c r="L280" s="193" t="s">
        <v>1963</v>
      </c>
      <c r="M280" s="193" t="s">
        <v>1965</v>
      </c>
      <c r="N280" s="193" t="s">
        <v>1966</v>
      </c>
      <c r="O280" s="362"/>
      <c r="P280" s="359">
        <v>46112.90381523148</v>
      </c>
      <c r="Q280" s="193"/>
      <c r="R280" s="193" t="b">
        <v>0</v>
      </c>
      <c r="S280" s="193"/>
    </row>
    <row r="281">
      <c r="A281" s="359">
        <v>46112.93350637732</v>
      </c>
      <c r="B281" s="193" t="s">
        <v>2996</v>
      </c>
      <c r="C281" s="361">
        <v>18.0</v>
      </c>
      <c r="D281" s="193" t="s">
        <v>22</v>
      </c>
      <c r="E281" s="193" t="s">
        <v>19</v>
      </c>
      <c r="F281" s="193" t="s">
        <v>867</v>
      </c>
      <c r="G281" s="362">
        <v>45869.0</v>
      </c>
      <c r="H281" s="193" t="s">
        <v>1977</v>
      </c>
      <c r="I281" s="193" t="s">
        <v>1979</v>
      </c>
      <c r="J281" s="193" t="s">
        <v>1980</v>
      </c>
      <c r="K281" s="193" t="s">
        <v>1981</v>
      </c>
      <c r="L281" s="193" t="s">
        <v>810</v>
      </c>
      <c r="M281" s="193" t="s">
        <v>1983</v>
      </c>
      <c r="N281" s="193" t="s">
        <v>1984</v>
      </c>
      <c r="O281" s="362"/>
      <c r="P281" s="359">
        <v>46112.93044319445</v>
      </c>
      <c r="Q281" s="193"/>
      <c r="R281" s="193" t="b">
        <v>0</v>
      </c>
      <c r="S281" s="193"/>
    </row>
    <row r="282">
      <c r="A282" s="359">
        <v>46112.933567314816</v>
      </c>
      <c r="B282" s="193" t="s">
        <v>2996</v>
      </c>
      <c r="C282" s="361">
        <v>11.0</v>
      </c>
      <c r="D282" s="193" t="s">
        <v>17</v>
      </c>
      <c r="E282" s="193" t="s">
        <v>53</v>
      </c>
      <c r="F282" s="193" t="s">
        <v>867</v>
      </c>
      <c r="G282" s="362">
        <v>45778.0</v>
      </c>
      <c r="H282" s="193" t="s">
        <v>1993</v>
      </c>
      <c r="I282" s="193" t="s">
        <v>1995</v>
      </c>
      <c r="J282" s="193" t="s">
        <v>1997</v>
      </c>
      <c r="K282" s="193" t="s">
        <v>2000</v>
      </c>
      <c r="L282" s="193" t="s">
        <v>2003</v>
      </c>
      <c r="M282" s="193" t="s">
        <v>2005</v>
      </c>
      <c r="N282" s="193" t="s">
        <v>2008</v>
      </c>
      <c r="O282" s="362"/>
      <c r="P282" s="359">
        <v>46112.9301571875</v>
      </c>
      <c r="Q282" s="193"/>
      <c r="R282" s="193" t="b">
        <v>0</v>
      </c>
      <c r="S282" s="193"/>
    </row>
    <row r="283">
      <c r="A283" s="359">
        <v>46112.95432991898</v>
      </c>
      <c r="B283" s="193" t="s">
        <v>2996</v>
      </c>
      <c r="C283" s="361">
        <v>2.0</v>
      </c>
      <c r="D283" s="193" t="s">
        <v>410</v>
      </c>
      <c r="E283" s="193" t="s">
        <v>19</v>
      </c>
      <c r="F283" s="193" t="s">
        <v>867</v>
      </c>
      <c r="G283" s="362">
        <v>45595.0</v>
      </c>
      <c r="H283" s="193" t="s">
        <v>2024</v>
      </c>
      <c r="I283" s="193" t="s">
        <v>2026</v>
      </c>
      <c r="J283" s="193" t="s">
        <v>2027</v>
      </c>
      <c r="K283" s="193" t="s">
        <v>2028</v>
      </c>
      <c r="L283" s="193" t="s">
        <v>359</v>
      </c>
      <c r="M283" s="193" t="s">
        <v>2029</v>
      </c>
      <c r="N283" s="193" t="s">
        <v>4949</v>
      </c>
      <c r="O283" s="362"/>
      <c r="P283" s="359">
        <v>46112.953498483796</v>
      </c>
      <c r="Q283" s="193"/>
      <c r="R283" s="193" t="b">
        <v>0</v>
      </c>
      <c r="S283" s="193"/>
    </row>
    <row r="284">
      <c r="A284" s="359">
        <v>46114.77034491899</v>
      </c>
      <c r="B284" s="193" t="s">
        <v>2996</v>
      </c>
      <c r="C284" s="361">
        <v>40.0</v>
      </c>
      <c r="D284" s="193" t="s">
        <v>20</v>
      </c>
      <c r="E284" s="193" t="s">
        <v>19</v>
      </c>
      <c r="F284" s="193" t="s">
        <v>867</v>
      </c>
      <c r="G284" s="362">
        <v>46001.0</v>
      </c>
      <c r="H284" s="193" t="s">
        <v>2036</v>
      </c>
      <c r="I284" s="193" t="s">
        <v>2037</v>
      </c>
      <c r="J284" s="193"/>
      <c r="K284" s="193"/>
      <c r="L284" s="193" t="s">
        <v>883</v>
      </c>
      <c r="M284" s="193"/>
      <c r="N284" s="193"/>
      <c r="O284" s="362"/>
      <c r="P284" s="359"/>
      <c r="Q284" s="193"/>
      <c r="R284" s="193" t="b">
        <v>0</v>
      </c>
      <c r="S284" s="193"/>
    </row>
    <row r="285">
      <c r="A285" s="359">
        <v>46114.938260717594</v>
      </c>
      <c r="B285" s="193" t="s">
        <v>3116</v>
      </c>
      <c r="C285" s="361">
        <v>29.0</v>
      </c>
      <c r="D285" s="193" t="s">
        <v>410</v>
      </c>
      <c r="E285" s="193" t="s">
        <v>19</v>
      </c>
      <c r="F285" s="193" t="s">
        <v>867</v>
      </c>
      <c r="G285" s="362">
        <v>46113.0</v>
      </c>
      <c r="H285" s="193" t="s">
        <v>2044</v>
      </c>
      <c r="I285" s="193" t="s">
        <v>2045</v>
      </c>
      <c r="J285" s="193" t="s">
        <v>2046</v>
      </c>
      <c r="K285" s="193" t="s">
        <v>2047</v>
      </c>
      <c r="L285" s="193" t="s">
        <v>240</v>
      </c>
      <c r="M285" s="193" t="s">
        <v>2051</v>
      </c>
      <c r="N285" s="193" t="s">
        <v>4959</v>
      </c>
      <c r="O285" s="362"/>
      <c r="P285" s="359">
        <v>46114.84939721065</v>
      </c>
      <c r="Q285" s="193"/>
      <c r="R285" s="193" t="b">
        <v>0</v>
      </c>
      <c r="S285" s="193"/>
    </row>
    <row r="286">
      <c r="A286" s="359">
        <v>46118.742671932865</v>
      </c>
      <c r="B286" s="193" t="s">
        <v>3116</v>
      </c>
      <c r="C286" s="361">
        <v>24.0</v>
      </c>
      <c r="D286" s="193" t="s">
        <v>62</v>
      </c>
      <c r="E286" s="193" t="s">
        <v>19</v>
      </c>
      <c r="F286" s="193" t="s">
        <v>24</v>
      </c>
      <c r="G286" s="362">
        <v>46111.0</v>
      </c>
      <c r="H286" s="193" t="s">
        <v>1338</v>
      </c>
      <c r="I286" s="193" t="s">
        <v>1340</v>
      </c>
      <c r="J286" s="193" t="s">
        <v>1342</v>
      </c>
      <c r="K286" s="193" t="s">
        <v>1344</v>
      </c>
      <c r="L286" s="193" t="s">
        <v>1346</v>
      </c>
      <c r="M286" s="193"/>
      <c r="N286" s="193" t="s">
        <v>4967</v>
      </c>
      <c r="O286" s="362"/>
      <c r="P286" s="359">
        <v>46115.752210335646</v>
      </c>
      <c r="Q286" s="193"/>
      <c r="R286" s="193" t="b">
        <v>0</v>
      </c>
      <c r="S286" s="193"/>
    </row>
    <row r="287">
      <c r="A287" s="359">
        <v>46118.7772528125</v>
      </c>
      <c r="B287" s="193" t="s">
        <v>3116</v>
      </c>
      <c r="C287" s="361">
        <v>22.0</v>
      </c>
      <c r="D287" s="193" t="s">
        <v>410</v>
      </c>
      <c r="E287" s="193" t="s">
        <v>225</v>
      </c>
      <c r="F287" s="193" t="s">
        <v>34</v>
      </c>
      <c r="G287" s="362">
        <v>46108.0</v>
      </c>
      <c r="H287" s="193" t="s">
        <v>4489</v>
      </c>
      <c r="I287" s="193" t="s">
        <v>4490</v>
      </c>
      <c r="J287" s="193" t="s">
        <v>4491</v>
      </c>
      <c r="K287" s="193" t="s">
        <v>4493</v>
      </c>
      <c r="L287" s="193" t="s">
        <v>4391</v>
      </c>
      <c r="M287" s="193" t="s">
        <v>4972</v>
      </c>
      <c r="N287" s="193" t="s">
        <v>4974</v>
      </c>
      <c r="O287" s="362"/>
      <c r="P287" s="359">
        <v>46114.8448919213</v>
      </c>
      <c r="Q287" s="193"/>
      <c r="R287" s="193" t="b">
        <v>0</v>
      </c>
      <c r="S287" s="193"/>
    </row>
    <row r="288">
      <c r="A288" s="359">
        <v>46121.81547328703</v>
      </c>
      <c r="B288" s="193" t="s">
        <v>3116</v>
      </c>
      <c r="C288" s="361">
        <v>14.0</v>
      </c>
      <c r="D288" s="193" t="s">
        <v>22</v>
      </c>
      <c r="E288" s="193" t="s">
        <v>53</v>
      </c>
      <c r="F288" s="193" t="s">
        <v>360</v>
      </c>
      <c r="G288" s="362">
        <v>46100.0</v>
      </c>
      <c r="H288" s="193" t="s">
        <v>829</v>
      </c>
      <c r="I288" s="193" t="s">
        <v>830</v>
      </c>
      <c r="J288" s="193" t="s">
        <v>831</v>
      </c>
      <c r="K288" s="193" t="s">
        <v>4977</v>
      </c>
      <c r="L288" s="193" t="s">
        <v>762</v>
      </c>
      <c r="M288" s="193" t="s">
        <v>4978</v>
      </c>
      <c r="N288" s="193" t="s">
        <v>4979</v>
      </c>
      <c r="O288" s="362"/>
      <c r="P288" s="359">
        <v>46107.76856340277</v>
      </c>
      <c r="Q288" s="193"/>
      <c r="R288" s="193" t="b">
        <v>0</v>
      </c>
      <c r="S288" s="193"/>
    </row>
    <row r="289">
      <c r="A289" s="359">
        <v>46121.81556445602</v>
      </c>
      <c r="B289" s="193" t="s">
        <v>3116</v>
      </c>
      <c r="C289" s="361">
        <v>2.0</v>
      </c>
      <c r="D289" s="193" t="s">
        <v>22</v>
      </c>
      <c r="E289" s="193" t="s">
        <v>53</v>
      </c>
      <c r="F289" s="193" t="s">
        <v>867</v>
      </c>
      <c r="G289" s="362">
        <v>46056.0</v>
      </c>
      <c r="H289" s="193" t="s">
        <v>2062</v>
      </c>
      <c r="I289" s="193" t="s">
        <v>2064</v>
      </c>
      <c r="J289" s="193" t="s">
        <v>2066</v>
      </c>
      <c r="K289" s="193" t="s">
        <v>2067</v>
      </c>
      <c r="L289" s="193" t="s">
        <v>1092</v>
      </c>
      <c r="M289" s="193" t="s">
        <v>2068</v>
      </c>
      <c r="N289" s="193" t="s">
        <v>4983</v>
      </c>
      <c r="O289" s="362"/>
      <c r="P289" s="359">
        <v>46107.76638810185</v>
      </c>
      <c r="Q289" s="193"/>
      <c r="R289" s="193" t="b">
        <v>0</v>
      </c>
      <c r="S289" s="193"/>
    </row>
    <row r="290">
      <c r="A290" s="359">
        <v>46121.81895140046</v>
      </c>
      <c r="B290" s="193" t="s">
        <v>3116</v>
      </c>
      <c r="C290" s="361">
        <v>24.0</v>
      </c>
      <c r="D290" s="193" t="s">
        <v>17</v>
      </c>
      <c r="E290" s="193" t="s">
        <v>53</v>
      </c>
      <c r="F290" s="193" t="s">
        <v>1451</v>
      </c>
      <c r="G290" s="362">
        <v>46113.0</v>
      </c>
      <c r="H290" s="193" t="s">
        <v>3967</v>
      </c>
      <c r="I290" s="193" t="s">
        <v>3969</v>
      </c>
      <c r="J290" s="193" t="s">
        <v>4989</v>
      </c>
      <c r="K290" s="193" t="s">
        <v>3974</v>
      </c>
      <c r="L290" s="193" t="s">
        <v>3975</v>
      </c>
      <c r="M290" s="193" t="s">
        <v>3976</v>
      </c>
      <c r="N290" s="193" t="s">
        <v>4993</v>
      </c>
      <c r="O290" s="362"/>
      <c r="P290" s="359">
        <v>46121.75262837963</v>
      </c>
      <c r="Q290" s="193"/>
      <c r="R290" s="193" t="b">
        <v>0</v>
      </c>
      <c r="S290" s="193"/>
    </row>
    <row r="291">
      <c r="A291" s="359">
        <v>46121.82239418982</v>
      </c>
      <c r="B291" s="193" t="s">
        <v>3116</v>
      </c>
      <c r="C291" s="361">
        <v>16.0</v>
      </c>
      <c r="D291" s="193" t="s">
        <v>22</v>
      </c>
      <c r="E291" s="193" t="s">
        <v>53</v>
      </c>
      <c r="F291" s="193" t="s">
        <v>867</v>
      </c>
      <c r="G291" s="362">
        <v>46105.0</v>
      </c>
      <c r="H291" s="193" t="s">
        <v>2085</v>
      </c>
      <c r="I291" s="193" t="s">
        <v>2086</v>
      </c>
      <c r="J291" s="193" t="s">
        <v>2087</v>
      </c>
      <c r="K291" s="193" t="s">
        <v>2089</v>
      </c>
      <c r="L291" s="193" t="s">
        <v>269</v>
      </c>
      <c r="M291" s="193" t="s">
        <v>4995</v>
      </c>
      <c r="N291" s="193" t="s">
        <v>4997</v>
      </c>
      <c r="O291" s="362"/>
      <c r="P291" s="359">
        <v>46106.715583819445</v>
      </c>
      <c r="Q291" s="193"/>
      <c r="R291" s="193" t="b">
        <v>0</v>
      </c>
      <c r="S291" s="193"/>
    </row>
    <row r="292">
      <c r="A292" s="359">
        <v>46121.82246638889</v>
      </c>
      <c r="B292" s="193" t="s">
        <v>3116</v>
      </c>
      <c r="C292" s="361">
        <v>13.0</v>
      </c>
      <c r="D292" s="193" t="s">
        <v>62</v>
      </c>
      <c r="E292" s="193" t="s">
        <v>53</v>
      </c>
      <c r="F292" s="193" t="s">
        <v>24</v>
      </c>
      <c r="G292" s="362">
        <v>46100.0</v>
      </c>
      <c r="H292" s="193" t="s">
        <v>1359</v>
      </c>
      <c r="I292" s="193" t="s">
        <v>1360</v>
      </c>
      <c r="J292" s="193" t="s">
        <v>1361</v>
      </c>
      <c r="K292" s="193" t="s">
        <v>1362</v>
      </c>
      <c r="L292" s="193" t="s">
        <v>872</v>
      </c>
      <c r="M292" s="193" t="s">
        <v>1364</v>
      </c>
      <c r="N292" s="193" t="s">
        <v>5001</v>
      </c>
      <c r="O292" s="362"/>
      <c r="P292" s="359">
        <v>46115.856025960646</v>
      </c>
      <c r="Q292" s="193"/>
      <c r="R292" s="193" t="b">
        <v>0</v>
      </c>
      <c r="S292" s="193"/>
    </row>
    <row r="293">
      <c r="A293" s="359">
        <v>46122.7286562963</v>
      </c>
      <c r="B293" s="193" t="s">
        <v>3116</v>
      </c>
      <c r="C293" s="361">
        <v>3.0</v>
      </c>
      <c r="D293" s="193" t="s">
        <v>135</v>
      </c>
      <c r="E293" s="193" t="s">
        <v>225</v>
      </c>
      <c r="F293" s="193" t="s">
        <v>34</v>
      </c>
      <c r="G293" s="362">
        <v>46043.0</v>
      </c>
      <c r="H293" s="193" t="s">
        <v>311</v>
      </c>
      <c r="I293" s="193" t="s">
        <v>312</v>
      </c>
      <c r="J293" s="193" t="s">
        <v>314</v>
      </c>
      <c r="K293" s="193" t="s">
        <v>316</v>
      </c>
      <c r="L293" s="193" t="s">
        <v>317</v>
      </c>
      <c r="M293" s="193" t="s">
        <v>318</v>
      </c>
      <c r="N293" s="193" t="s">
        <v>5010</v>
      </c>
      <c r="O293" s="362"/>
      <c r="P293" s="359">
        <v>46085.93255761574</v>
      </c>
      <c r="Q293" s="193"/>
      <c r="R293" s="193"/>
      <c r="S293" s="193"/>
    </row>
    <row r="294">
      <c r="A294" s="359">
        <v>46122.72872841435</v>
      </c>
      <c r="B294" s="193" t="s">
        <v>3116</v>
      </c>
      <c r="C294" s="361">
        <v>2.0</v>
      </c>
      <c r="D294" s="193" t="s">
        <v>18</v>
      </c>
      <c r="E294" s="193" t="s">
        <v>225</v>
      </c>
      <c r="F294" s="193" t="s">
        <v>360</v>
      </c>
      <c r="G294" s="362">
        <v>46048.0</v>
      </c>
      <c r="H294" s="193" t="s">
        <v>839</v>
      </c>
      <c r="I294" s="193" t="s">
        <v>840</v>
      </c>
      <c r="J294" s="193" t="s">
        <v>841</v>
      </c>
      <c r="K294" s="193" t="s">
        <v>842</v>
      </c>
      <c r="L294" s="193" t="s">
        <v>843</v>
      </c>
      <c r="M294" s="193" t="s">
        <v>844</v>
      </c>
      <c r="N294" s="193" t="s">
        <v>5013</v>
      </c>
      <c r="O294" s="362"/>
      <c r="P294" s="359">
        <v>46092.92294700231</v>
      </c>
      <c r="Q294" s="193"/>
      <c r="R294" s="193"/>
      <c r="S294" s="193" t="s">
        <v>406</v>
      </c>
    </row>
    <row r="295">
      <c r="A295" s="359">
        <v>46122.729972430556</v>
      </c>
      <c r="B295" s="193" t="s">
        <v>3116</v>
      </c>
      <c r="C295" s="361">
        <v>5.0</v>
      </c>
      <c r="D295" s="193" t="s">
        <v>22</v>
      </c>
      <c r="E295" s="193" t="s">
        <v>225</v>
      </c>
      <c r="F295" s="193" t="s">
        <v>360</v>
      </c>
      <c r="G295" s="362">
        <v>46091.0</v>
      </c>
      <c r="H295" s="193" t="s">
        <v>846</v>
      </c>
      <c r="I295" s="193" t="s">
        <v>847</v>
      </c>
      <c r="J295" s="193" t="s">
        <v>848</v>
      </c>
      <c r="K295" s="193" t="s">
        <v>849</v>
      </c>
      <c r="L295" s="193" t="s">
        <v>850</v>
      </c>
      <c r="M295" s="193" t="s">
        <v>5015</v>
      </c>
      <c r="N295" s="193" t="s">
        <v>5016</v>
      </c>
      <c r="O295" s="362"/>
      <c r="P295" s="359">
        <v>46091.96670868056</v>
      </c>
      <c r="Q295" s="193"/>
      <c r="R295" s="193" t="b">
        <v>0</v>
      </c>
      <c r="S295" s="193"/>
    </row>
    <row r="296">
      <c r="A296" s="359">
        <v>46122.73004425926</v>
      </c>
      <c r="B296" s="193" t="s">
        <v>3116</v>
      </c>
      <c r="C296" s="361">
        <v>4.0</v>
      </c>
      <c r="D296" s="193" t="s">
        <v>22</v>
      </c>
      <c r="E296" s="193" t="s">
        <v>225</v>
      </c>
      <c r="F296" s="193" t="s">
        <v>360</v>
      </c>
      <c r="G296" s="362">
        <v>46090.0</v>
      </c>
      <c r="H296" s="193" t="s">
        <v>2667</v>
      </c>
      <c r="I296" s="193" t="s">
        <v>2669</v>
      </c>
      <c r="J296" s="193" t="s">
        <v>2670</v>
      </c>
      <c r="K296" s="193" t="s">
        <v>5020</v>
      </c>
      <c r="L296" s="193" t="s">
        <v>4585</v>
      </c>
      <c r="M296" s="193" t="s">
        <v>5022</v>
      </c>
      <c r="N296" s="193" t="s">
        <v>5023</v>
      </c>
      <c r="O296" s="362"/>
      <c r="P296" s="359">
        <v>46090.98704674769</v>
      </c>
      <c r="Q296" s="193"/>
      <c r="R296" s="193" t="b">
        <v>0</v>
      </c>
      <c r="S296" s="193"/>
    </row>
    <row r="297">
      <c r="A297" s="359">
        <v>46122.73012128472</v>
      </c>
      <c r="B297" s="193" t="s">
        <v>3116</v>
      </c>
      <c r="C297" s="361">
        <v>3.0</v>
      </c>
      <c r="D297" s="193" t="s">
        <v>62</v>
      </c>
      <c r="E297" s="193" t="s">
        <v>225</v>
      </c>
      <c r="F297" s="193" t="s">
        <v>360</v>
      </c>
      <c r="G297" s="362">
        <v>46086.0</v>
      </c>
      <c r="H297" s="193" t="s">
        <v>853</v>
      </c>
      <c r="I297" s="193" t="s">
        <v>854</v>
      </c>
      <c r="J297" s="193" t="s">
        <v>855</v>
      </c>
      <c r="K297" s="193" t="s">
        <v>5028</v>
      </c>
      <c r="L297" s="193" t="s">
        <v>857</v>
      </c>
      <c r="M297" s="193" t="s">
        <v>5029</v>
      </c>
      <c r="N297" s="193" t="s">
        <v>5031</v>
      </c>
      <c r="O297" s="362"/>
      <c r="P297" s="359">
        <v>46122.729202939816</v>
      </c>
      <c r="Q297" s="193"/>
      <c r="R297" s="193" t="b">
        <v>0</v>
      </c>
      <c r="S297" s="193"/>
    </row>
    <row r="298">
      <c r="A298" s="359">
        <v>46122.73017966435</v>
      </c>
      <c r="B298" s="193" t="s">
        <v>3116</v>
      </c>
      <c r="C298" s="361">
        <v>2.0</v>
      </c>
      <c r="D298" s="193" t="s">
        <v>62</v>
      </c>
      <c r="E298" s="193" t="s">
        <v>225</v>
      </c>
      <c r="F298" s="193" t="s">
        <v>1451</v>
      </c>
      <c r="G298" s="362">
        <v>46086.0</v>
      </c>
      <c r="H298" s="193" t="s">
        <v>3981</v>
      </c>
      <c r="I298" s="193" t="s">
        <v>3982</v>
      </c>
      <c r="J298" s="193" t="s">
        <v>3983</v>
      </c>
      <c r="K298" s="193" t="s">
        <v>5035</v>
      </c>
      <c r="L298" s="193" t="s">
        <v>3985</v>
      </c>
      <c r="M298" s="193" t="s">
        <v>5036</v>
      </c>
      <c r="N298" s="193" t="s">
        <v>5037</v>
      </c>
      <c r="O298" s="362"/>
      <c r="P298" s="359">
        <v>46090.81503637732</v>
      </c>
      <c r="Q298" s="193"/>
      <c r="R298" s="193" t="b">
        <v>0</v>
      </c>
      <c r="S298" s="193"/>
    </row>
    <row r="299">
      <c r="A299" s="359">
        <v>46122.732117604166</v>
      </c>
      <c r="B299" s="193" t="s">
        <v>3116</v>
      </c>
      <c r="C299" s="361">
        <v>9.0</v>
      </c>
      <c r="D299" s="193" t="s">
        <v>62</v>
      </c>
      <c r="E299" s="193" t="s">
        <v>225</v>
      </c>
      <c r="F299" s="193" t="s">
        <v>24</v>
      </c>
      <c r="G299" s="362">
        <v>46106.0</v>
      </c>
      <c r="H299" s="193" t="s">
        <v>1372</v>
      </c>
      <c r="I299" s="193" t="s">
        <v>1373</v>
      </c>
      <c r="J299" s="193" t="s">
        <v>1374</v>
      </c>
      <c r="K299" s="193" t="s">
        <v>5038</v>
      </c>
      <c r="L299" s="193" t="s">
        <v>1378</v>
      </c>
      <c r="M299" s="193" t="s">
        <v>5039</v>
      </c>
      <c r="N299" s="193" t="s">
        <v>5040</v>
      </c>
      <c r="O299" s="362"/>
      <c r="P299" s="359">
        <v>46107.776569548616</v>
      </c>
      <c r="Q299" s="193"/>
      <c r="R299" s="193" t="b">
        <v>0</v>
      </c>
      <c r="S299" s="193"/>
    </row>
    <row r="300">
      <c r="A300" s="359">
        <v>46122.73223013889</v>
      </c>
      <c r="B300" s="193" t="s">
        <v>3116</v>
      </c>
      <c r="C300" s="361">
        <v>6.0</v>
      </c>
      <c r="D300" s="193" t="s">
        <v>62</v>
      </c>
      <c r="E300" s="193" t="s">
        <v>225</v>
      </c>
      <c r="F300" s="193" t="s">
        <v>24</v>
      </c>
      <c r="G300" s="362">
        <v>46099.0</v>
      </c>
      <c r="H300" s="193" t="s">
        <v>1389</v>
      </c>
      <c r="I300" s="193" t="s">
        <v>1391</v>
      </c>
      <c r="J300" s="193" t="s">
        <v>1393</v>
      </c>
      <c r="K300" s="193" t="s">
        <v>1394</v>
      </c>
      <c r="L300" s="193" t="s">
        <v>613</v>
      </c>
      <c r="M300" s="193" t="s">
        <v>1397</v>
      </c>
      <c r="N300" s="193" t="s">
        <v>5042</v>
      </c>
      <c r="O300" s="362"/>
      <c r="P300" s="359">
        <v>46105.75285123843</v>
      </c>
      <c r="Q300" s="193"/>
      <c r="R300" s="193" t="b">
        <v>0</v>
      </c>
      <c r="S300" s="193"/>
    </row>
    <row r="301">
      <c r="A301" s="359">
        <v>46122.73231018518</v>
      </c>
      <c r="B301" s="193" t="s">
        <v>3116</v>
      </c>
      <c r="C301" s="361">
        <v>3.0</v>
      </c>
      <c r="D301" s="193" t="s">
        <v>62</v>
      </c>
      <c r="E301" s="193" t="s">
        <v>225</v>
      </c>
      <c r="F301" s="193" t="s">
        <v>360</v>
      </c>
      <c r="G301" s="362">
        <v>46094.0</v>
      </c>
      <c r="H301" s="193" t="s">
        <v>2819</v>
      </c>
      <c r="I301" s="193" t="s">
        <v>2821</v>
      </c>
      <c r="J301" s="193" t="s">
        <v>2822</v>
      </c>
      <c r="K301" s="193" t="s">
        <v>5045</v>
      </c>
      <c r="L301" s="193" t="s">
        <v>210</v>
      </c>
      <c r="M301" s="193" t="s">
        <v>5046</v>
      </c>
      <c r="N301" s="193" t="s">
        <v>5047</v>
      </c>
      <c r="O301" s="362"/>
      <c r="P301" s="359">
        <v>46099.799459560185</v>
      </c>
      <c r="Q301" s="193"/>
      <c r="R301" s="193" t="b">
        <v>0</v>
      </c>
      <c r="S301" s="193"/>
    </row>
    <row r="302">
      <c r="A302" s="359">
        <v>46122.73238048611</v>
      </c>
      <c r="B302" s="193" t="s">
        <v>3116</v>
      </c>
      <c r="C302" s="361">
        <v>4.0</v>
      </c>
      <c r="D302" s="193" t="s">
        <v>62</v>
      </c>
      <c r="E302" s="193" t="s">
        <v>225</v>
      </c>
      <c r="F302" s="193" t="s">
        <v>1451</v>
      </c>
      <c r="G302" s="362">
        <v>46099.0</v>
      </c>
      <c r="H302" s="193" t="s">
        <v>3988</v>
      </c>
      <c r="I302" s="193" t="s">
        <v>3989</v>
      </c>
      <c r="J302" s="193" t="s">
        <v>3990</v>
      </c>
      <c r="K302" s="193" t="s">
        <v>5048</v>
      </c>
      <c r="L302" s="193" t="s">
        <v>2579</v>
      </c>
      <c r="M302" s="193" t="s">
        <v>5049</v>
      </c>
      <c r="N302" s="193"/>
      <c r="O302" s="362"/>
      <c r="P302" s="359"/>
      <c r="Q302" s="193"/>
      <c r="R302" s="193"/>
      <c r="S302" s="193"/>
    </row>
    <row r="303">
      <c r="A303" s="359">
        <v>46122.74036538195</v>
      </c>
      <c r="B303" s="193" t="s">
        <v>3116</v>
      </c>
      <c r="C303" s="361">
        <v>15.0</v>
      </c>
      <c r="D303" s="193" t="s">
        <v>62</v>
      </c>
      <c r="E303" s="193" t="s">
        <v>225</v>
      </c>
      <c r="F303" s="193" t="s">
        <v>1451</v>
      </c>
      <c r="G303" s="362">
        <v>46115.0</v>
      </c>
      <c r="H303" s="193" t="s">
        <v>3996</v>
      </c>
      <c r="I303" s="193" t="s">
        <v>3997</v>
      </c>
      <c r="J303" s="193" t="s">
        <v>3998</v>
      </c>
      <c r="K303" s="193" t="s">
        <v>5054</v>
      </c>
      <c r="L303" s="193" t="s">
        <v>2526</v>
      </c>
      <c r="M303" s="193" t="s">
        <v>5057</v>
      </c>
      <c r="N303" s="193"/>
      <c r="O303" s="362"/>
      <c r="P303" s="359"/>
      <c r="Q303" s="193"/>
      <c r="R303" s="193" t="b">
        <v>0</v>
      </c>
      <c r="S303" s="193"/>
    </row>
    <row r="304">
      <c r="A304" s="359">
        <v>46122.74044913195</v>
      </c>
      <c r="B304" s="193" t="s">
        <v>3116</v>
      </c>
      <c r="C304" s="361">
        <v>11.0</v>
      </c>
      <c r="D304" s="193" t="s">
        <v>17</v>
      </c>
      <c r="E304" s="193" t="s">
        <v>225</v>
      </c>
      <c r="F304" s="193" t="s">
        <v>24</v>
      </c>
      <c r="G304" s="362">
        <v>46112.0</v>
      </c>
      <c r="H304" s="193" t="s">
        <v>1082</v>
      </c>
      <c r="I304" s="193" t="s">
        <v>1084</v>
      </c>
      <c r="J304" s="193" t="s">
        <v>1086</v>
      </c>
      <c r="K304" s="193" t="s">
        <v>5059</v>
      </c>
      <c r="L304" s="193" t="s">
        <v>1089</v>
      </c>
      <c r="M304" s="193"/>
      <c r="N304" s="193" t="s">
        <v>5060</v>
      </c>
      <c r="O304" s="362"/>
      <c r="P304" s="359">
        <v>46113.83686444444</v>
      </c>
      <c r="Q304" s="193"/>
      <c r="R304" s="193" t="b">
        <v>0</v>
      </c>
      <c r="S304" s="193"/>
    </row>
    <row r="305">
      <c r="A305" s="359">
        <v>46122.74053700232</v>
      </c>
      <c r="B305" s="193" t="s">
        <v>3116</v>
      </c>
      <c r="C305" s="361">
        <v>9.0</v>
      </c>
      <c r="D305" s="193" t="s">
        <v>17</v>
      </c>
      <c r="E305" s="193" t="s">
        <v>225</v>
      </c>
      <c r="F305" s="193" t="s">
        <v>34</v>
      </c>
      <c r="G305" s="362">
        <v>46111.0</v>
      </c>
      <c r="H305" s="193" t="s">
        <v>4506</v>
      </c>
      <c r="I305" s="193" t="s">
        <v>4507</v>
      </c>
      <c r="J305" s="193" t="s">
        <v>4508</v>
      </c>
      <c r="K305" s="193" t="s">
        <v>5064</v>
      </c>
      <c r="L305" s="193" t="s">
        <v>4510</v>
      </c>
      <c r="M305" s="193" t="s">
        <v>5066</v>
      </c>
      <c r="N305" s="193" t="s">
        <v>5067</v>
      </c>
      <c r="O305" s="362"/>
      <c r="P305" s="359"/>
      <c r="Q305" s="193"/>
      <c r="R305" s="193" t="b">
        <v>0</v>
      </c>
      <c r="S305" s="193"/>
    </row>
    <row r="306">
      <c r="A306" s="359">
        <v>46122.74060503472</v>
      </c>
      <c r="B306" s="193" t="s">
        <v>3116</v>
      </c>
      <c r="C306" s="361">
        <v>8.0</v>
      </c>
      <c r="D306" s="193" t="s">
        <v>62</v>
      </c>
      <c r="E306" s="193" t="s">
        <v>225</v>
      </c>
      <c r="F306" s="193" t="s">
        <v>34</v>
      </c>
      <c r="G306" s="362">
        <v>46108.0</v>
      </c>
      <c r="H306" s="193" t="s">
        <v>1071</v>
      </c>
      <c r="I306" s="193" t="s">
        <v>1072</v>
      </c>
      <c r="J306" s="193" t="s">
        <v>1073</v>
      </c>
      <c r="K306" s="193" t="s">
        <v>1075</v>
      </c>
      <c r="L306" s="193" t="s">
        <v>1076</v>
      </c>
      <c r="M306" s="193" t="s">
        <v>1077</v>
      </c>
      <c r="N306" s="193" t="s">
        <v>5070</v>
      </c>
      <c r="O306" s="362"/>
      <c r="P306" s="359">
        <v>46119.85774153935</v>
      </c>
      <c r="Q306" s="193"/>
      <c r="R306" s="193" t="b">
        <v>0</v>
      </c>
      <c r="S306" s="193"/>
    </row>
    <row r="307">
      <c r="A307" s="359">
        <v>46125.68699611111</v>
      </c>
      <c r="B307" s="193" t="s">
        <v>3116</v>
      </c>
      <c r="C307" s="361">
        <v>14.0</v>
      </c>
      <c r="D307" s="193" t="s">
        <v>62</v>
      </c>
      <c r="E307" s="193" t="s">
        <v>53</v>
      </c>
      <c r="F307" s="193" t="s">
        <v>24</v>
      </c>
      <c r="G307" s="362">
        <v>46119.0</v>
      </c>
      <c r="H307" s="193" t="s">
        <v>1401</v>
      </c>
      <c r="I307" s="193" t="s">
        <v>1402</v>
      </c>
      <c r="J307" s="193" t="s">
        <v>1403</v>
      </c>
      <c r="K307" s="193" t="s">
        <v>1404</v>
      </c>
      <c r="L307" s="193" t="s">
        <v>1405</v>
      </c>
      <c r="M307" s="193" t="s">
        <v>5071</v>
      </c>
      <c r="N307" s="193" t="s">
        <v>5072</v>
      </c>
      <c r="O307" s="362"/>
      <c r="P307" s="359">
        <v>46120.92612363426</v>
      </c>
      <c r="Q307" s="193"/>
      <c r="R307" s="193" t="b">
        <v>0</v>
      </c>
      <c r="S307" s="193"/>
    </row>
    <row r="308">
      <c r="A308" s="359">
        <v>46125.68707356481</v>
      </c>
      <c r="B308" s="193" t="s">
        <v>3116</v>
      </c>
      <c r="C308" s="361">
        <v>9.0</v>
      </c>
      <c r="D308" s="193" t="s">
        <v>22</v>
      </c>
      <c r="E308" s="193" t="s">
        <v>53</v>
      </c>
      <c r="F308" s="193" t="s">
        <v>24</v>
      </c>
      <c r="G308" s="362">
        <v>46114.0</v>
      </c>
      <c r="H308" s="193" t="s">
        <v>4940</v>
      </c>
      <c r="I308" s="193" t="s">
        <v>4941</v>
      </c>
      <c r="J308" s="193" t="s">
        <v>5074</v>
      </c>
      <c r="K308" s="193" t="s">
        <v>4943</v>
      </c>
      <c r="L308" s="193" t="s">
        <v>762</v>
      </c>
      <c r="M308" s="193" t="s">
        <v>4944</v>
      </c>
      <c r="N308" s="193" t="s">
        <v>5075</v>
      </c>
      <c r="O308" s="362"/>
      <c r="P308" s="359">
        <v>46115.791213020835</v>
      </c>
      <c r="Q308" s="193"/>
      <c r="R308" s="193" t="b">
        <v>0</v>
      </c>
      <c r="S308" s="193"/>
    </row>
    <row r="309">
      <c r="A309" s="359">
        <v>46125.68714578704</v>
      </c>
      <c r="B309" s="193" t="s">
        <v>3116</v>
      </c>
      <c r="C309" s="361">
        <v>8.0</v>
      </c>
      <c r="D309" s="193" t="s">
        <v>17</v>
      </c>
      <c r="E309" s="193" t="s">
        <v>53</v>
      </c>
      <c r="F309" s="193" t="s">
        <v>24</v>
      </c>
      <c r="G309" s="362">
        <v>46111.0</v>
      </c>
      <c r="H309" s="193" t="s">
        <v>4840</v>
      </c>
      <c r="I309" s="193" t="s">
        <v>4841</v>
      </c>
      <c r="J309" s="193">
        <v>8.477076869E9</v>
      </c>
      <c r="K309" s="193" t="s">
        <v>5077</v>
      </c>
      <c r="L309" s="193" t="s">
        <v>4227</v>
      </c>
      <c r="M309" s="193" t="s">
        <v>4843</v>
      </c>
      <c r="N309" s="193" t="s">
        <v>5079</v>
      </c>
      <c r="O309" s="362"/>
      <c r="P309" s="359">
        <v>46112.79797773148</v>
      </c>
      <c r="Q309" s="193"/>
      <c r="R309" s="193" t="b">
        <v>0</v>
      </c>
      <c r="S309" s="193"/>
    </row>
    <row r="310">
      <c r="A310" s="359">
        <v>46125.687248368056</v>
      </c>
      <c r="B310" s="193" t="s">
        <v>3116</v>
      </c>
      <c r="C310" s="361">
        <v>15.0</v>
      </c>
      <c r="D310" s="193" t="s">
        <v>62</v>
      </c>
      <c r="E310" s="193" t="s">
        <v>53</v>
      </c>
      <c r="F310" s="193" t="s">
        <v>24</v>
      </c>
      <c r="G310" s="362">
        <v>46121.0</v>
      </c>
      <c r="H310" s="193" t="s">
        <v>4668</v>
      </c>
      <c r="I310" s="193" t="s">
        <v>4669</v>
      </c>
      <c r="J310" s="193" t="s">
        <v>4670</v>
      </c>
      <c r="K310" s="193" t="s">
        <v>4671</v>
      </c>
      <c r="L310" s="193" t="s">
        <v>762</v>
      </c>
      <c r="M310" s="193" t="s">
        <v>5088</v>
      </c>
      <c r="N310" s="193" t="s">
        <v>4675</v>
      </c>
      <c r="O310" s="362"/>
      <c r="P310" s="359">
        <v>46122.88462332176</v>
      </c>
      <c r="Q310" s="193"/>
      <c r="R310" s="193" t="b">
        <v>0</v>
      </c>
      <c r="S310" s="193"/>
    </row>
    <row r="311">
      <c r="A311" s="359">
        <v>46125.687326238425</v>
      </c>
      <c r="B311" s="193" t="s">
        <v>2996</v>
      </c>
      <c r="C311" s="361">
        <v>12.0</v>
      </c>
      <c r="D311" s="193" t="s">
        <v>0</v>
      </c>
      <c r="E311" s="193" t="s">
        <v>19</v>
      </c>
      <c r="F311" s="193" t="s">
        <v>601</v>
      </c>
      <c r="G311" s="193" t="s">
        <v>862</v>
      </c>
      <c r="H311" s="193" t="s">
        <v>863</v>
      </c>
      <c r="I311" s="193" t="s">
        <v>864</v>
      </c>
      <c r="J311" s="193"/>
      <c r="K311" s="193" t="s">
        <v>865</v>
      </c>
      <c r="L311" s="193" t="s">
        <v>167</v>
      </c>
      <c r="M311" s="193"/>
      <c r="N311" s="193" t="s">
        <v>866</v>
      </c>
      <c r="O311" s="362"/>
      <c r="P311" s="359"/>
      <c r="Q311" s="193"/>
      <c r="R311" s="193" t="b">
        <v>0</v>
      </c>
      <c r="S311" s="193"/>
    </row>
    <row r="312">
      <c r="A312" s="359">
        <v>46125.687439710644</v>
      </c>
      <c r="B312" s="193" t="s">
        <v>3116</v>
      </c>
      <c r="C312" s="361">
        <v>3.0</v>
      </c>
      <c r="D312" s="193" t="s">
        <v>22</v>
      </c>
      <c r="E312" s="193" t="s">
        <v>53</v>
      </c>
      <c r="F312" s="193" t="s">
        <v>24</v>
      </c>
      <c r="G312" s="362">
        <v>46098.0</v>
      </c>
      <c r="H312" s="193" t="s">
        <v>4296</v>
      </c>
      <c r="I312" s="193" t="s">
        <v>3439</v>
      </c>
      <c r="J312" s="193" t="s">
        <v>5092</v>
      </c>
      <c r="K312" s="193" t="s">
        <v>4298</v>
      </c>
      <c r="L312" s="193" t="s">
        <v>4300</v>
      </c>
      <c r="M312" s="193" t="s">
        <v>4301</v>
      </c>
      <c r="N312" s="193" t="s">
        <v>5093</v>
      </c>
      <c r="O312" s="362"/>
      <c r="P312" s="359">
        <v>46111.95182236111</v>
      </c>
      <c r="Q312" s="193"/>
      <c r="R312" s="193" t="b">
        <v>0</v>
      </c>
      <c r="S312" s="193"/>
    </row>
    <row r="313">
      <c r="A313" s="359">
        <v>46125.68827431713</v>
      </c>
      <c r="B313" s="193" t="s">
        <v>3116</v>
      </c>
      <c r="C313" s="361">
        <v>14.0</v>
      </c>
      <c r="D313" s="193" t="s">
        <v>62</v>
      </c>
      <c r="E313" s="193" t="s">
        <v>53</v>
      </c>
      <c r="F313" s="193" t="s">
        <v>867</v>
      </c>
      <c r="G313" s="362">
        <v>46121.0</v>
      </c>
      <c r="H313" s="193" t="s">
        <v>2272</v>
      </c>
      <c r="I313" s="193" t="s">
        <v>2275</v>
      </c>
      <c r="J313" s="193" t="s">
        <v>2277</v>
      </c>
      <c r="K313" s="193" t="s">
        <v>2279</v>
      </c>
      <c r="L313" s="193" t="s">
        <v>69</v>
      </c>
      <c r="M313" s="193" t="s">
        <v>2282</v>
      </c>
      <c r="N313" s="193"/>
      <c r="O313" s="362"/>
      <c r="P313" s="359"/>
      <c r="Q313" s="193"/>
      <c r="R313" s="193" t="b">
        <v>0</v>
      </c>
      <c r="S313" s="193"/>
    </row>
    <row r="314">
      <c r="A314" s="359">
        <v>46125.68835173611</v>
      </c>
      <c r="B314" s="193" t="s">
        <v>3116</v>
      </c>
      <c r="C314" s="361">
        <v>11.0</v>
      </c>
      <c r="D314" s="193" t="s">
        <v>62</v>
      </c>
      <c r="E314" s="193" t="s">
        <v>53</v>
      </c>
      <c r="F314" s="193" t="s">
        <v>24</v>
      </c>
      <c r="G314" s="362">
        <v>46120.0</v>
      </c>
      <c r="H314" s="193" t="s">
        <v>488</v>
      </c>
      <c r="I314" s="193" t="s">
        <v>491</v>
      </c>
      <c r="J314" s="193" t="s">
        <v>494</v>
      </c>
      <c r="K314" s="193" t="s">
        <v>495</v>
      </c>
      <c r="L314" s="193" t="s">
        <v>883</v>
      </c>
      <c r="M314" s="193" t="s">
        <v>498</v>
      </c>
      <c r="N314" s="193" t="s">
        <v>5094</v>
      </c>
      <c r="O314" s="362"/>
      <c r="P314" s="359">
        <v>46121.86681357639</v>
      </c>
      <c r="Q314" s="193"/>
      <c r="R314" s="193" t="b">
        <v>0</v>
      </c>
      <c r="S314" s="193"/>
    </row>
    <row r="315">
      <c r="A315" s="359">
        <v>46125.688418854166</v>
      </c>
      <c r="B315" s="193" t="s">
        <v>3116</v>
      </c>
      <c r="C315" s="361">
        <v>9.0</v>
      </c>
      <c r="D315" s="193" t="s">
        <v>62</v>
      </c>
      <c r="E315" s="193" t="s">
        <v>19</v>
      </c>
      <c r="F315" s="193" t="s">
        <v>24</v>
      </c>
      <c r="G315" s="362">
        <v>46118.0</v>
      </c>
      <c r="H315" s="193" t="s">
        <v>4021</v>
      </c>
      <c r="I315" s="193" t="s">
        <v>4023</v>
      </c>
      <c r="J315" s="193" t="s">
        <v>4025</v>
      </c>
      <c r="K315" s="193" t="s">
        <v>4027</v>
      </c>
      <c r="L315" s="193" t="s">
        <v>2160</v>
      </c>
      <c r="M315" s="193" t="s">
        <v>4028</v>
      </c>
      <c r="N315" s="193" t="s">
        <v>5097</v>
      </c>
      <c r="O315" s="362"/>
      <c r="P315" s="359">
        <v>46120.89089758102</v>
      </c>
      <c r="Q315" s="193"/>
      <c r="R315" s="193" t="b">
        <v>0</v>
      </c>
      <c r="S315" s="193"/>
    </row>
    <row r="316">
      <c r="A316" s="359">
        <v>46125.68848409722</v>
      </c>
      <c r="B316" s="193" t="s">
        <v>3116</v>
      </c>
      <c r="C316" s="361">
        <v>7.0</v>
      </c>
      <c r="D316" s="193" t="s">
        <v>22</v>
      </c>
      <c r="E316" s="193" t="s">
        <v>53</v>
      </c>
      <c r="F316" s="193" t="s">
        <v>24</v>
      </c>
      <c r="G316" s="362">
        <v>46114.0</v>
      </c>
      <c r="H316" s="193" t="s">
        <v>4779</v>
      </c>
      <c r="I316" s="193" t="s">
        <v>4780</v>
      </c>
      <c r="J316" s="193" t="s">
        <v>4781</v>
      </c>
      <c r="K316" s="193" t="s">
        <v>4782</v>
      </c>
      <c r="L316" s="193" t="s">
        <v>174</v>
      </c>
      <c r="M316" s="193" t="s">
        <v>5102</v>
      </c>
      <c r="N316" s="193" t="s">
        <v>5103</v>
      </c>
      <c r="O316" s="362"/>
      <c r="P316" s="359">
        <v>46115.914474097226</v>
      </c>
      <c r="Q316" s="193"/>
      <c r="R316" s="193" t="b">
        <v>0</v>
      </c>
      <c r="S316" s="193"/>
    </row>
    <row r="317">
      <c r="A317" s="359">
        <v>46125.69390991898</v>
      </c>
      <c r="B317" s="193" t="s">
        <v>2996</v>
      </c>
      <c r="C317" s="361">
        <v>56.0</v>
      </c>
      <c r="D317" s="193" t="s">
        <v>22</v>
      </c>
      <c r="E317" s="193" t="s">
        <v>225</v>
      </c>
      <c r="F317" s="193" t="s">
        <v>1451</v>
      </c>
      <c r="G317" s="362">
        <v>46065.0</v>
      </c>
      <c r="H317" s="193" t="s">
        <v>2151</v>
      </c>
      <c r="I317" s="193" t="s">
        <v>2154</v>
      </c>
      <c r="J317" s="193" t="s">
        <v>4005</v>
      </c>
      <c r="K317" s="193" t="s">
        <v>2158</v>
      </c>
      <c r="L317" s="193" t="s">
        <v>1584</v>
      </c>
      <c r="M317" s="193"/>
      <c r="N317" s="193" t="s">
        <v>4008</v>
      </c>
      <c r="O317" s="362"/>
      <c r="P317" s="359">
        <v>46071.82304949074</v>
      </c>
      <c r="Q317" s="193"/>
      <c r="R317" s="193" t="b">
        <v>0</v>
      </c>
      <c r="S317" s="193"/>
    </row>
    <row r="318">
      <c r="A318" s="359">
        <v>46125.693983784724</v>
      </c>
      <c r="B318" s="193" t="s">
        <v>3116</v>
      </c>
      <c r="C318" s="361">
        <v>5.0</v>
      </c>
      <c r="D318" s="193" t="s">
        <v>62</v>
      </c>
      <c r="E318" s="193" t="s">
        <v>23</v>
      </c>
      <c r="F318" s="193" t="s">
        <v>24</v>
      </c>
      <c r="G318" s="362">
        <v>46120.0</v>
      </c>
      <c r="H318" s="193" t="s">
        <v>4857</v>
      </c>
      <c r="I318" s="193" t="s">
        <v>4858</v>
      </c>
      <c r="J318" s="193" t="s">
        <v>4859</v>
      </c>
      <c r="K318" s="193" t="s">
        <v>4860</v>
      </c>
      <c r="L318" s="193" t="s">
        <v>1181</v>
      </c>
      <c r="M318" s="193" t="s">
        <v>4864</v>
      </c>
      <c r="N318" s="193" t="s">
        <v>5105</v>
      </c>
      <c r="O318" s="362"/>
      <c r="P318" s="359">
        <v>46122.88426065972</v>
      </c>
      <c r="Q318" s="193"/>
      <c r="R318" s="193" t="b">
        <v>0</v>
      </c>
      <c r="S318" s="193"/>
    </row>
    <row r="319">
      <c r="A319" s="359">
        <v>46125.916178796295</v>
      </c>
      <c r="B319" s="193" t="s">
        <v>3116</v>
      </c>
      <c r="C319" s="361">
        <v>2.0</v>
      </c>
      <c r="D319" s="193" t="s">
        <v>22</v>
      </c>
      <c r="E319" s="193" t="s">
        <v>225</v>
      </c>
      <c r="F319" s="193" t="s">
        <v>222</v>
      </c>
      <c r="G319" s="362">
        <v>46119.0</v>
      </c>
      <c r="H319" s="193" t="s">
        <v>868</v>
      </c>
      <c r="I319" s="193" t="s">
        <v>869</v>
      </c>
      <c r="J319" s="193" t="s">
        <v>870</v>
      </c>
      <c r="K319" s="193" t="s">
        <v>871</v>
      </c>
      <c r="L319" s="193" t="s">
        <v>872</v>
      </c>
      <c r="M319" s="193" t="s">
        <v>5107</v>
      </c>
      <c r="N319" s="193" t="s">
        <v>874</v>
      </c>
      <c r="O319" s="362"/>
      <c r="P319" s="359">
        <v>46125.91252359954</v>
      </c>
      <c r="Q319" s="193"/>
      <c r="R319" s="193" t="b">
        <v>0</v>
      </c>
      <c r="S319" s="193"/>
    </row>
    <row r="320">
      <c r="A320" s="359">
        <v>46126.7564293287</v>
      </c>
      <c r="B320" s="193" t="s">
        <v>3116</v>
      </c>
      <c r="C320" s="361">
        <v>5.0</v>
      </c>
      <c r="D320" s="193" t="s">
        <v>62</v>
      </c>
      <c r="E320" s="193" t="s">
        <v>53</v>
      </c>
      <c r="F320" s="193" t="s">
        <v>3021</v>
      </c>
      <c r="G320" s="362">
        <v>46125.0</v>
      </c>
      <c r="H320" s="193" t="s">
        <v>4011</v>
      </c>
      <c r="I320" s="193" t="s">
        <v>4013</v>
      </c>
      <c r="J320" s="193" t="s">
        <v>4014</v>
      </c>
      <c r="K320" s="193" t="s">
        <v>4015</v>
      </c>
      <c r="L320" s="193" t="s">
        <v>401</v>
      </c>
      <c r="M320" s="193" t="s">
        <v>4016</v>
      </c>
      <c r="N320" s="193"/>
      <c r="O320" s="362"/>
      <c r="P320" s="359"/>
      <c r="Q320" s="193"/>
      <c r="R320" s="193" t="b">
        <v>0</v>
      </c>
      <c r="S320" s="193"/>
    </row>
    <row r="321">
      <c r="A321" s="359">
        <v>46129.839815625004</v>
      </c>
      <c r="B321" s="193" t="s">
        <v>876</v>
      </c>
      <c r="C321" s="361">
        <v>50.0</v>
      </c>
      <c r="D321" s="193" t="s">
        <v>410</v>
      </c>
      <c r="E321" s="193" t="s">
        <v>225</v>
      </c>
      <c r="F321" s="193" t="s">
        <v>21</v>
      </c>
      <c r="G321" s="362">
        <v>46108.0</v>
      </c>
      <c r="H321" s="193" t="s">
        <v>4489</v>
      </c>
      <c r="I321" s="193" t="s">
        <v>4490</v>
      </c>
      <c r="J321" s="193" t="s">
        <v>4491</v>
      </c>
      <c r="K321" s="193" t="s">
        <v>4493</v>
      </c>
      <c r="L321" s="193" t="s">
        <v>4391</v>
      </c>
      <c r="M321" s="193" t="s">
        <v>4972</v>
      </c>
      <c r="N321" s="193" t="s">
        <v>4974</v>
      </c>
      <c r="O321" s="362"/>
      <c r="P321" s="359">
        <v>46114.8448919213</v>
      </c>
      <c r="Q321" s="193"/>
      <c r="R321" s="193" t="b">
        <v>0</v>
      </c>
      <c r="S321" s="193"/>
    </row>
    <row r="322">
      <c r="A322" s="359">
        <v>46129.891861875</v>
      </c>
      <c r="B322" s="193" t="s">
        <v>3116</v>
      </c>
      <c r="C322" s="361">
        <v>2.0</v>
      </c>
      <c r="D322" s="193" t="s">
        <v>62</v>
      </c>
      <c r="E322" s="193" t="s">
        <v>19</v>
      </c>
      <c r="F322" s="193" t="s">
        <v>24</v>
      </c>
      <c r="G322" s="362">
        <v>46120.0</v>
      </c>
      <c r="H322" s="193" t="s">
        <v>1416</v>
      </c>
      <c r="I322" s="193" t="s">
        <v>1417</v>
      </c>
      <c r="J322" s="193" t="s">
        <v>1419</v>
      </c>
      <c r="K322" s="193" t="s">
        <v>1420</v>
      </c>
      <c r="L322" s="193" t="s">
        <v>1422</v>
      </c>
      <c r="M322" s="193" t="s">
        <v>5113</v>
      </c>
      <c r="N322" s="193" t="s">
        <v>1425</v>
      </c>
      <c r="O322" s="362"/>
      <c r="P322" s="359">
        <v>46129.69888174768</v>
      </c>
      <c r="Q322" s="193"/>
      <c r="R322" s="193" t="b">
        <v>0</v>
      </c>
      <c r="S322" s="193"/>
    </row>
    <row r="323">
      <c r="A323" s="359">
        <v>46129.91961386574</v>
      </c>
      <c r="B323" s="193" t="s">
        <v>2996</v>
      </c>
      <c r="C323" s="361">
        <v>87.0</v>
      </c>
      <c r="D323" s="193" t="s">
        <v>62</v>
      </c>
      <c r="E323" s="193" t="s">
        <v>19</v>
      </c>
      <c r="F323" s="193" t="s">
        <v>1410</v>
      </c>
      <c r="G323" s="362">
        <v>46118.0</v>
      </c>
      <c r="H323" s="193" t="s">
        <v>4021</v>
      </c>
      <c r="I323" s="193" t="s">
        <v>4023</v>
      </c>
      <c r="J323" s="193" t="s">
        <v>4025</v>
      </c>
      <c r="K323" s="193" t="s">
        <v>4027</v>
      </c>
      <c r="L323" s="193" t="s">
        <v>2160</v>
      </c>
      <c r="M323" s="193" t="s">
        <v>4028</v>
      </c>
      <c r="N323" s="193" t="s">
        <v>4029</v>
      </c>
      <c r="O323" s="362"/>
      <c r="P323" s="359">
        <v>46129.917691469906</v>
      </c>
      <c r="Q323" s="193"/>
      <c r="R323" s="193" t="b">
        <v>0</v>
      </c>
      <c r="S323" s="193"/>
    </row>
    <row r="324">
      <c r="A324" s="359">
        <v>46135.96135538194</v>
      </c>
      <c r="B324" s="193" t="s">
        <v>34</v>
      </c>
      <c r="C324" s="361">
        <v>13.0</v>
      </c>
      <c r="D324" s="193" t="s">
        <v>17</v>
      </c>
      <c r="E324" s="193" t="s">
        <v>23</v>
      </c>
      <c r="F324" s="193" t="s">
        <v>21</v>
      </c>
      <c r="G324" s="362">
        <v>46043.0</v>
      </c>
      <c r="H324" s="193" t="s">
        <v>1837</v>
      </c>
      <c r="I324" s="193" t="s">
        <v>1838</v>
      </c>
      <c r="J324" s="193" t="s">
        <v>1839</v>
      </c>
      <c r="K324" s="193" t="s">
        <v>1840</v>
      </c>
      <c r="L324" s="193" t="s">
        <v>1843</v>
      </c>
      <c r="M324" s="193" t="s">
        <v>1848</v>
      </c>
      <c r="N324" s="193" t="s">
        <v>5114</v>
      </c>
      <c r="O324" s="362"/>
      <c r="P324" s="359">
        <v>46135.96032571759</v>
      </c>
      <c r="Q324" s="193"/>
      <c r="R324" s="193" t="b">
        <v>0</v>
      </c>
      <c r="S324" s="193"/>
      <c r="T324" s="193" t="s">
        <v>5116</v>
      </c>
    </row>
    <row r="325">
      <c r="A325" s="359">
        <v>46136.839745613426</v>
      </c>
      <c r="B325" s="193" t="s">
        <v>3116</v>
      </c>
      <c r="C325" s="361">
        <v>5.0</v>
      </c>
      <c r="D325" s="193" t="s">
        <v>62</v>
      </c>
      <c r="E325" s="193" t="s">
        <v>53</v>
      </c>
      <c r="F325" s="193" t="s">
        <v>3021</v>
      </c>
      <c r="G325" s="362">
        <v>46128.0</v>
      </c>
      <c r="H325" s="193" t="s">
        <v>4032</v>
      </c>
      <c r="I325" s="193" t="s">
        <v>4033</v>
      </c>
      <c r="J325" s="193" t="s">
        <v>4034</v>
      </c>
      <c r="K325" s="193" t="s">
        <v>4036</v>
      </c>
      <c r="L325" s="193" t="s">
        <v>2302</v>
      </c>
      <c r="M325" s="193" t="s">
        <v>4037</v>
      </c>
      <c r="N325" s="193" t="s">
        <v>4039</v>
      </c>
      <c r="O325" s="362"/>
      <c r="P325" s="359">
        <v>46135.761925983796</v>
      </c>
      <c r="Q325" s="193"/>
      <c r="R325" s="193" t="b">
        <v>0</v>
      </c>
      <c r="S325" s="193"/>
      <c r="T325" s="193"/>
    </row>
    <row r="326">
      <c r="A326" s="359">
        <v>46139.71952034722</v>
      </c>
      <c r="B326" s="193" t="s">
        <v>34</v>
      </c>
      <c r="C326" s="361">
        <v>7.0</v>
      </c>
      <c r="D326" s="193" t="s">
        <v>18</v>
      </c>
      <c r="E326" s="193" t="s">
        <v>53</v>
      </c>
      <c r="F326" s="193" t="s">
        <v>54</v>
      </c>
      <c r="G326" s="362">
        <v>46009.0</v>
      </c>
      <c r="H326" s="193" t="s">
        <v>55</v>
      </c>
      <c r="I326" s="193" t="s">
        <v>56</v>
      </c>
      <c r="J326" s="193" t="s">
        <v>57</v>
      </c>
      <c r="K326" s="193" t="s">
        <v>58</v>
      </c>
      <c r="L326" s="193" t="s">
        <v>59</v>
      </c>
      <c r="M326" s="193" t="s">
        <v>60</v>
      </c>
      <c r="N326" s="193" t="s">
        <v>5117</v>
      </c>
      <c r="O326" s="362"/>
      <c r="P326" s="359">
        <v>46084.82475140046</v>
      </c>
      <c r="Q326" s="193"/>
      <c r="R326" s="193" t="b">
        <v>0</v>
      </c>
      <c r="S326" s="193"/>
      <c r="T326" s="193"/>
    </row>
    <row r="327">
      <c r="A327" s="359">
        <v>46139.9473822338</v>
      </c>
      <c r="B327" s="193" t="s">
        <v>2996</v>
      </c>
      <c r="C327" s="361">
        <v>71.0</v>
      </c>
      <c r="D327" s="193" t="s">
        <v>22</v>
      </c>
      <c r="E327" s="193" t="s">
        <v>53</v>
      </c>
      <c r="F327" s="193" t="s">
        <v>34</v>
      </c>
      <c r="G327" s="362">
        <v>46090.0</v>
      </c>
      <c r="H327" s="193" t="s">
        <v>4305</v>
      </c>
      <c r="I327" s="193" t="s">
        <v>4307</v>
      </c>
      <c r="J327" s="193" t="s">
        <v>4308</v>
      </c>
      <c r="K327" s="193" t="s">
        <v>4309</v>
      </c>
      <c r="L327" s="193" t="s">
        <v>1405</v>
      </c>
      <c r="M327" s="193" t="s">
        <v>4310</v>
      </c>
      <c r="N327" s="193" t="s">
        <v>5118</v>
      </c>
      <c r="O327" s="362"/>
      <c r="P327" s="359">
        <v>46135.7694590162</v>
      </c>
      <c r="Q327" s="193"/>
      <c r="R327" s="193" t="b">
        <v>0</v>
      </c>
      <c r="S327" s="193"/>
      <c r="T327" s="193"/>
    </row>
    <row r="328">
      <c r="A328" s="359">
        <v>46141.714765219906</v>
      </c>
      <c r="B328" s="193" t="s">
        <v>3116</v>
      </c>
      <c r="C328" s="361">
        <v>13.0</v>
      </c>
      <c r="D328" s="193" t="s">
        <v>62</v>
      </c>
      <c r="E328" s="193" t="s">
        <v>53</v>
      </c>
      <c r="F328" s="193" t="s">
        <v>867</v>
      </c>
      <c r="G328" s="362">
        <v>46121.0</v>
      </c>
      <c r="H328" s="193" t="s">
        <v>2272</v>
      </c>
      <c r="I328" s="193" t="s">
        <v>2275</v>
      </c>
      <c r="J328" s="193" t="s">
        <v>2277</v>
      </c>
      <c r="K328" s="193" t="s">
        <v>2279</v>
      </c>
      <c r="L328" s="193" t="s">
        <v>69</v>
      </c>
      <c r="M328" s="193" t="s">
        <v>2282</v>
      </c>
      <c r="N328" s="193" t="s">
        <v>2283</v>
      </c>
      <c r="O328" s="362"/>
      <c r="P328" s="359">
        <v>46125.88138979167</v>
      </c>
      <c r="Q328" s="193"/>
      <c r="R328" s="193" t="b">
        <v>0</v>
      </c>
      <c r="S328" s="193"/>
      <c r="T328" s="193"/>
    </row>
    <row r="329">
      <c r="A329" s="359">
        <v>46141.7148325</v>
      </c>
      <c r="B329" s="193" t="s">
        <v>3116</v>
      </c>
      <c r="C329" s="361">
        <v>2.0</v>
      </c>
      <c r="D329" s="193" t="s">
        <v>62</v>
      </c>
      <c r="E329" s="193" t="s">
        <v>53</v>
      </c>
      <c r="F329" s="193" t="s">
        <v>867</v>
      </c>
      <c r="G329" s="362">
        <v>46122.0</v>
      </c>
      <c r="H329" s="193" t="s">
        <v>2296</v>
      </c>
      <c r="I329" s="193" t="s">
        <v>2298</v>
      </c>
      <c r="J329" s="193" t="s">
        <v>2300</v>
      </c>
      <c r="K329" s="193" t="s">
        <v>2301</v>
      </c>
      <c r="L329" s="193" t="s">
        <v>2302</v>
      </c>
      <c r="M329" s="193" t="s">
        <v>2304</v>
      </c>
      <c r="N329" s="193"/>
      <c r="O329" s="362"/>
      <c r="P329" s="359"/>
      <c r="Q329" s="193"/>
      <c r="R329" s="193" t="b">
        <v>0</v>
      </c>
      <c r="S329" s="193"/>
      <c r="T329" s="193"/>
    </row>
    <row r="330">
      <c r="A330" s="359">
        <v>46141.71952684028</v>
      </c>
      <c r="B330" s="193" t="s">
        <v>3116</v>
      </c>
      <c r="C330" s="361">
        <v>21.0</v>
      </c>
      <c r="D330" s="193" t="s">
        <v>22</v>
      </c>
      <c r="E330" s="193" t="s">
        <v>53</v>
      </c>
      <c r="F330" s="193" t="s">
        <v>1451</v>
      </c>
      <c r="G330" s="362">
        <v>46140.0</v>
      </c>
      <c r="H330" s="193" t="s">
        <v>4041</v>
      </c>
      <c r="I330" s="193" t="s">
        <v>4042</v>
      </c>
      <c r="J330" s="193" t="s">
        <v>4044</v>
      </c>
      <c r="K330" s="193" t="s">
        <v>4045</v>
      </c>
      <c r="L330" s="193" t="s">
        <v>359</v>
      </c>
      <c r="M330" s="193" t="s">
        <v>5121</v>
      </c>
      <c r="N330" s="193"/>
      <c r="O330" s="362"/>
      <c r="P330" s="359">
        <v>46141.702655960646</v>
      </c>
      <c r="Q330" s="193"/>
      <c r="R330" s="193" t="b">
        <v>0</v>
      </c>
      <c r="S330" s="193"/>
      <c r="T330" s="193"/>
    </row>
    <row r="331">
      <c r="A331" s="359">
        <v>46141.96128594907</v>
      </c>
      <c r="B331" s="193" t="s">
        <v>3116</v>
      </c>
      <c r="C331" s="361">
        <v>8.0</v>
      </c>
      <c r="D331" s="193" t="s">
        <v>410</v>
      </c>
      <c r="E331" s="193" t="s">
        <v>19</v>
      </c>
      <c r="F331" s="193" t="s">
        <v>24</v>
      </c>
      <c r="G331" s="362">
        <v>46132.0</v>
      </c>
      <c r="H331" s="193" t="s">
        <v>1427</v>
      </c>
      <c r="I331" s="193" t="s">
        <v>1428</v>
      </c>
      <c r="J331" s="193" t="s">
        <v>1429</v>
      </c>
      <c r="K331" s="193" t="s">
        <v>5122</v>
      </c>
      <c r="L331" s="193" t="s">
        <v>1431</v>
      </c>
      <c r="M331" s="193" t="s">
        <v>1432</v>
      </c>
      <c r="N331" s="193" t="s">
        <v>5123</v>
      </c>
      <c r="O331" s="362"/>
      <c r="P331" s="359">
        <v>46135.95106287037</v>
      </c>
      <c r="Q331" s="193"/>
      <c r="R331" s="193" t="b">
        <v>0</v>
      </c>
      <c r="S331" s="193"/>
      <c r="T331" s="193"/>
    </row>
    <row r="332">
      <c r="A332" s="359">
        <v>46142.69738159722</v>
      </c>
      <c r="B332" s="193" t="s">
        <v>3116</v>
      </c>
      <c r="C332" s="361">
        <v>5.0</v>
      </c>
      <c r="D332" s="193" t="s">
        <v>62</v>
      </c>
      <c r="E332" s="193" t="s">
        <v>225</v>
      </c>
      <c r="F332" s="193" t="s">
        <v>24</v>
      </c>
      <c r="G332" s="362">
        <v>46128.0</v>
      </c>
      <c r="H332" s="193" t="s">
        <v>4351</v>
      </c>
      <c r="I332" s="193" t="s">
        <v>4353</v>
      </c>
      <c r="J332" s="193" t="s">
        <v>4354</v>
      </c>
      <c r="K332" s="193" t="s">
        <v>4355</v>
      </c>
      <c r="L332" s="193" t="s">
        <v>3878</v>
      </c>
      <c r="M332" s="193" t="s">
        <v>4357</v>
      </c>
      <c r="N332" s="193"/>
      <c r="O332" s="362"/>
      <c r="P332" s="359"/>
      <c r="Q332" s="193"/>
      <c r="R332" s="193" t="b">
        <v>0</v>
      </c>
      <c r="S332" s="193"/>
      <c r="T332" s="193"/>
    </row>
    <row r="333">
      <c r="A333" s="359">
        <v>46142.697460324074</v>
      </c>
      <c r="B333" s="193" t="s">
        <v>3116</v>
      </c>
      <c r="C333" s="361">
        <v>2.0</v>
      </c>
      <c r="D333" s="193" t="s">
        <v>62</v>
      </c>
      <c r="E333" s="193" t="s">
        <v>225</v>
      </c>
      <c r="F333" s="193" t="s">
        <v>867</v>
      </c>
      <c r="G333" s="362">
        <v>46122.0</v>
      </c>
      <c r="H333" s="193" t="s">
        <v>2313</v>
      </c>
      <c r="I333" s="193" t="s">
        <v>2314</v>
      </c>
      <c r="J333" s="193" t="s">
        <v>2315</v>
      </c>
      <c r="K333" s="193" t="s">
        <v>2316</v>
      </c>
      <c r="L333" s="193" t="s">
        <v>2317</v>
      </c>
      <c r="M333" s="193" t="s">
        <v>2320</v>
      </c>
      <c r="N333" s="193"/>
      <c r="O333" s="362"/>
      <c r="P333" s="359"/>
      <c r="Q333" s="193"/>
      <c r="R333" s="193" t="b">
        <v>0</v>
      </c>
      <c r="S333" s="193"/>
      <c r="T333" s="193"/>
    </row>
    <row r="334">
      <c r="A334" s="359">
        <v>46142.69752202547</v>
      </c>
      <c r="B334" s="193" t="s">
        <v>3116</v>
      </c>
      <c r="C334" s="361">
        <v>3.0</v>
      </c>
      <c r="D334" s="193" t="s">
        <v>62</v>
      </c>
      <c r="E334" s="193" t="s">
        <v>225</v>
      </c>
      <c r="F334" s="193" t="s">
        <v>24</v>
      </c>
      <c r="G334" s="362">
        <v>46128.0</v>
      </c>
      <c r="H334" s="193" t="s">
        <v>1435</v>
      </c>
      <c r="I334" s="193" t="s">
        <v>1436</v>
      </c>
      <c r="J334" s="193" t="s">
        <v>1437</v>
      </c>
      <c r="K334" s="193" t="s">
        <v>1438</v>
      </c>
      <c r="L334" s="193" t="s">
        <v>1439</v>
      </c>
      <c r="M334" s="193"/>
      <c r="N334" s="193" t="s">
        <v>5128</v>
      </c>
      <c r="O334" s="362"/>
      <c r="P334" s="359">
        <v>46128.91494028935</v>
      </c>
      <c r="Q334" s="193"/>
      <c r="R334" s="193" t="b">
        <v>0</v>
      </c>
      <c r="S334" s="193"/>
      <c r="T334" s="193"/>
    </row>
    <row r="335">
      <c r="A335" s="359">
        <v>46142.697572453704</v>
      </c>
      <c r="B335" s="193" t="s">
        <v>3116</v>
      </c>
      <c r="C335" s="361">
        <v>4.0</v>
      </c>
      <c r="D335" s="193" t="s">
        <v>17</v>
      </c>
      <c r="E335" s="193" t="s">
        <v>225</v>
      </c>
      <c r="F335" s="193" t="s">
        <v>867</v>
      </c>
      <c r="G335" s="362">
        <v>46129.0</v>
      </c>
      <c r="H335" s="193" t="s">
        <v>4581</v>
      </c>
      <c r="I335" s="193" t="s">
        <v>4582</v>
      </c>
      <c r="J335" s="193" t="s">
        <v>4583</v>
      </c>
      <c r="K335" s="193" t="s">
        <v>4584</v>
      </c>
      <c r="L335" s="193" t="s">
        <v>4585</v>
      </c>
      <c r="M335" s="193" t="s">
        <v>4586</v>
      </c>
      <c r="N335" s="193"/>
      <c r="O335" s="362"/>
      <c r="P335" s="359"/>
      <c r="Q335" s="193"/>
      <c r="R335" s="193" t="b">
        <v>0</v>
      </c>
      <c r="S335" s="193"/>
      <c r="T335" s="193"/>
    </row>
    <row r="336">
      <c r="A336" s="359">
        <v>46142.698681863425</v>
      </c>
      <c r="B336" s="193" t="s">
        <v>3116</v>
      </c>
      <c r="C336" s="361">
        <v>14.0</v>
      </c>
      <c r="D336" s="193" t="s">
        <v>62</v>
      </c>
      <c r="E336" s="193" t="s">
        <v>225</v>
      </c>
      <c r="F336" s="193" t="s">
        <v>24</v>
      </c>
      <c r="G336" s="362">
        <v>46140.0</v>
      </c>
      <c r="H336" s="193" t="s">
        <v>1055</v>
      </c>
      <c r="I336" s="193" t="s">
        <v>5129</v>
      </c>
      <c r="J336" s="193" t="s">
        <v>1057</v>
      </c>
      <c r="K336" s="193" t="s">
        <v>5130</v>
      </c>
      <c r="L336" s="193" t="s">
        <v>1059</v>
      </c>
      <c r="M336" s="193" t="s">
        <v>5131</v>
      </c>
      <c r="N336" s="193" t="s">
        <v>5132</v>
      </c>
      <c r="O336" s="362"/>
      <c r="P336" s="359">
        <v>46141.95594788194</v>
      </c>
      <c r="Q336" s="193"/>
      <c r="R336" s="193" t="b">
        <v>0</v>
      </c>
      <c r="S336" s="193"/>
      <c r="T336" s="193"/>
    </row>
    <row r="337">
      <c r="A337" s="359">
        <v>46142.69874565973</v>
      </c>
      <c r="B337" s="193" t="s">
        <v>3116</v>
      </c>
      <c r="C337" s="361">
        <v>8.0</v>
      </c>
      <c r="D337" s="193" t="s">
        <v>62</v>
      </c>
      <c r="E337" s="193" t="s">
        <v>225</v>
      </c>
      <c r="F337" s="193" t="s">
        <v>24</v>
      </c>
      <c r="G337" s="362">
        <v>46135.0</v>
      </c>
      <c r="H337" s="193" t="s">
        <v>1442</v>
      </c>
      <c r="I337" s="193" t="s">
        <v>1443</v>
      </c>
      <c r="J337" s="193" t="s">
        <v>1445</v>
      </c>
      <c r="K337" s="193" t="s">
        <v>1447</v>
      </c>
      <c r="L337" s="193" t="s">
        <v>581</v>
      </c>
      <c r="M337" s="193" t="s">
        <v>1470</v>
      </c>
      <c r="N337" s="193" t="s">
        <v>5134</v>
      </c>
      <c r="O337" s="362"/>
      <c r="P337" s="359">
        <v>46136.947060763894</v>
      </c>
      <c r="Q337" s="193"/>
      <c r="R337" s="193" t="b">
        <v>0</v>
      </c>
      <c r="S337" s="193"/>
      <c r="T337" s="193"/>
    </row>
    <row r="338">
      <c r="A338" s="359">
        <v>46142.698805266205</v>
      </c>
      <c r="B338" s="193" t="s">
        <v>3116</v>
      </c>
      <c r="C338" s="361">
        <v>2.0</v>
      </c>
      <c r="D338" s="193" t="s">
        <v>62</v>
      </c>
      <c r="E338" s="193" t="s">
        <v>225</v>
      </c>
      <c r="F338" s="193" t="s">
        <v>24</v>
      </c>
      <c r="G338" s="362">
        <v>46126.0</v>
      </c>
      <c r="H338" s="193" t="s">
        <v>4589</v>
      </c>
      <c r="I338" s="193" t="s">
        <v>4590</v>
      </c>
      <c r="J338" s="193" t="s">
        <v>4591</v>
      </c>
      <c r="K338" s="193" t="s">
        <v>5135</v>
      </c>
      <c r="L338" s="193" t="s">
        <v>2526</v>
      </c>
      <c r="M338" s="193" t="s">
        <v>4595</v>
      </c>
      <c r="N338" s="193" t="s">
        <v>5136</v>
      </c>
      <c r="O338" s="362"/>
      <c r="P338" s="359">
        <v>46139.98728130787</v>
      </c>
      <c r="Q338" s="193"/>
      <c r="R338" s="193" t="b">
        <v>0</v>
      </c>
      <c r="S338" s="193"/>
      <c r="T338" s="193"/>
    </row>
    <row r="339">
      <c r="A339" s="359">
        <v>46142.79465915509</v>
      </c>
      <c r="B339" s="193" t="s">
        <v>3116</v>
      </c>
      <c r="C339" s="361">
        <v>12.0</v>
      </c>
      <c r="D339" s="193" t="s">
        <v>410</v>
      </c>
      <c r="E339" s="193" t="s">
        <v>225</v>
      </c>
      <c r="F339" s="193" t="s">
        <v>24</v>
      </c>
      <c r="G339" s="362">
        <v>46140.0</v>
      </c>
      <c r="H339" s="193" t="s">
        <v>4526</v>
      </c>
      <c r="I339" s="193" t="s">
        <v>4527</v>
      </c>
      <c r="J339" s="193" t="s">
        <v>4528</v>
      </c>
      <c r="K339" s="193" t="s">
        <v>4530</v>
      </c>
      <c r="L339" s="193" t="s">
        <v>2554</v>
      </c>
      <c r="M339" s="193" t="s">
        <v>5137</v>
      </c>
      <c r="N339" s="193" t="s">
        <v>5138</v>
      </c>
      <c r="O339" s="362"/>
      <c r="P339" s="359">
        <v>46142.79050681713</v>
      </c>
      <c r="Q339" s="193"/>
      <c r="R339" s="193" t="b">
        <v>0</v>
      </c>
      <c r="S339" s="193"/>
      <c r="T339" s="193"/>
    </row>
    <row r="340">
      <c r="A340" s="359">
        <v>46143.697369375004</v>
      </c>
      <c r="B340" s="193" t="s">
        <v>3116</v>
      </c>
      <c r="C340" s="361">
        <v>3.0</v>
      </c>
      <c r="D340" s="193" t="s">
        <v>62</v>
      </c>
      <c r="E340" s="193" t="s">
        <v>19</v>
      </c>
      <c r="F340" s="193" t="s">
        <v>24</v>
      </c>
      <c r="G340" s="362">
        <v>46133.0</v>
      </c>
      <c r="H340" s="193" t="s">
        <v>1503</v>
      </c>
      <c r="I340" s="193" t="s">
        <v>1505</v>
      </c>
      <c r="J340" s="193" t="s">
        <v>1506</v>
      </c>
      <c r="K340" s="193" t="s">
        <v>1507</v>
      </c>
      <c r="L340" s="193" t="s">
        <v>1508</v>
      </c>
      <c r="M340" s="193" t="s">
        <v>1509</v>
      </c>
      <c r="N340" s="193" t="s">
        <v>5140</v>
      </c>
      <c r="O340" s="193" t="s">
        <v>5141</v>
      </c>
      <c r="P340" s="359">
        <v>46142.89130204861</v>
      </c>
      <c r="Q340" s="193"/>
      <c r="R340" s="193" t="b">
        <v>0</v>
      </c>
      <c r="S340" s="193"/>
      <c r="T340" s="193"/>
    </row>
    <row r="341">
      <c r="A341" s="359">
        <v>46143.70780790509</v>
      </c>
      <c r="B341" s="193" t="s">
        <v>3003</v>
      </c>
      <c r="C341" s="361">
        <v>8.0</v>
      </c>
      <c r="D341" s="193" t="s">
        <v>17</v>
      </c>
      <c r="E341" s="193" t="s">
        <v>53</v>
      </c>
      <c r="F341" s="193" t="s">
        <v>1410</v>
      </c>
      <c r="G341" s="362">
        <v>46035.0</v>
      </c>
      <c r="H341" s="193" t="s">
        <v>3920</v>
      </c>
      <c r="I341" s="193" t="s">
        <v>3921</v>
      </c>
      <c r="J341" s="193" t="s">
        <v>3923</v>
      </c>
      <c r="K341" s="193" t="s">
        <v>3924</v>
      </c>
      <c r="L341" s="193" t="s">
        <v>1059</v>
      </c>
      <c r="M341" s="193" t="s">
        <v>3925</v>
      </c>
      <c r="N341" s="193" t="s">
        <v>5142</v>
      </c>
      <c r="O341" s="193"/>
      <c r="P341" s="359">
        <v>46143.705536134265</v>
      </c>
      <c r="Q341" s="193" t="b">
        <v>0</v>
      </c>
      <c r="R341" s="193"/>
      <c r="S341" s="193"/>
      <c r="T341" s="193"/>
    </row>
    <row r="342">
      <c r="A342" s="359">
        <v>46143.71950008102</v>
      </c>
      <c r="B342" s="193" t="s">
        <v>2996</v>
      </c>
      <c r="C342" s="361">
        <v>26.0</v>
      </c>
      <c r="D342" s="193" t="s">
        <v>18</v>
      </c>
      <c r="E342" s="193" t="s">
        <v>53</v>
      </c>
      <c r="F342" s="193" t="s">
        <v>1451</v>
      </c>
      <c r="G342" s="362">
        <v>45975.0</v>
      </c>
      <c r="H342" s="193" t="s">
        <v>4070</v>
      </c>
      <c r="I342" s="193" t="s">
        <v>4071</v>
      </c>
      <c r="J342" s="193" t="s">
        <v>4073</v>
      </c>
      <c r="K342" s="193" t="s">
        <v>4075</v>
      </c>
      <c r="L342" s="193" t="s">
        <v>4076</v>
      </c>
      <c r="M342" s="193" t="s">
        <v>4077</v>
      </c>
      <c r="N342" s="193" t="s">
        <v>4078</v>
      </c>
      <c r="O342" s="193"/>
      <c r="P342" s="359">
        <v>46111.91804819445</v>
      </c>
      <c r="Q342" s="193"/>
      <c r="R342" s="193" t="b">
        <v>0</v>
      </c>
      <c r="S342" s="193"/>
      <c r="T342" s="193"/>
    </row>
    <row r="343">
      <c r="A343" s="359">
        <v>46149.88142395833</v>
      </c>
      <c r="B343" s="193" t="s">
        <v>34</v>
      </c>
      <c r="C343" s="361">
        <v>19.0</v>
      </c>
      <c r="D343" s="193" t="s">
        <v>22</v>
      </c>
      <c r="E343" s="193" t="s">
        <v>19</v>
      </c>
      <c r="F343" s="193" t="s">
        <v>1451</v>
      </c>
      <c r="G343" s="362">
        <v>46085.0</v>
      </c>
      <c r="H343" s="193" t="s">
        <v>4082</v>
      </c>
      <c r="I343" s="193" t="s">
        <v>4083</v>
      </c>
      <c r="J343" s="193" t="s">
        <v>4084</v>
      </c>
      <c r="K343" s="193" t="s">
        <v>4085</v>
      </c>
      <c r="L343" s="193" t="s">
        <v>1170</v>
      </c>
      <c r="M343" s="193" t="s">
        <v>4086</v>
      </c>
      <c r="N343" s="193" t="s">
        <v>5143</v>
      </c>
      <c r="O343" s="193"/>
      <c r="P343" s="359">
        <v>46091.86852266204</v>
      </c>
      <c r="Q343" s="193"/>
      <c r="R343" s="193" t="b">
        <v>0</v>
      </c>
      <c r="S343" s="193"/>
      <c r="T343" s="193" t="s">
        <v>4088</v>
      </c>
    </row>
    <row r="344">
      <c r="A344" s="359">
        <v>46153.72518894676</v>
      </c>
      <c r="B344" s="193" t="s">
        <v>3116</v>
      </c>
      <c r="C344" s="361">
        <v>12.0</v>
      </c>
      <c r="D344" s="193" t="s">
        <v>62</v>
      </c>
      <c r="E344" s="193" t="s">
        <v>225</v>
      </c>
      <c r="F344" s="193" t="s">
        <v>867</v>
      </c>
      <c r="G344" s="362">
        <v>46141.0</v>
      </c>
      <c r="H344" s="193" t="s">
        <v>2330</v>
      </c>
      <c r="I344" s="193" t="s">
        <v>2331</v>
      </c>
      <c r="J344" s="193" t="s">
        <v>2332</v>
      </c>
      <c r="K344" s="193" t="s">
        <v>5144</v>
      </c>
      <c r="L344" s="193" t="s">
        <v>686</v>
      </c>
      <c r="M344" s="193" t="s">
        <v>5146</v>
      </c>
      <c r="N344" s="193" t="s">
        <v>2340</v>
      </c>
      <c r="O344" s="193"/>
      <c r="P344" s="359">
        <v>46146.74301153935</v>
      </c>
      <c r="Q344" s="193"/>
      <c r="R344" s="193" t="b">
        <v>0</v>
      </c>
      <c r="S344" s="193"/>
      <c r="T344" s="193"/>
    </row>
    <row r="345">
      <c r="A345" s="359">
        <v>46153.72994796296</v>
      </c>
      <c r="B345" s="193" t="s">
        <v>3116</v>
      </c>
      <c r="C345" s="361">
        <v>22.0</v>
      </c>
      <c r="D345" s="193" t="s">
        <v>906</v>
      </c>
      <c r="E345" s="193" t="s">
        <v>225</v>
      </c>
      <c r="F345" s="193" t="s">
        <v>24</v>
      </c>
      <c r="G345" s="362">
        <v>46148.0</v>
      </c>
      <c r="H345" s="193" t="s">
        <v>1523</v>
      </c>
      <c r="I345" s="193" t="s">
        <v>5147</v>
      </c>
      <c r="J345" s="193" t="s">
        <v>1529</v>
      </c>
      <c r="K345" s="193" t="s">
        <v>1532</v>
      </c>
      <c r="L345" s="193" t="s">
        <v>883</v>
      </c>
      <c r="M345" s="193" t="s">
        <v>5148</v>
      </c>
      <c r="N345" s="193" t="s">
        <v>5149</v>
      </c>
      <c r="O345" s="193"/>
      <c r="P345" s="359">
        <v>46150.784480312504</v>
      </c>
      <c r="Q345" s="193"/>
      <c r="R345" s="193" t="b">
        <v>0</v>
      </c>
      <c r="S345" s="193"/>
      <c r="T345" s="193"/>
    </row>
    <row r="346">
      <c r="A346" s="359">
        <v>46153.73005601852</v>
      </c>
      <c r="B346" s="193" t="s">
        <v>3116</v>
      </c>
      <c r="C346" s="361">
        <v>20.0</v>
      </c>
      <c r="D346" s="193" t="s">
        <v>410</v>
      </c>
      <c r="E346" s="193" t="s">
        <v>225</v>
      </c>
      <c r="F346" s="193" t="s">
        <v>24</v>
      </c>
      <c r="G346" s="362">
        <v>46148.0</v>
      </c>
      <c r="H346" s="193" t="s">
        <v>4119</v>
      </c>
      <c r="I346" s="193" t="s">
        <v>4120</v>
      </c>
      <c r="J346" s="193" t="s">
        <v>4121</v>
      </c>
      <c r="K346" s="193" t="s">
        <v>4122</v>
      </c>
      <c r="L346" s="193" t="s">
        <v>1089</v>
      </c>
      <c r="M346" s="193" t="s">
        <v>5150</v>
      </c>
      <c r="N346" s="193"/>
      <c r="O346" s="193"/>
      <c r="P346" s="359"/>
      <c r="Q346" s="193"/>
      <c r="R346" s="193" t="b">
        <v>0</v>
      </c>
      <c r="S346" s="193"/>
      <c r="T346" s="193"/>
    </row>
    <row r="347">
      <c r="A347" s="359">
        <v>46153.73013619213</v>
      </c>
      <c r="B347" s="193" t="s">
        <v>3116</v>
      </c>
      <c r="C347" s="361">
        <v>16.0</v>
      </c>
      <c r="D347" s="193" t="s">
        <v>62</v>
      </c>
      <c r="E347" s="193" t="s">
        <v>225</v>
      </c>
      <c r="F347" s="193" t="s">
        <v>24</v>
      </c>
      <c r="G347" s="362">
        <v>46146.0</v>
      </c>
      <c r="H347" s="193" t="s">
        <v>1538</v>
      </c>
      <c r="I347" s="193" t="s">
        <v>1539</v>
      </c>
      <c r="J347" s="193" t="s">
        <v>1540</v>
      </c>
      <c r="K347" s="193" t="s">
        <v>5152</v>
      </c>
      <c r="L347" s="193" t="s">
        <v>513</v>
      </c>
      <c r="M347" s="193" t="s">
        <v>5153</v>
      </c>
      <c r="N347" s="193" t="s">
        <v>1543</v>
      </c>
      <c r="O347" s="193"/>
      <c r="P347" s="359">
        <v>46147.92017703704</v>
      </c>
      <c r="Q347" s="193"/>
      <c r="R347" s="193" t="b">
        <v>0</v>
      </c>
      <c r="S347" s="193"/>
      <c r="T347" s="193"/>
    </row>
    <row r="348">
      <c r="A348" s="359">
        <v>46153.77726695602</v>
      </c>
      <c r="B348" s="193" t="s">
        <v>3116</v>
      </c>
      <c r="C348" s="361">
        <v>12.0</v>
      </c>
      <c r="D348" s="193" t="s">
        <v>22</v>
      </c>
      <c r="E348" s="193" t="s">
        <v>53</v>
      </c>
      <c r="F348" s="193" t="s">
        <v>867</v>
      </c>
      <c r="G348" s="362">
        <v>46141.0</v>
      </c>
      <c r="H348" s="193" t="s">
        <v>2347</v>
      </c>
      <c r="I348" s="193" t="s">
        <v>2349</v>
      </c>
      <c r="J348" s="193" t="s">
        <v>2351</v>
      </c>
      <c r="K348" s="193" t="s">
        <v>2353</v>
      </c>
      <c r="L348" s="193" t="s">
        <v>1643</v>
      </c>
      <c r="M348" s="193" t="s">
        <v>2356</v>
      </c>
      <c r="N348" s="193"/>
      <c r="O348" s="193"/>
      <c r="P348" s="359"/>
      <c r="Q348" s="193"/>
      <c r="R348" s="193" t="b">
        <v>0</v>
      </c>
      <c r="S348" s="193"/>
      <c r="T348" s="193"/>
    </row>
    <row r="349">
      <c r="A349" s="359">
        <v>46153.95781303241</v>
      </c>
      <c r="B349" s="193" t="s">
        <v>2996</v>
      </c>
      <c r="C349" s="361">
        <v>95.0</v>
      </c>
      <c r="D349" s="193" t="s">
        <v>410</v>
      </c>
      <c r="E349" s="193" t="s">
        <v>225</v>
      </c>
      <c r="F349" s="193" t="s">
        <v>1451</v>
      </c>
      <c r="G349" s="362">
        <v>46148.0</v>
      </c>
      <c r="H349" s="193" t="s">
        <v>4119</v>
      </c>
      <c r="I349" s="193" t="s">
        <v>4120</v>
      </c>
      <c r="J349" s="193" t="s">
        <v>4121</v>
      </c>
      <c r="K349" s="193" t="s">
        <v>4122</v>
      </c>
      <c r="L349" s="193" t="s">
        <v>1089</v>
      </c>
      <c r="M349" s="193" t="s">
        <v>5150</v>
      </c>
      <c r="N349" s="193" t="s">
        <v>5155</v>
      </c>
      <c r="O349" s="193"/>
      <c r="P349" s="359">
        <v>46153.956735914355</v>
      </c>
      <c r="Q349" s="193"/>
      <c r="R349" s="193" t="b">
        <v>0</v>
      </c>
      <c r="S349" s="193"/>
      <c r="T349" s="193"/>
    </row>
    <row r="350">
      <c r="A350" s="359">
        <v>46154.66615672453</v>
      </c>
      <c r="B350" s="193" t="s">
        <v>3116</v>
      </c>
      <c r="C350" s="361">
        <v>4.0</v>
      </c>
      <c r="D350" s="193" t="s">
        <v>62</v>
      </c>
      <c r="E350" s="193" t="s">
        <v>53</v>
      </c>
      <c r="F350" s="193" t="s">
        <v>24</v>
      </c>
      <c r="G350" s="362">
        <v>46134.0</v>
      </c>
      <c r="H350" s="193" t="s">
        <v>1544</v>
      </c>
      <c r="I350" s="193" t="s">
        <v>1545</v>
      </c>
      <c r="J350" s="193" t="s">
        <v>5156</v>
      </c>
      <c r="K350" s="193" t="s">
        <v>1547</v>
      </c>
      <c r="L350" s="193" t="s">
        <v>667</v>
      </c>
      <c r="M350" s="193" t="s">
        <v>1548</v>
      </c>
      <c r="N350" s="193" t="s">
        <v>5158</v>
      </c>
      <c r="O350" s="193"/>
      <c r="P350" s="359">
        <v>46135.75866046296</v>
      </c>
      <c r="Q350" s="193"/>
      <c r="R350" s="193" t="b">
        <v>0</v>
      </c>
      <c r="S350" s="193"/>
      <c r="T350" s="193"/>
    </row>
    <row r="351">
      <c r="A351" s="359">
        <v>46154.666209918985</v>
      </c>
      <c r="B351" s="193" t="s">
        <v>3116</v>
      </c>
      <c r="C351" s="361">
        <v>3.0</v>
      </c>
      <c r="D351" s="193" t="s">
        <v>22</v>
      </c>
      <c r="E351" s="193" t="s">
        <v>53</v>
      </c>
      <c r="F351" s="193" t="s">
        <v>1722</v>
      </c>
      <c r="G351" s="362">
        <v>46100.0</v>
      </c>
      <c r="H351" s="193" t="s">
        <v>829</v>
      </c>
      <c r="I351" s="193" t="s">
        <v>4792</v>
      </c>
      <c r="J351" s="193" t="s">
        <v>5159</v>
      </c>
      <c r="K351" s="193" t="s">
        <v>4794</v>
      </c>
      <c r="L351" s="193" t="s">
        <v>1760</v>
      </c>
      <c r="M351" s="193" t="s">
        <v>833</v>
      </c>
      <c r="N351" s="193" t="s">
        <v>4797</v>
      </c>
      <c r="O351" s="193"/>
      <c r="P351" s="359">
        <v>46146.82493420139</v>
      </c>
      <c r="Q351" s="193"/>
      <c r="R351" s="193" t="b">
        <v>0</v>
      </c>
      <c r="S351" s="193"/>
      <c r="T351" s="193"/>
    </row>
    <row r="352">
      <c r="A352" s="359">
        <v>46154.66627677083</v>
      </c>
      <c r="B352" s="193" t="s">
        <v>3116</v>
      </c>
      <c r="C352" s="361">
        <v>8.0</v>
      </c>
      <c r="D352" s="193" t="s">
        <v>62</v>
      </c>
      <c r="E352" s="193" t="s">
        <v>53</v>
      </c>
      <c r="F352" s="193" t="s">
        <v>24</v>
      </c>
      <c r="G352" s="362">
        <v>46139.0</v>
      </c>
      <c r="H352" s="193" t="s">
        <v>1553</v>
      </c>
      <c r="I352" s="193" t="s">
        <v>5160</v>
      </c>
      <c r="J352" s="193">
        <v>8.582043649E9</v>
      </c>
      <c r="K352" s="193" t="s">
        <v>1558</v>
      </c>
      <c r="L352" s="193" t="s">
        <v>425</v>
      </c>
      <c r="M352" s="193" t="s">
        <v>1562</v>
      </c>
      <c r="N352" s="193" t="s">
        <v>5161</v>
      </c>
      <c r="O352" s="193"/>
      <c r="P352" s="359">
        <v>46142.00899446759</v>
      </c>
      <c r="Q352" s="193"/>
      <c r="R352" s="193" t="b">
        <v>0</v>
      </c>
      <c r="S352" s="193"/>
      <c r="T352" s="193"/>
    </row>
    <row r="353">
      <c r="A353" s="359">
        <v>46154.667967974536</v>
      </c>
      <c r="B353" s="193" t="s">
        <v>3116</v>
      </c>
      <c r="C353" s="361">
        <v>13.0</v>
      </c>
      <c r="D353" s="193" t="s">
        <v>62</v>
      </c>
      <c r="E353" s="193" t="s">
        <v>53</v>
      </c>
      <c r="F353" s="193" t="s">
        <v>24</v>
      </c>
      <c r="G353" s="362">
        <v>46147.0</v>
      </c>
      <c r="H353" s="193" t="s">
        <v>326</v>
      </c>
      <c r="I353" s="193" t="s">
        <v>5163</v>
      </c>
      <c r="J353" s="193" t="s">
        <v>5164</v>
      </c>
      <c r="K353" s="193" t="s">
        <v>5165</v>
      </c>
      <c r="L353" s="193" t="s">
        <v>317</v>
      </c>
      <c r="M353" s="193" t="s">
        <v>341</v>
      </c>
      <c r="N353" s="193" t="s">
        <v>5166</v>
      </c>
      <c r="O353" s="193"/>
      <c r="P353" s="359">
        <v>46150.81072326389</v>
      </c>
      <c r="Q353" s="193"/>
      <c r="R353" s="193" t="b">
        <v>0</v>
      </c>
      <c r="S353" s="193"/>
      <c r="T353" s="193"/>
    </row>
    <row r="354">
      <c r="A354" s="359">
        <v>46154.668012187496</v>
      </c>
      <c r="B354" s="193" t="s">
        <v>3116</v>
      </c>
      <c r="C354" s="361">
        <v>11.0</v>
      </c>
      <c r="D354" s="193" t="s">
        <v>410</v>
      </c>
      <c r="E354" s="193" t="s">
        <v>53</v>
      </c>
      <c r="F354" s="193" t="s">
        <v>24</v>
      </c>
      <c r="G354" s="362">
        <v>46143.0</v>
      </c>
      <c r="H354" s="193" t="s">
        <v>4661</v>
      </c>
      <c r="I354" s="193" t="s">
        <v>4662</v>
      </c>
      <c r="J354" s="193" t="s">
        <v>5167</v>
      </c>
      <c r="K354" s="193" t="s">
        <v>4664</v>
      </c>
      <c r="L354" s="193" t="s">
        <v>290</v>
      </c>
      <c r="M354" s="193" t="s">
        <v>5168</v>
      </c>
      <c r="N354" s="193" t="s">
        <v>5169</v>
      </c>
      <c r="O354" s="193"/>
      <c r="P354" s="359">
        <v>46147.91923672454</v>
      </c>
      <c r="Q354" s="193"/>
      <c r="R354" s="193" t="b">
        <v>0</v>
      </c>
      <c r="S354" s="193"/>
      <c r="T354" s="193"/>
    </row>
    <row r="355">
      <c r="A355" s="359">
        <v>46154.6680628125</v>
      </c>
      <c r="B355" s="193" t="s">
        <v>3116</v>
      </c>
      <c r="C355" s="361">
        <v>6.0</v>
      </c>
      <c r="D355" s="193" t="s">
        <v>62</v>
      </c>
      <c r="E355" s="193" t="s">
        <v>53</v>
      </c>
      <c r="F355" s="193" t="s">
        <v>24</v>
      </c>
      <c r="G355" s="359">
        <v>46136.04166666667</v>
      </c>
      <c r="H355" s="193" t="s">
        <v>1569</v>
      </c>
      <c r="I355" s="193" t="s">
        <v>1572</v>
      </c>
      <c r="J355" s="193" t="s">
        <v>1574</v>
      </c>
      <c r="K355" s="193" t="s">
        <v>1575</v>
      </c>
      <c r="L355" s="193" t="s">
        <v>90</v>
      </c>
      <c r="M355" s="193" t="s">
        <v>1578</v>
      </c>
      <c r="N355" s="193" t="s">
        <v>5172</v>
      </c>
      <c r="O355" s="193"/>
      <c r="P355" s="359">
        <v>46139.72927921296</v>
      </c>
      <c r="Q355" s="193"/>
      <c r="R355" s="193" t="b">
        <v>0</v>
      </c>
      <c r="S355" s="193"/>
      <c r="T355" s="193"/>
    </row>
    <row r="356">
      <c r="A356" s="359">
        <v>46155.85016289352</v>
      </c>
      <c r="B356" s="193" t="s">
        <v>3116</v>
      </c>
      <c r="C356" s="361">
        <v>20.0</v>
      </c>
      <c r="D356" s="193" t="s">
        <v>22</v>
      </c>
      <c r="E356" s="193" t="s">
        <v>53</v>
      </c>
      <c r="F356" s="193" t="s">
        <v>1451</v>
      </c>
      <c r="G356" s="362">
        <v>46154.0</v>
      </c>
      <c r="H356" s="193" t="s">
        <v>4128</v>
      </c>
      <c r="I356" s="193" t="s">
        <v>4130</v>
      </c>
      <c r="J356" s="193" t="s">
        <v>4131</v>
      </c>
      <c r="K356" s="193" t="s">
        <v>5175</v>
      </c>
      <c r="L356" s="193" t="s">
        <v>4133</v>
      </c>
      <c r="M356" s="193" t="s">
        <v>5176</v>
      </c>
      <c r="N356" s="193" t="s">
        <v>4135</v>
      </c>
      <c r="O356" s="193"/>
      <c r="P356" s="359">
        <v>46155.84667262732</v>
      </c>
      <c r="Q356" s="193"/>
      <c r="R356" s="193"/>
      <c r="S356" s="193"/>
      <c r="T356" s="193"/>
    </row>
    <row r="357">
      <c r="A357" s="359">
        <v>46155.90700015046</v>
      </c>
      <c r="B357" s="193" t="s">
        <v>3116</v>
      </c>
      <c r="C357" s="361">
        <v>9.0</v>
      </c>
      <c r="D357" s="193" t="s">
        <v>62</v>
      </c>
      <c r="E357" s="193" t="s">
        <v>19</v>
      </c>
      <c r="F357" s="193" t="s">
        <v>24</v>
      </c>
      <c r="G357" s="362">
        <v>46143.0</v>
      </c>
      <c r="H357" s="193" t="s">
        <v>1587</v>
      </c>
      <c r="I357" s="193" t="s">
        <v>1588</v>
      </c>
      <c r="J357" s="193" t="s">
        <v>1590</v>
      </c>
      <c r="K357" s="193" t="s">
        <v>1591</v>
      </c>
      <c r="L357" s="193" t="s">
        <v>1592</v>
      </c>
      <c r="M357" s="193" t="s">
        <v>1595</v>
      </c>
      <c r="N357" s="193" t="s">
        <v>1598</v>
      </c>
      <c r="O357" s="193"/>
      <c r="P357" s="359">
        <v>46146.76514841436</v>
      </c>
      <c r="Q357" s="193"/>
      <c r="R357" s="193" t="b">
        <v>0</v>
      </c>
      <c r="S357" s="193"/>
      <c r="T357" s="193"/>
    </row>
    <row r="358">
      <c r="A358" s="359">
        <v>46156.75643380787</v>
      </c>
      <c r="B358" s="193" t="s">
        <v>3116</v>
      </c>
      <c r="C358" s="361">
        <v>3.0</v>
      </c>
      <c r="D358" s="193" t="s">
        <v>22</v>
      </c>
      <c r="E358" s="193" t="s">
        <v>23</v>
      </c>
      <c r="F358" s="193" t="s">
        <v>1722</v>
      </c>
      <c r="G358" s="359">
        <v>46136.04166666667</v>
      </c>
      <c r="H358" s="193" t="s">
        <v>1729</v>
      </c>
      <c r="I358" s="193" t="s">
        <v>1731</v>
      </c>
      <c r="J358" s="193" t="s">
        <v>1732</v>
      </c>
      <c r="K358" s="193" t="s">
        <v>1734</v>
      </c>
      <c r="L358" s="193" t="s">
        <v>1630</v>
      </c>
      <c r="M358" s="193" t="s">
        <v>5185</v>
      </c>
      <c r="N358" s="193" t="s">
        <v>5187</v>
      </c>
      <c r="O358" s="193"/>
      <c r="P358" s="359">
        <v>46139.918980601855</v>
      </c>
      <c r="Q358" s="193"/>
      <c r="R358" s="193" t="b">
        <v>0</v>
      </c>
      <c r="S358" s="193"/>
      <c r="T358" s="193"/>
    </row>
    <row r="359">
      <c r="A359" s="359">
        <v>46156.756494155095</v>
      </c>
      <c r="B359" s="193" t="s">
        <v>3116</v>
      </c>
      <c r="C359" s="361">
        <v>6.0</v>
      </c>
      <c r="D359" s="193" t="s">
        <v>17</v>
      </c>
      <c r="E359" s="193" t="s">
        <v>23</v>
      </c>
      <c r="F359" s="193" t="s">
        <v>1451</v>
      </c>
      <c r="G359" s="362">
        <v>46148.0</v>
      </c>
      <c r="H359" s="193" t="s">
        <v>4141</v>
      </c>
      <c r="I359" s="193" t="s">
        <v>4142</v>
      </c>
      <c r="J359" s="193" t="s">
        <v>4143</v>
      </c>
      <c r="K359" s="193" t="s">
        <v>4146</v>
      </c>
      <c r="L359" s="193" t="s">
        <v>1181</v>
      </c>
      <c r="M359" s="193" t="s">
        <v>4148</v>
      </c>
      <c r="N359" s="193" t="s">
        <v>5189</v>
      </c>
      <c r="O359" s="193"/>
      <c r="P359" s="359">
        <v>46155.87819747685</v>
      </c>
      <c r="Q359" s="193"/>
      <c r="R359" s="193" t="b">
        <v>0</v>
      </c>
      <c r="S359" s="193"/>
      <c r="T359" s="193"/>
    </row>
    <row r="360">
      <c r="A360" s="359">
        <v>46156.756559490736</v>
      </c>
      <c r="B360" s="193" t="s">
        <v>3116</v>
      </c>
      <c r="C360" s="361">
        <v>4.0</v>
      </c>
      <c r="D360" s="193" t="s">
        <v>62</v>
      </c>
      <c r="E360" s="193" t="s">
        <v>23</v>
      </c>
      <c r="F360" s="193" t="s">
        <v>867</v>
      </c>
      <c r="G360" s="362">
        <v>46146.0</v>
      </c>
      <c r="H360" s="193" t="s">
        <v>2437</v>
      </c>
      <c r="I360" s="193" t="s">
        <v>5190</v>
      </c>
      <c r="J360" s="193" t="s">
        <v>2440</v>
      </c>
      <c r="K360" s="193" t="s">
        <v>2441</v>
      </c>
      <c r="L360" s="193" t="s">
        <v>1831</v>
      </c>
      <c r="M360" s="193" t="s">
        <v>2442</v>
      </c>
      <c r="N360" s="193" t="s">
        <v>5192</v>
      </c>
      <c r="O360" s="193"/>
      <c r="P360" s="359">
        <v>46147.9219225</v>
      </c>
      <c r="Q360" s="193"/>
      <c r="R360" s="193" t="b">
        <v>0</v>
      </c>
      <c r="S360" s="193"/>
      <c r="T360" s="193"/>
    </row>
    <row r="361">
      <c r="A361" s="359">
        <v>46156.78209125</v>
      </c>
      <c r="B361" s="193" t="s">
        <v>2996</v>
      </c>
      <c r="C361" s="361">
        <v>14.0</v>
      </c>
      <c r="D361" s="193" t="s">
        <v>22</v>
      </c>
      <c r="E361" s="193" t="s">
        <v>53</v>
      </c>
      <c r="F361" s="193" t="s">
        <v>1410</v>
      </c>
      <c r="G361" s="362">
        <v>45861.0</v>
      </c>
      <c r="H361" s="193" t="s">
        <v>1937</v>
      </c>
      <c r="I361" s="193" t="s">
        <v>1939</v>
      </c>
      <c r="J361" s="193" t="s">
        <v>4157</v>
      </c>
      <c r="K361" s="193" t="s">
        <v>1943</v>
      </c>
      <c r="L361" s="193" t="s">
        <v>381</v>
      </c>
      <c r="M361" s="193" t="s">
        <v>2884</v>
      </c>
      <c r="N361" s="193" t="s">
        <v>4159</v>
      </c>
      <c r="O361" s="193"/>
      <c r="P361" s="359"/>
      <c r="Q361" s="193"/>
      <c r="R361" s="193" t="b">
        <v>0</v>
      </c>
      <c r="S361" s="193"/>
      <c r="T361" s="193"/>
    </row>
    <row r="362">
      <c r="A362" s="359">
        <v>46156.93352832176</v>
      </c>
      <c r="B362" s="193" t="s">
        <v>34</v>
      </c>
      <c r="C362" s="361">
        <v>14.0</v>
      </c>
      <c r="D362" s="193" t="s">
        <v>22</v>
      </c>
      <c r="E362" s="193" t="s">
        <v>19</v>
      </c>
      <c r="F362" s="193" t="s">
        <v>1451</v>
      </c>
      <c r="G362" s="362">
        <v>46063.0</v>
      </c>
      <c r="H362" s="193" t="s">
        <v>4163</v>
      </c>
      <c r="I362" s="193" t="s">
        <v>4164</v>
      </c>
      <c r="J362" s="193" t="s">
        <v>4165</v>
      </c>
      <c r="K362" s="193" t="s">
        <v>4166</v>
      </c>
      <c r="L362" s="193" t="s">
        <v>4167</v>
      </c>
      <c r="M362" s="193" t="s">
        <v>4168</v>
      </c>
      <c r="N362" s="193" t="s">
        <v>5199</v>
      </c>
      <c r="O362" s="193"/>
      <c r="P362" s="359">
        <v>46156.931016539354</v>
      </c>
      <c r="Q362" s="193"/>
      <c r="R362" s="193" t="b">
        <v>0</v>
      </c>
      <c r="S362" s="193"/>
      <c r="T362" s="193" t="s">
        <v>86</v>
      </c>
    </row>
    <row r="363">
      <c r="A363" s="359">
        <v>46156.95913324074</v>
      </c>
      <c r="B363" s="193" t="s">
        <v>3116</v>
      </c>
      <c r="C363" s="361">
        <v>9.0</v>
      </c>
      <c r="D363" s="193" t="s">
        <v>22</v>
      </c>
      <c r="E363" s="193" t="s">
        <v>23</v>
      </c>
      <c r="F363" s="193" t="s">
        <v>1451</v>
      </c>
      <c r="G363" s="362">
        <v>46153.0</v>
      </c>
      <c r="H363" s="193" t="s">
        <v>4171</v>
      </c>
      <c r="I363" s="193" t="s">
        <v>4172</v>
      </c>
      <c r="J363" s="193" t="s">
        <v>4173</v>
      </c>
      <c r="K363" s="193" t="s">
        <v>4174</v>
      </c>
      <c r="L363" s="193" t="s">
        <v>453</v>
      </c>
      <c r="M363" s="193" t="s">
        <v>4175</v>
      </c>
      <c r="N363" s="193" t="s">
        <v>4176</v>
      </c>
      <c r="O363" s="193"/>
      <c r="P363" s="359">
        <v>46156.95881871528</v>
      </c>
      <c r="Q363" s="193"/>
      <c r="R363" s="193"/>
      <c r="S363" s="193"/>
      <c r="T363" s="193"/>
    </row>
    <row r="364">
      <c r="A364" s="359">
        <v>46157.89663667824</v>
      </c>
      <c r="B364" s="193" t="s">
        <v>3007</v>
      </c>
      <c r="C364" s="361">
        <v>117.0</v>
      </c>
      <c r="D364" s="193" t="s">
        <v>17</v>
      </c>
      <c r="E364" s="193" t="s">
        <v>23</v>
      </c>
      <c r="F364" s="193" t="s">
        <v>24</v>
      </c>
      <c r="G364" s="362">
        <v>45922.0</v>
      </c>
      <c r="H364" s="193" t="s">
        <v>4192</v>
      </c>
      <c r="I364" s="193" t="s">
        <v>4193</v>
      </c>
      <c r="J364" s="193" t="s">
        <v>4194</v>
      </c>
      <c r="K364" s="193" t="s">
        <v>4195</v>
      </c>
      <c r="L364" s="193" t="s">
        <v>123</v>
      </c>
      <c r="M364" s="193" t="s">
        <v>4196</v>
      </c>
      <c r="N364" s="193" t="s">
        <v>4197</v>
      </c>
      <c r="O364" s="193"/>
      <c r="P364" s="359"/>
      <c r="Q364" s="193"/>
      <c r="R364" s="193" t="b">
        <v>0</v>
      </c>
      <c r="S364" s="193"/>
      <c r="T364" s="193"/>
    </row>
    <row r="365">
      <c r="A365" s="359">
        <v>46160.77165930555</v>
      </c>
      <c r="B365" s="193" t="s">
        <v>3116</v>
      </c>
      <c r="C365" s="361">
        <v>8.0</v>
      </c>
      <c r="D365" s="193" t="s">
        <v>17</v>
      </c>
      <c r="E365" s="193" t="s">
        <v>53</v>
      </c>
      <c r="F365" s="193" t="s">
        <v>1451</v>
      </c>
      <c r="G365" s="362">
        <v>46153.0</v>
      </c>
      <c r="H365" s="193" t="s">
        <v>4178</v>
      </c>
      <c r="I365" s="193" t="s">
        <v>4179</v>
      </c>
      <c r="J365" s="193" t="s">
        <v>4180</v>
      </c>
      <c r="K365" s="193" t="s">
        <v>4181</v>
      </c>
      <c r="L365" s="193" t="s">
        <v>4183</v>
      </c>
      <c r="M365" s="193" t="s">
        <v>5206</v>
      </c>
      <c r="N365" s="193" t="s">
        <v>4187</v>
      </c>
      <c r="O365" s="193"/>
      <c r="P365" s="359">
        <v>46154.78474869213</v>
      </c>
      <c r="Q365" s="193"/>
      <c r="R365" s="193"/>
      <c r="S365" s="193"/>
      <c r="T365" s="193"/>
    </row>
    <row r="366">
      <c r="A366" s="359">
        <v>46160.90919085648</v>
      </c>
      <c r="B366" s="193" t="s">
        <v>2996</v>
      </c>
      <c r="C366" s="361">
        <v>105.0</v>
      </c>
      <c r="D366" s="193" t="s">
        <v>17</v>
      </c>
      <c r="E366" s="193" t="s">
        <v>23</v>
      </c>
      <c r="F366" s="193" t="s">
        <v>1527</v>
      </c>
      <c r="G366" s="362">
        <v>45922.0</v>
      </c>
      <c r="H366" s="193" t="s">
        <v>4192</v>
      </c>
      <c r="I366" s="193" t="s">
        <v>4193</v>
      </c>
      <c r="J366" s="193" t="s">
        <v>4194</v>
      </c>
      <c r="K366" s="193" t="s">
        <v>4195</v>
      </c>
      <c r="L366" s="193" t="s">
        <v>123</v>
      </c>
      <c r="M366" s="193" t="s">
        <v>4196</v>
      </c>
      <c r="N366" s="193" t="s">
        <v>4197</v>
      </c>
      <c r="O366" s="193"/>
      <c r="P366" s="359"/>
      <c r="Q366" s="193"/>
      <c r="R366" s="193" t="b">
        <v>0</v>
      </c>
      <c r="S366" s="193"/>
      <c r="T366" s="193"/>
    </row>
    <row r="367">
      <c r="A367" s="359">
        <v>46163.80853116898</v>
      </c>
      <c r="B367" s="193" t="s">
        <v>3116</v>
      </c>
      <c r="C367" s="361">
        <v>11.0</v>
      </c>
      <c r="D367" s="193" t="s">
        <v>906</v>
      </c>
      <c r="E367" s="193" t="s">
        <v>225</v>
      </c>
      <c r="F367" s="193" t="s">
        <v>24</v>
      </c>
      <c r="G367" s="362">
        <v>46155.0</v>
      </c>
      <c r="H367" s="193" t="s">
        <v>4243</v>
      </c>
      <c r="I367" s="193" t="s">
        <v>4245</v>
      </c>
      <c r="J367" s="193" t="s">
        <v>4246</v>
      </c>
      <c r="K367" s="193" t="s">
        <v>5207</v>
      </c>
      <c r="L367" s="193" t="s">
        <v>2554</v>
      </c>
      <c r="M367" s="193" t="s">
        <v>5208</v>
      </c>
      <c r="N367" s="193"/>
      <c r="O367" s="193"/>
      <c r="P367" s="359"/>
      <c r="Q367" s="193"/>
      <c r="R367" s="193"/>
      <c r="S367" s="193"/>
      <c r="T367" s="193"/>
    </row>
    <row r="368">
      <c r="A368" s="359">
        <v>46163.80863861111</v>
      </c>
      <c r="B368" s="193" t="s">
        <v>3116</v>
      </c>
      <c r="C368" s="361">
        <v>10.0</v>
      </c>
      <c r="D368" s="193" t="s">
        <v>62</v>
      </c>
      <c r="E368" s="193" t="s">
        <v>225</v>
      </c>
      <c r="F368" s="193" t="s">
        <v>24</v>
      </c>
      <c r="G368" s="362">
        <v>46154.0</v>
      </c>
      <c r="H368" s="193" t="s">
        <v>1757</v>
      </c>
      <c r="I368" s="193" t="s">
        <v>1759</v>
      </c>
      <c r="J368" s="193" t="s">
        <v>1761</v>
      </c>
      <c r="K368" s="193" t="s">
        <v>5210</v>
      </c>
      <c r="L368" s="193" t="s">
        <v>1155</v>
      </c>
      <c r="M368" s="193" t="s">
        <v>5212</v>
      </c>
      <c r="N368" s="193" t="s">
        <v>1766</v>
      </c>
      <c r="O368" s="193"/>
      <c r="P368" s="359">
        <v>46161.862108182875</v>
      </c>
      <c r="Q368" s="193"/>
      <c r="R368" s="193"/>
      <c r="S368" s="193"/>
      <c r="T368" s="193"/>
    </row>
    <row r="369">
      <c r="A369" s="359">
        <v>46163.813309942125</v>
      </c>
      <c r="B369" s="193" t="s">
        <v>3116</v>
      </c>
      <c r="C369" s="361">
        <v>21.0</v>
      </c>
      <c r="D369" s="193" t="s">
        <v>906</v>
      </c>
      <c r="E369" s="193" t="s">
        <v>225</v>
      </c>
      <c r="F369" s="193" t="s">
        <v>360</v>
      </c>
      <c r="G369" s="362">
        <v>46162.0</v>
      </c>
      <c r="H369" s="193" t="s">
        <v>911</v>
      </c>
      <c r="I369" s="193" t="s">
        <v>912</v>
      </c>
      <c r="J369" s="193" t="s">
        <v>913</v>
      </c>
      <c r="K369" s="193" t="s">
        <v>5216</v>
      </c>
      <c r="L369" s="193" t="s">
        <v>613</v>
      </c>
      <c r="M369" s="193" t="s">
        <v>5217</v>
      </c>
      <c r="N369" s="193"/>
      <c r="O369" s="193"/>
      <c r="P369" s="359"/>
      <c r="Q369" s="193"/>
      <c r="R369" s="193"/>
      <c r="S369" s="193"/>
      <c r="T369" s="193"/>
    </row>
    <row r="370">
      <c r="A370" s="359">
        <v>46163.81342396991</v>
      </c>
      <c r="B370" s="193" t="s">
        <v>3116</v>
      </c>
      <c r="C370" s="361">
        <v>7.0</v>
      </c>
      <c r="D370" s="193" t="s">
        <v>906</v>
      </c>
      <c r="E370" s="193" t="s">
        <v>225</v>
      </c>
      <c r="F370" s="193" t="s">
        <v>1451</v>
      </c>
      <c r="G370" s="362">
        <v>46150.0</v>
      </c>
      <c r="H370" s="193" t="s">
        <v>4201</v>
      </c>
      <c r="I370" s="193" t="s">
        <v>4202</v>
      </c>
      <c r="J370" s="193" t="s">
        <v>4203</v>
      </c>
      <c r="K370" s="193" t="s">
        <v>4205</v>
      </c>
      <c r="L370" s="193" t="s">
        <v>4207</v>
      </c>
      <c r="M370" s="193" t="s">
        <v>5223</v>
      </c>
      <c r="N370" s="193"/>
      <c r="O370" s="193"/>
      <c r="P370" s="359"/>
      <c r="Q370" s="193"/>
      <c r="R370" s="193"/>
      <c r="S370" s="193"/>
      <c r="T370" s="193"/>
    </row>
    <row r="371">
      <c r="A371" s="359">
        <v>46163.90226717593</v>
      </c>
      <c r="B371" s="193" t="s">
        <v>3116</v>
      </c>
      <c r="C371" s="361">
        <v>14.0</v>
      </c>
      <c r="D371" s="193" t="s">
        <v>17</v>
      </c>
      <c r="E371" s="193" t="s">
        <v>53</v>
      </c>
      <c r="F371" s="193" t="s">
        <v>1451</v>
      </c>
      <c r="G371" s="362">
        <v>46160.0</v>
      </c>
      <c r="H371" s="193" t="s">
        <v>4212</v>
      </c>
      <c r="I371" s="193" t="s">
        <v>4213</v>
      </c>
      <c r="J371" s="193" t="s">
        <v>4215</v>
      </c>
      <c r="K371" s="193" t="s">
        <v>4216</v>
      </c>
      <c r="L371" s="193" t="s">
        <v>1155</v>
      </c>
      <c r="M371" s="193" t="s">
        <v>5228</v>
      </c>
      <c r="N371" s="193" t="s">
        <v>5229</v>
      </c>
      <c r="O371" s="193"/>
      <c r="P371" s="359">
        <v>46163.90014673611</v>
      </c>
      <c r="Q371" s="193"/>
      <c r="R371" s="193"/>
      <c r="S371" s="193"/>
      <c r="T371" s="193"/>
    </row>
    <row r="372">
      <c r="A372" s="359">
        <v>46171.811973159725</v>
      </c>
      <c r="B372" s="193" t="s">
        <v>2996</v>
      </c>
      <c r="C372" s="361">
        <v>70.0</v>
      </c>
      <c r="D372" s="193" t="s">
        <v>22</v>
      </c>
      <c r="E372" s="193" t="s">
        <v>19</v>
      </c>
      <c r="F372" s="193" t="s">
        <v>1451</v>
      </c>
      <c r="G372" s="362">
        <v>46097.0</v>
      </c>
      <c r="H372" s="193" t="s">
        <v>4222</v>
      </c>
      <c r="I372" s="193" t="s">
        <v>4223</v>
      </c>
      <c r="J372" s="193" t="s">
        <v>4225</v>
      </c>
      <c r="K372" s="193" t="s">
        <v>4226</v>
      </c>
      <c r="L372" s="193" t="s">
        <v>4227</v>
      </c>
      <c r="M372" s="193" t="s">
        <v>4228</v>
      </c>
      <c r="N372" s="193" t="s">
        <v>4229</v>
      </c>
      <c r="O372" s="193"/>
      <c r="P372" s="359">
        <v>46171.81052020833</v>
      </c>
      <c r="Q372" s="193"/>
      <c r="R372" s="193" t="b">
        <v>0</v>
      </c>
      <c r="S372" s="193"/>
      <c r="T372" s="193"/>
    </row>
    <row r="373">
      <c r="A373" s="359">
        <v>46175.73562732639</v>
      </c>
      <c r="B373" s="193" t="s">
        <v>3116</v>
      </c>
      <c r="C373" s="361">
        <v>13.0</v>
      </c>
      <c r="D373" s="193" t="s">
        <v>22</v>
      </c>
      <c r="E373" s="193" t="s">
        <v>23</v>
      </c>
      <c r="F373" s="193" t="s">
        <v>24</v>
      </c>
      <c r="G373" s="362">
        <v>46160.0</v>
      </c>
      <c r="H373" s="193" t="s">
        <v>1773</v>
      </c>
      <c r="I373" s="193" t="s">
        <v>1774</v>
      </c>
      <c r="J373" s="193" t="s">
        <v>1775</v>
      </c>
      <c r="K373" s="193" t="s">
        <v>1777</v>
      </c>
      <c r="L373" s="193" t="s">
        <v>1760</v>
      </c>
      <c r="M373" s="193" t="s">
        <v>5238</v>
      </c>
      <c r="N373" s="193" t="s">
        <v>5239</v>
      </c>
      <c r="O373" s="193"/>
      <c r="P373" s="359">
        <v>46162.92498539352</v>
      </c>
      <c r="Q373" s="193"/>
      <c r="R373" s="193"/>
      <c r="S373" s="193"/>
      <c r="T373" s="193"/>
    </row>
    <row r="374">
      <c r="A374" s="359">
        <v>46175.73572319445</v>
      </c>
      <c r="B374" s="193" t="s">
        <v>3116</v>
      </c>
      <c r="C374" s="361">
        <v>6.0</v>
      </c>
      <c r="D374" s="193" t="s">
        <v>22</v>
      </c>
      <c r="E374" s="193" t="s">
        <v>23</v>
      </c>
      <c r="F374" s="193" t="s">
        <v>1451</v>
      </c>
      <c r="G374" s="362">
        <v>46153.0</v>
      </c>
      <c r="H374" s="193" t="s">
        <v>4231</v>
      </c>
      <c r="I374" s="193" t="s">
        <v>4232</v>
      </c>
      <c r="J374" s="193" t="s">
        <v>4233</v>
      </c>
      <c r="K374" s="193" t="s">
        <v>4234</v>
      </c>
      <c r="L374" s="193" t="s">
        <v>4235</v>
      </c>
      <c r="M374" s="193" t="s">
        <v>5243</v>
      </c>
      <c r="N374" s="193" t="s">
        <v>4238</v>
      </c>
      <c r="O374" s="193"/>
      <c r="P374" s="359">
        <v>46160.75800221065</v>
      </c>
      <c r="Q374" s="193"/>
      <c r="R374" s="193"/>
      <c r="S374" s="193"/>
      <c r="T374" s="193"/>
    </row>
    <row r="375">
      <c r="A375" s="359">
        <v>46175.825868472224</v>
      </c>
      <c r="B375" s="193" t="s">
        <v>2996</v>
      </c>
      <c r="C375" s="361">
        <v>104.0</v>
      </c>
      <c r="D375" s="193" t="s">
        <v>906</v>
      </c>
      <c r="E375" s="193" t="s">
        <v>225</v>
      </c>
      <c r="F375" s="193" t="s">
        <v>1451</v>
      </c>
      <c r="G375" s="362">
        <v>46155.0</v>
      </c>
      <c r="H375" s="193" t="s">
        <v>4243</v>
      </c>
      <c r="I375" s="193" t="s">
        <v>4245</v>
      </c>
      <c r="J375" s="193" t="s">
        <v>4246</v>
      </c>
      <c r="K375" s="193" t="s">
        <v>5207</v>
      </c>
      <c r="L375" s="193" t="s">
        <v>2554</v>
      </c>
      <c r="M375" s="193" t="s">
        <v>5208</v>
      </c>
      <c r="N375" s="193" t="s">
        <v>5247</v>
      </c>
      <c r="O375" s="193"/>
      <c r="P375" s="359">
        <v>46175.82366601852</v>
      </c>
      <c r="Q375" s="193"/>
      <c r="R375" s="193"/>
      <c r="S375" s="193"/>
      <c r="T375" s="193"/>
    </row>
    <row r="376">
      <c r="A376" s="359">
        <v>46176.933560335645</v>
      </c>
      <c r="B376" s="193" t="s">
        <v>3116</v>
      </c>
      <c r="C376" s="361">
        <v>27.0</v>
      </c>
      <c r="D376" s="193" t="s">
        <v>117</v>
      </c>
      <c r="E376" s="193" t="s">
        <v>53</v>
      </c>
      <c r="F376" s="193" t="s">
        <v>1451</v>
      </c>
      <c r="G376" s="362">
        <v>46174.0</v>
      </c>
      <c r="H376" s="193" t="s">
        <v>4252</v>
      </c>
      <c r="I376" s="193" t="s">
        <v>4253</v>
      </c>
      <c r="J376" s="193" t="s">
        <v>4255</v>
      </c>
      <c r="K376" s="193" t="s">
        <v>4256</v>
      </c>
      <c r="L376" s="193" t="s">
        <v>1760</v>
      </c>
      <c r="M376" s="193" t="s">
        <v>5248</v>
      </c>
      <c r="N376" s="193" t="s">
        <v>4259</v>
      </c>
      <c r="O376" s="193"/>
      <c r="P376" s="359">
        <v>46176.93020270833</v>
      </c>
      <c r="Q376" s="193"/>
      <c r="R376" s="193"/>
      <c r="S376" s="193"/>
      <c r="T376" s="193"/>
    </row>
    <row r="377">
      <c r="A377" s="359">
        <v>46177.82239793982</v>
      </c>
      <c r="B377" s="193" t="s">
        <v>3116</v>
      </c>
      <c r="C377" s="361">
        <v>29.0</v>
      </c>
      <c r="D377" s="193" t="s">
        <v>135</v>
      </c>
      <c r="E377" s="193" t="s">
        <v>53</v>
      </c>
      <c r="F377" s="193" t="s">
        <v>34</v>
      </c>
      <c r="G377" s="362">
        <v>46177.0</v>
      </c>
      <c r="H377" s="193" t="s">
        <v>4461</v>
      </c>
      <c r="I377" s="193" t="s">
        <v>4462</v>
      </c>
      <c r="J377" s="193" t="s">
        <v>4463</v>
      </c>
      <c r="K377" s="193" t="s">
        <v>4464</v>
      </c>
      <c r="L377" s="193" t="s">
        <v>667</v>
      </c>
      <c r="M377" s="193" t="s">
        <v>5252</v>
      </c>
      <c r="N377" s="193" t="s">
        <v>5253</v>
      </c>
      <c r="O377" s="193"/>
      <c r="P377" s="359">
        <v>46177.77937636574</v>
      </c>
      <c r="Q377" s="193"/>
      <c r="R377" s="193"/>
      <c r="S377" s="193"/>
      <c r="T377" s="193"/>
    </row>
    <row r="378">
      <c r="A378" s="359">
        <v>46177.82244841435</v>
      </c>
      <c r="B378" s="193" t="s">
        <v>2996</v>
      </c>
      <c r="C378" s="361">
        <v>97.0</v>
      </c>
      <c r="D378" s="193" t="s">
        <v>62</v>
      </c>
      <c r="E378" s="193" t="s">
        <v>53</v>
      </c>
      <c r="F378" s="193" t="s">
        <v>34</v>
      </c>
      <c r="G378" s="362">
        <v>46147.0</v>
      </c>
      <c r="H378" s="193" t="s">
        <v>326</v>
      </c>
      <c r="I378" s="193" t="s">
        <v>5163</v>
      </c>
      <c r="J378" s="193" t="s">
        <v>5256</v>
      </c>
      <c r="K378" s="193" t="s">
        <v>5165</v>
      </c>
      <c r="L378" s="193" t="s">
        <v>317</v>
      </c>
      <c r="M378" s="193" t="s">
        <v>341</v>
      </c>
      <c r="N378" s="193" t="s">
        <v>5259</v>
      </c>
      <c r="O378" s="193"/>
      <c r="P378" s="359">
        <v>46177.81869770834</v>
      </c>
      <c r="Q378" s="193"/>
      <c r="R378" s="193" t="b">
        <v>0</v>
      </c>
      <c r="S378" s="193"/>
      <c r="T378" s="193"/>
    </row>
    <row r="379">
      <c r="A379" s="359">
        <v>46182.77050554398</v>
      </c>
      <c r="B379" s="193" t="s">
        <v>3116</v>
      </c>
      <c r="C379" s="361">
        <v>22.0</v>
      </c>
      <c r="D379" s="193" t="s">
        <v>22</v>
      </c>
      <c r="E379" s="193" t="s">
        <v>53</v>
      </c>
      <c r="F379" s="193" t="s">
        <v>867</v>
      </c>
      <c r="G379" s="362">
        <v>46164.0</v>
      </c>
      <c r="H379" s="193" t="s">
        <v>2503</v>
      </c>
      <c r="I379" s="193" t="s">
        <v>2504</v>
      </c>
      <c r="J379" s="193" t="s">
        <v>2505</v>
      </c>
      <c r="K379" s="193" t="s">
        <v>2506</v>
      </c>
      <c r="L379" s="193" t="s">
        <v>590</v>
      </c>
      <c r="M379" s="193" t="s">
        <v>5260</v>
      </c>
      <c r="N379" s="193"/>
      <c r="O379" s="193"/>
      <c r="P379" s="359"/>
      <c r="Q379" s="193"/>
      <c r="R379" s="193"/>
      <c r="S379" s="193"/>
      <c r="T379" s="193"/>
    </row>
    <row r="380">
      <c r="A380" s="359">
        <v>46182.801580590276</v>
      </c>
      <c r="B380" s="193" t="s">
        <v>3116</v>
      </c>
      <c r="C380" s="361">
        <v>14.0</v>
      </c>
      <c r="D380" s="193" t="s">
        <v>22</v>
      </c>
      <c r="E380" s="193" t="s">
        <v>53</v>
      </c>
      <c r="F380" s="193" t="s">
        <v>34</v>
      </c>
      <c r="G380" s="362">
        <v>46161.0</v>
      </c>
      <c r="H380" s="193" t="s">
        <v>355</v>
      </c>
      <c r="I380" s="193" t="s">
        <v>356</v>
      </c>
      <c r="J380" s="193" t="s">
        <v>357</v>
      </c>
      <c r="K380" s="193" t="s">
        <v>358</v>
      </c>
      <c r="L380" s="193" t="s">
        <v>359</v>
      </c>
      <c r="M380" s="193" t="s">
        <v>361</v>
      </c>
      <c r="N380" s="193" t="s">
        <v>5261</v>
      </c>
      <c r="O380" s="193"/>
      <c r="P380" s="359">
        <v>46163.969041585646</v>
      </c>
      <c r="Q380" s="193"/>
      <c r="R380" s="193"/>
      <c r="S380" s="193"/>
      <c r="T380" s="193"/>
    </row>
    <row r="381">
      <c r="A381" s="359">
        <v>46182.881414710646</v>
      </c>
      <c r="B381" s="193" t="s">
        <v>2996</v>
      </c>
      <c r="C381" s="361">
        <v>3.0</v>
      </c>
      <c r="D381" s="193" t="s">
        <v>17</v>
      </c>
      <c r="E381" s="193" t="s">
        <v>53</v>
      </c>
      <c r="F381" s="193" t="s">
        <v>1451</v>
      </c>
      <c r="G381" s="362">
        <v>45709.0</v>
      </c>
      <c r="H381" s="193" t="s">
        <v>4267</v>
      </c>
      <c r="I381" s="193" t="s">
        <v>4268</v>
      </c>
      <c r="J381" s="193" t="s">
        <v>4269</v>
      </c>
      <c r="K381" s="193"/>
      <c r="L381" s="193" t="s">
        <v>534</v>
      </c>
      <c r="M381" s="193" t="s">
        <v>4277</v>
      </c>
      <c r="N381" s="193" t="s">
        <v>4279</v>
      </c>
      <c r="O381" s="193"/>
      <c r="P381" s="193" t="s">
        <v>4280</v>
      </c>
      <c r="Q381" s="193" t="s">
        <v>64</v>
      </c>
      <c r="R381" s="193" t="b">
        <v>0</v>
      </c>
      <c r="S381" s="193"/>
      <c r="T381" s="193"/>
    </row>
    <row r="382">
      <c r="A382" s="359">
        <v>46182.89532494213</v>
      </c>
      <c r="B382" s="193" t="s">
        <v>3116</v>
      </c>
      <c r="C382" s="361">
        <v>2.0</v>
      </c>
      <c r="D382" s="193" t="s">
        <v>62</v>
      </c>
      <c r="E382" s="193" t="s">
        <v>19</v>
      </c>
      <c r="F382" s="193" t="s">
        <v>1451</v>
      </c>
      <c r="G382" s="362">
        <v>46129.0</v>
      </c>
      <c r="H382" s="193" t="s">
        <v>4285</v>
      </c>
      <c r="I382" s="193" t="s">
        <v>4286</v>
      </c>
      <c r="J382" s="193" t="s">
        <v>4287</v>
      </c>
      <c r="K382" s="193" t="s">
        <v>4288</v>
      </c>
      <c r="L382" s="193" t="s">
        <v>4289</v>
      </c>
      <c r="M382" s="193" t="s">
        <v>4291</v>
      </c>
      <c r="N382" s="193" t="s">
        <v>4292</v>
      </c>
      <c r="O382" s="193"/>
      <c r="P382" s="359">
        <v>46129.88202002315</v>
      </c>
      <c r="Q382" s="193"/>
      <c r="R382" s="193" t="b">
        <v>0</v>
      </c>
      <c r="S382" s="193"/>
      <c r="T382" s="193"/>
    </row>
    <row r="383">
      <c r="A383" s="359">
        <v>46183.86754263889</v>
      </c>
      <c r="B383" s="193" t="s">
        <v>2996</v>
      </c>
      <c r="C383" s="361">
        <v>78.0</v>
      </c>
      <c r="D383" s="193" t="s">
        <v>22</v>
      </c>
      <c r="E383" s="193" t="s">
        <v>53</v>
      </c>
      <c r="F383" s="193" t="s">
        <v>1451</v>
      </c>
      <c r="G383" s="362">
        <v>46098.0</v>
      </c>
      <c r="H383" s="193" t="s">
        <v>4296</v>
      </c>
      <c r="I383" s="193" t="s">
        <v>3439</v>
      </c>
      <c r="J383" s="193" t="s">
        <v>4297</v>
      </c>
      <c r="K383" s="193" t="s">
        <v>4298</v>
      </c>
      <c r="L383" s="193" t="s">
        <v>4300</v>
      </c>
      <c r="M383" s="193" t="s">
        <v>4301</v>
      </c>
      <c r="N383" s="193" t="s">
        <v>5265</v>
      </c>
      <c r="O383" s="193"/>
      <c r="P383" s="359">
        <v>46183.86705583333</v>
      </c>
      <c r="Q383" s="193"/>
      <c r="R383" s="193" t="b">
        <v>0</v>
      </c>
      <c r="S383" s="193"/>
      <c r="T383" s="193"/>
    </row>
    <row r="384">
      <c r="A384" s="359">
        <v>46183.89533353009</v>
      </c>
      <c r="B384" s="193" t="s">
        <v>34</v>
      </c>
      <c r="C384" s="361">
        <v>15.0</v>
      </c>
      <c r="D384" s="193" t="s">
        <v>22</v>
      </c>
      <c r="E384" s="193" t="s">
        <v>19</v>
      </c>
      <c r="F384" s="193" t="s">
        <v>360</v>
      </c>
      <c r="G384" s="362">
        <v>46044.0</v>
      </c>
      <c r="H384" s="193" t="s">
        <v>931</v>
      </c>
      <c r="I384" s="193" t="s">
        <v>933</v>
      </c>
      <c r="J384" s="193" t="s">
        <v>935</v>
      </c>
      <c r="K384" s="193" t="s">
        <v>937</v>
      </c>
      <c r="L384" s="193" t="s">
        <v>939</v>
      </c>
      <c r="M384" s="193" t="s">
        <v>941</v>
      </c>
      <c r="N384" s="193" t="s">
        <v>5267</v>
      </c>
      <c r="O384" s="193"/>
      <c r="P384" s="359">
        <v>46183.89279131945</v>
      </c>
      <c r="Q384" s="193"/>
      <c r="R384" s="193" t="b">
        <v>0</v>
      </c>
      <c r="S384" s="193"/>
      <c r="T384" s="193" t="s">
        <v>954</v>
      </c>
    </row>
    <row r="385">
      <c r="A385" s="359">
        <v>46183.950852951384</v>
      </c>
      <c r="B385" s="193" t="s">
        <v>34</v>
      </c>
      <c r="C385" s="361">
        <v>21.0</v>
      </c>
      <c r="D385" s="193" t="s">
        <v>22</v>
      </c>
      <c r="E385" s="193" t="s">
        <v>53</v>
      </c>
      <c r="F385" s="193" t="s">
        <v>1451</v>
      </c>
      <c r="G385" s="362">
        <v>46090.0</v>
      </c>
      <c r="H385" s="193" t="s">
        <v>4305</v>
      </c>
      <c r="I385" s="193" t="s">
        <v>4307</v>
      </c>
      <c r="J385" s="193" t="s">
        <v>4308</v>
      </c>
      <c r="K385" s="193" t="s">
        <v>4309</v>
      </c>
      <c r="L385" s="193" t="s">
        <v>1405</v>
      </c>
      <c r="M385" s="193" t="s">
        <v>4310</v>
      </c>
      <c r="N385" s="193" t="s">
        <v>4311</v>
      </c>
      <c r="O385" s="193"/>
      <c r="P385" s="359">
        <v>46140.860062673615</v>
      </c>
      <c r="Q385" s="193"/>
      <c r="R385" s="193" t="b">
        <v>0</v>
      </c>
      <c r="S385" s="193"/>
      <c r="T385" s="193" t="s">
        <v>86</v>
      </c>
    </row>
    <row r="386">
      <c r="A386" s="359">
        <v>46188.72516957176</v>
      </c>
      <c r="B386" s="193" t="s">
        <v>3116</v>
      </c>
      <c r="C386" s="361">
        <v>30.0</v>
      </c>
      <c r="D386" s="193" t="s">
        <v>117</v>
      </c>
      <c r="E386" s="193" t="s">
        <v>53</v>
      </c>
      <c r="F386" s="193" t="s">
        <v>1451</v>
      </c>
      <c r="G386" s="362">
        <v>46182.0</v>
      </c>
      <c r="H386" s="193" t="s">
        <v>4323</v>
      </c>
      <c r="I386" s="193" t="s">
        <v>4324</v>
      </c>
      <c r="J386" s="193" t="s">
        <v>4325</v>
      </c>
      <c r="K386" s="193" t="s">
        <v>4326</v>
      </c>
      <c r="L386" s="193" t="s">
        <v>762</v>
      </c>
      <c r="M386" s="193" t="s">
        <v>4328</v>
      </c>
      <c r="N386" s="193" t="s">
        <v>5274</v>
      </c>
      <c r="O386" s="193"/>
      <c r="P386" s="359">
        <v>46185.77326019676</v>
      </c>
      <c r="Q386" s="193"/>
      <c r="R386" s="193"/>
      <c r="S386" s="193"/>
      <c r="T386" s="193"/>
    </row>
    <row r="387">
      <c r="A387" s="359">
        <v>46189.74950737269</v>
      </c>
      <c r="B387" s="193" t="s">
        <v>3116</v>
      </c>
      <c r="C387" s="361">
        <v>14.0</v>
      </c>
      <c r="D387" s="193" t="s">
        <v>62</v>
      </c>
      <c r="E387" s="193" t="s">
        <v>225</v>
      </c>
      <c r="F387" s="193" t="s">
        <v>24</v>
      </c>
      <c r="G387" s="362">
        <v>46163.0</v>
      </c>
      <c r="H387" s="193" t="s">
        <v>1784</v>
      </c>
      <c r="I387" s="193" t="s">
        <v>1785</v>
      </c>
      <c r="J387" s="193" t="s">
        <v>1787</v>
      </c>
      <c r="K387" s="193" t="s">
        <v>5278</v>
      </c>
      <c r="L387" s="193" t="s">
        <v>1791</v>
      </c>
      <c r="M387" s="193" t="s">
        <v>5279</v>
      </c>
      <c r="N387" s="193" t="s">
        <v>5280</v>
      </c>
      <c r="O387" s="193"/>
      <c r="P387" s="359">
        <v>46184.931249988425</v>
      </c>
      <c r="Q387" s="193"/>
      <c r="R387" s="193"/>
      <c r="S387" s="193"/>
      <c r="T387" s="193"/>
    </row>
    <row r="388">
      <c r="A388" s="359">
        <v>46189.749625185184</v>
      </c>
      <c r="B388" s="193" t="s">
        <v>3116</v>
      </c>
      <c r="C388" s="361">
        <v>13.0</v>
      </c>
      <c r="D388" s="193" t="s">
        <v>906</v>
      </c>
      <c r="E388" s="193" t="s">
        <v>225</v>
      </c>
      <c r="F388" s="193" t="s">
        <v>24</v>
      </c>
      <c r="G388" s="362">
        <v>46163.0</v>
      </c>
      <c r="H388" s="193" t="s">
        <v>4517</v>
      </c>
      <c r="I388" s="193" t="s">
        <v>4518</v>
      </c>
      <c r="J388" s="193" t="s">
        <v>4519</v>
      </c>
      <c r="K388" s="193" t="s">
        <v>4520</v>
      </c>
      <c r="L388" s="193" t="s">
        <v>1811</v>
      </c>
      <c r="M388" s="193" t="s">
        <v>5285</v>
      </c>
      <c r="N388" s="193"/>
      <c r="O388" s="193"/>
      <c r="P388" s="359"/>
      <c r="Q388" s="193"/>
      <c r="R388" s="193"/>
      <c r="S388" s="193"/>
      <c r="T388" s="193"/>
    </row>
    <row r="389">
      <c r="A389" s="359">
        <v>46189.74971311343</v>
      </c>
      <c r="B389" s="193" t="s">
        <v>3116</v>
      </c>
      <c r="C389" s="361">
        <v>37.0</v>
      </c>
      <c r="D389" s="193" t="s">
        <v>62</v>
      </c>
      <c r="E389" s="193" t="s">
        <v>225</v>
      </c>
      <c r="F389" s="193" t="s">
        <v>1451</v>
      </c>
      <c r="G389" s="362">
        <v>46185.0</v>
      </c>
      <c r="H389" s="193" t="s">
        <v>4335</v>
      </c>
      <c r="I389" s="193" t="s">
        <v>4336</v>
      </c>
      <c r="J389" s="193" t="s">
        <v>4337</v>
      </c>
      <c r="K389" s="193" t="s">
        <v>5291</v>
      </c>
      <c r="L389" s="193" t="s">
        <v>4339</v>
      </c>
      <c r="M389" s="193" t="s">
        <v>5292</v>
      </c>
      <c r="N389" s="193" t="s">
        <v>4341</v>
      </c>
      <c r="O389" s="193"/>
      <c r="P389" s="359">
        <v>46188.96695855324</v>
      </c>
      <c r="Q389" s="193"/>
      <c r="R389" s="193"/>
      <c r="S389" s="193"/>
      <c r="T389" s="193"/>
    </row>
    <row r="390">
      <c r="A390" s="359">
        <v>46189.74981163195</v>
      </c>
      <c r="B390" s="193" t="s">
        <v>3116</v>
      </c>
      <c r="C390" s="361">
        <v>16.0</v>
      </c>
      <c r="D390" s="193" t="s">
        <v>22</v>
      </c>
      <c r="E390" s="193" t="s">
        <v>225</v>
      </c>
      <c r="F390" s="193" t="s">
        <v>867</v>
      </c>
      <c r="G390" s="362"/>
      <c r="H390" s="193" t="s">
        <v>2126</v>
      </c>
      <c r="I390" s="193" t="s">
        <v>2128</v>
      </c>
      <c r="J390" s="193" t="s">
        <v>2130</v>
      </c>
      <c r="K390" s="193" t="s">
        <v>2131</v>
      </c>
      <c r="L390" s="193" t="s">
        <v>2133</v>
      </c>
      <c r="M390" s="193" t="s">
        <v>2134</v>
      </c>
      <c r="N390" s="193" t="s">
        <v>5302</v>
      </c>
      <c r="O390" s="193"/>
      <c r="P390" s="359">
        <v>46182.94785769676</v>
      </c>
      <c r="Q390" s="193"/>
      <c r="R390" s="193"/>
      <c r="S390" s="193"/>
      <c r="T390" s="193"/>
    </row>
    <row r="391">
      <c r="A391" s="359">
        <v>46189.750784895834</v>
      </c>
      <c r="B391" s="193" t="s">
        <v>3116</v>
      </c>
      <c r="C391" s="361">
        <v>29.0</v>
      </c>
      <c r="D391" s="193" t="s">
        <v>17</v>
      </c>
      <c r="E391" s="193" t="s">
        <v>225</v>
      </c>
      <c r="F391" s="193" t="s">
        <v>24</v>
      </c>
      <c r="G391" s="362">
        <v>46182.0</v>
      </c>
      <c r="H391" s="193" t="s">
        <v>1049</v>
      </c>
      <c r="I391" s="193" t="s">
        <v>5303</v>
      </c>
      <c r="J391" s="193" t="s">
        <v>238</v>
      </c>
      <c r="K391" s="193" t="s">
        <v>238</v>
      </c>
      <c r="L391" s="193" t="s">
        <v>238</v>
      </c>
      <c r="M391" s="193" t="s">
        <v>5305</v>
      </c>
      <c r="N391" s="193"/>
      <c r="O391" s="193"/>
      <c r="P391" s="359"/>
      <c r="Q391" s="193"/>
      <c r="R391" s="193"/>
      <c r="S391" s="193"/>
      <c r="T391" s="193"/>
    </row>
    <row r="392">
      <c r="A392" s="359">
        <v>46189.75085054398</v>
      </c>
      <c r="B392" s="193" t="s">
        <v>3116</v>
      </c>
      <c r="C392" s="361">
        <v>23.0</v>
      </c>
      <c r="D392" s="193" t="s">
        <v>62</v>
      </c>
      <c r="E392" s="193" t="s">
        <v>225</v>
      </c>
      <c r="F392" s="193" t="s">
        <v>867</v>
      </c>
      <c r="G392" s="362">
        <v>46177.0</v>
      </c>
      <c r="H392" s="193" t="s">
        <v>2522</v>
      </c>
      <c r="I392" s="193" t="s">
        <v>2523</v>
      </c>
      <c r="J392" s="193" t="s">
        <v>2524</v>
      </c>
      <c r="K392" s="193" t="s">
        <v>2525</v>
      </c>
      <c r="L392" s="193" t="s">
        <v>2526</v>
      </c>
      <c r="M392" s="193" t="s">
        <v>2527</v>
      </c>
      <c r="N392" s="193"/>
      <c r="O392" s="193"/>
      <c r="P392" s="359"/>
      <c r="Q392" s="193"/>
      <c r="R392" s="193"/>
      <c r="S392" s="193"/>
      <c r="T392" s="193"/>
    </row>
    <row r="393">
      <c r="A393" s="359">
        <v>46189.75090755787</v>
      </c>
      <c r="B393" s="193" t="s">
        <v>3116</v>
      </c>
      <c r="C393" s="361">
        <v>18.0</v>
      </c>
      <c r="D393" s="193" t="s">
        <v>18</v>
      </c>
      <c r="E393" s="193" t="s">
        <v>225</v>
      </c>
      <c r="F393" s="193" t="s">
        <v>24</v>
      </c>
      <c r="G393" s="362">
        <v>46168.0</v>
      </c>
      <c r="H393" s="193" t="s">
        <v>1796</v>
      </c>
      <c r="I393" s="193" t="s">
        <v>1806</v>
      </c>
      <c r="J393" s="193" t="s">
        <v>1808</v>
      </c>
      <c r="K393" s="193" t="s">
        <v>5309</v>
      </c>
      <c r="L393" s="193" t="s">
        <v>1811</v>
      </c>
      <c r="M393" s="193" t="s">
        <v>1813</v>
      </c>
      <c r="N393" s="193" t="s">
        <v>5310</v>
      </c>
      <c r="O393" s="193"/>
      <c r="P393" s="359">
        <v>46176.88484263889</v>
      </c>
      <c r="Q393" s="193"/>
      <c r="R393" s="193"/>
      <c r="S393" s="193"/>
      <c r="T393" s="193"/>
    </row>
    <row r="394">
      <c r="A394" s="359">
        <v>46189.750995486116</v>
      </c>
      <c r="B394" s="193" t="s">
        <v>3116</v>
      </c>
      <c r="C394" s="361">
        <v>14.0</v>
      </c>
      <c r="D394" s="193" t="s">
        <v>17</v>
      </c>
      <c r="E394" s="193" t="s">
        <v>225</v>
      </c>
      <c r="F394" s="193" t="s">
        <v>360</v>
      </c>
      <c r="G394" s="362">
        <v>46163.0</v>
      </c>
      <c r="H394" s="193" t="s">
        <v>961</v>
      </c>
      <c r="I394" s="193" t="s">
        <v>963</v>
      </c>
      <c r="J394" s="193" t="s">
        <v>965</v>
      </c>
      <c r="K394" s="193" t="s">
        <v>5313</v>
      </c>
      <c r="L394" s="193" t="s">
        <v>686</v>
      </c>
      <c r="M394" s="193" t="s">
        <v>968</v>
      </c>
      <c r="N394" s="193" t="s">
        <v>5314</v>
      </c>
      <c r="O394" s="193"/>
      <c r="P394" s="359">
        <v>46164.89294755787</v>
      </c>
      <c r="Q394" s="193"/>
      <c r="R394" s="193"/>
      <c r="S394" s="193"/>
      <c r="T394" s="193"/>
    </row>
    <row r="395">
      <c r="A395" s="359">
        <v>46189.81889751158</v>
      </c>
      <c r="B395" s="193" t="s">
        <v>3116</v>
      </c>
      <c r="C395" s="361">
        <v>28.0</v>
      </c>
      <c r="D395" s="193" t="s">
        <v>906</v>
      </c>
      <c r="E395" s="193" t="s">
        <v>53</v>
      </c>
      <c r="F395" s="193" t="s">
        <v>1451</v>
      </c>
      <c r="G395" s="362">
        <v>46183.0</v>
      </c>
      <c r="H395" s="193" t="s">
        <v>5316</v>
      </c>
      <c r="I395" s="193" t="s">
        <v>4344</v>
      </c>
      <c r="J395" s="193" t="s">
        <v>4345</v>
      </c>
      <c r="K395" s="193" t="s">
        <v>4346</v>
      </c>
      <c r="L395" s="193" t="s">
        <v>4347</v>
      </c>
      <c r="M395" s="193" t="s">
        <v>4348</v>
      </c>
      <c r="N395" s="193"/>
      <c r="O395" s="193"/>
      <c r="P395" s="359"/>
      <c r="Q395" s="193"/>
      <c r="R395" s="193"/>
      <c r="S395" s="193"/>
      <c r="T395" s="193"/>
    </row>
    <row r="396">
      <c r="A396" s="359">
        <v>46191.93697282407</v>
      </c>
      <c r="B396" s="193" t="s">
        <v>3116</v>
      </c>
      <c r="C396" s="361">
        <v>32.0</v>
      </c>
      <c r="D396" s="193" t="s">
        <v>17</v>
      </c>
      <c r="E396" s="193" t="s">
        <v>53</v>
      </c>
      <c r="F396" s="193" t="s">
        <v>867</v>
      </c>
      <c r="G396" s="362">
        <v>46188.0</v>
      </c>
      <c r="H396" s="193" t="s">
        <v>5318</v>
      </c>
      <c r="I396" s="193" t="s">
        <v>2542</v>
      </c>
      <c r="J396" s="193">
        <v>2.816105387E9</v>
      </c>
      <c r="K396" s="193" t="s">
        <v>2543</v>
      </c>
      <c r="L396" s="193" t="s">
        <v>590</v>
      </c>
      <c r="M396" s="193" t="s">
        <v>5319</v>
      </c>
      <c r="N396" s="193" t="s">
        <v>5320</v>
      </c>
      <c r="O396" s="193"/>
      <c r="P396" s="359">
        <v>46189.77298902778</v>
      </c>
      <c r="Q396" s="193"/>
      <c r="R396" s="193"/>
      <c r="S396" s="193"/>
      <c r="T396" s="193"/>
    </row>
    <row r="397">
      <c r="A397" s="359">
        <v>46191.93825432871</v>
      </c>
      <c r="B397" s="193" t="s">
        <v>3116</v>
      </c>
      <c r="C397" s="361">
        <v>38.0</v>
      </c>
      <c r="D397" s="193" t="s">
        <v>22</v>
      </c>
      <c r="E397" s="193" t="s">
        <v>53</v>
      </c>
      <c r="F397" s="193" t="s">
        <v>867</v>
      </c>
      <c r="G397" s="362">
        <v>46190.0</v>
      </c>
      <c r="H397" s="193" t="s">
        <v>2696</v>
      </c>
      <c r="I397" s="193" t="s">
        <v>2697</v>
      </c>
      <c r="J397" s="193" t="s">
        <v>2698</v>
      </c>
      <c r="K397" s="193" t="s">
        <v>2699</v>
      </c>
      <c r="L397" s="193" t="s">
        <v>843</v>
      </c>
      <c r="M397" s="193" t="s">
        <v>5322</v>
      </c>
      <c r="N397" s="193" t="s">
        <v>1000</v>
      </c>
      <c r="O397" s="193"/>
      <c r="P397" s="359">
        <v>46191.9303640625</v>
      </c>
      <c r="Q397" s="193"/>
      <c r="R397" s="193"/>
      <c r="S397" s="193"/>
      <c r="T397" s="193"/>
    </row>
    <row r="398">
      <c r="A398" s="359">
        <v>46192.704371238426</v>
      </c>
      <c r="B398" s="193" t="s">
        <v>3116</v>
      </c>
      <c r="C398" s="361">
        <v>30.0</v>
      </c>
      <c r="D398" s="193" t="s">
        <v>22</v>
      </c>
      <c r="E398" s="193" t="s">
        <v>23</v>
      </c>
      <c r="F398" s="193" t="s">
        <v>867</v>
      </c>
      <c r="G398" s="362">
        <v>46184.0</v>
      </c>
      <c r="H398" s="193" t="s">
        <v>2555</v>
      </c>
      <c r="I398" s="193" t="s">
        <v>2556</v>
      </c>
      <c r="J398" s="193" t="s">
        <v>2557</v>
      </c>
      <c r="K398" s="193" t="s">
        <v>2559</v>
      </c>
      <c r="L398" s="193" t="s">
        <v>1146</v>
      </c>
      <c r="M398" s="193" t="s">
        <v>5323</v>
      </c>
      <c r="N398" s="193" t="s">
        <v>5324</v>
      </c>
      <c r="O398" s="193"/>
      <c r="P398" s="359">
        <v>46188.86773376157</v>
      </c>
      <c r="Q398" s="193"/>
      <c r="R398" s="193"/>
      <c r="S398" s="193"/>
      <c r="T398" s="193"/>
    </row>
    <row r="399">
      <c r="A399" s="359">
        <v>46192.7044902662</v>
      </c>
      <c r="B399" s="193" t="s">
        <v>3116</v>
      </c>
      <c r="C399" s="361">
        <v>27.0</v>
      </c>
      <c r="D399" s="193" t="s">
        <v>906</v>
      </c>
      <c r="E399" s="193" t="s">
        <v>23</v>
      </c>
      <c r="F399" s="193" t="s">
        <v>867</v>
      </c>
      <c r="G399" s="362">
        <v>46183.0</v>
      </c>
      <c r="H399" s="193" t="s">
        <v>2571</v>
      </c>
      <c r="I399" s="193" t="s">
        <v>2572</v>
      </c>
      <c r="J399" s="193" t="s">
        <v>2573</v>
      </c>
      <c r="K399" s="193" t="s">
        <v>2575</v>
      </c>
      <c r="L399" s="193" t="s">
        <v>2579</v>
      </c>
      <c r="M399" s="193" t="s">
        <v>2581</v>
      </c>
      <c r="N399" s="193"/>
      <c r="O399" s="193"/>
      <c r="P399" s="359"/>
      <c r="Q399" s="193"/>
      <c r="R399" s="193"/>
      <c r="S399" s="193"/>
      <c r="T399" s="193"/>
    </row>
    <row r="400">
      <c r="A400" s="359">
        <v>46192.70780792824</v>
      </c>
      <c r="B400" s="193" t="s">
        <v>3116</v>
      </c>
      <c r="C400" s="361">
        <v>16.0</v>
      </c>
      <c r="D400" s="193" t="s">
        <v>410</v>
      </c>
      <c r="E400" s="193" t="s">
        <v>23</v>
      </c>
      <c r="F400" s="193" t="s">
        <v>867</v>
      </c>
      <c r="G400" s="362">
        <v>46168.0</v>
      </c>
      <c r="H400" s="193" t="s">
        <v>2594</v>
      </c>
      <c r="I400" s="193" t="s">
        <v>2595</v>
      </c>
      <c r="J400" s="193" t="s">
        <v>2596</v>
      </c>
      <c r="K400" s="193" t="s">
        <v>2597</v>
      </c>
      <c r="L400" s="193" t="s">
        <v>301</v>
      </c>
      <c r="M400" s="193" t="s">
        <v>5330</v>
      </c>
      <c r="N400" s="193" t="s">
        <v>2600</v>
      </c>
      <c r="O400" s="193"/>
      <c r="P400" s="359">
        <v>46176.787723622685</v>
      </c>
      <c r="Q400" s="193"/>
      <c r="R400" s="193"/>
      <c r="S400" s="193"/>
      <c r="T400" s="193"/>
    </row>
    <row r="401">
      <c r="A401" s="359">
        <v>46192.70913613426</v>
      </c>
      <c r="B401" s="193" t="s">
        <v>3116</v>
      </c>
      <c r="C401" s="361">
        <v>26.0</v>
      </c>
      <c r="D401" s="193" t="s">
        <v>18</v>
      </c>
      <c r="E401" s="193" t="s">
        <v>23</v>
      </c>
      <c r="F401" s="193" t="s">
        <v>867</v>
      </c>
      <c r="G401" s="362">
        <v>46183.0</v>
      </c>
      <c r="H401" s="193" t="s">
        <v>2616</v>
      </c>
      <c r="I401" s="193" t="s">
        <v>2618</v>
      </c>
      <c r="J401" s="193" t="s">
        <v>2619</v>
      </c>
      <c r="K401" s="193" t="s">
        <v>2620</v>
      </c>
      <c r="L401" s="193" t="s">
        <v>613</v>
      </c>
      <c r="M401" s="193" t="s">
        <v>5333</v>
      </c>
      <c r="N401" s="193" t="s">
        <v>2622</v>
      </c>
      <c r="O401" s="193"/>
      <c r="P401" s="359">
        <v>46185.876888750005</v>
      </c>
      <c r="Q401" s="193"/>
      <c r="R401" s="193"/>
      <c r="S401" s="193"/>
      <c r="T401" s="193"/>
    </row>
    <row r="402">
      <c r="A402" s="359">
        <v>46192.70922030092</v>
      </c>
      <c r="B402" s="193" t="s">
        <v>3116</v>
      </c>
      <c r="C402" s="361">
        <v>21.0</v>
      </c>
      <c r="D402" s="193" t="s">
        <v>906</v>
      </c>
      <c r="E402" s="193" t="s">
        <v>53</v>
      </c>
      <c r="F402" s="193" t="s">
        <v>24</v>
      </c>
      <c r="G402" s="362">
        <v>46181.0</v>
      </c>
      <c r="H402" s="193" t="s">
        <v>1828</v>
      </c>
      <c r="I402" s="193" t="s">
        <v>1829</v>
      </c>
      <c r="J402" s="193">
        <v>8.328726881E9</v>
      </c>
      <c r="K402" s="193" t="s">
        <v>1830</v>
      </c>
      <c r="L402" s="193" t="s">
        <v>1831</v>
      </c>
      <c r="M402" s="193" t="s">
        <v>1832</v>
      </c>
      <c r="N402" s="193"/>
      <c r="O402" s="193"/>
      <c r="P402" s="359"/>
      <c r="Q402" s="193"/>
      <c r="R402" s="193"/>
      <c r="S402" s="193"/>
      <c r="T402" s="193"/>
    </row>
    <row r="403">
      <c r="A403" s="359">
        <v>46195.68007120371</v>
      </c>
      <c r="B403" s="193" t="s">
        <v>3116</v>
      </c>
      <c r="C403" s="361">
        <v>32.0</v>
      </c>
      <c r="D403" s="193" t="s">
        <v>22</v>
      </c>
      <c r="E403" s="193" t="s">
        <v>19</v>
      </c>
      <c r="F403" s="193" t="s">
        <v>867</v>
      </c>
      <c r="G403" s="362">
        <v>46190.0</v>
      </c>
      <c r="H403" s="193" t="s">
        <v>2634</v>
      </c>
      <c r="I403" s="193" t="s">
        <v>2636</v>
      </c>
      <c r="J403" s="193" t="s">
        <v>2639</v>
      </c>
      <c r="K403" s="193" t="s">
        <v>2640</v>
      </c>
      <c r="L403" s="193" t="s">
        <v>2643</v>
      </c>
      <c r="M403" s="193" t="s">
        <v>2645</v>
      </c>
      <c r="N403" s="193"/>
      <c r="O403" s="193"/>
      <c r="P403" s="359"/>
      <c r="Q403" s="193"/>
      <c r="R403" s="193"/>
      <c r="S403" s="193"/>
      <c r="T403" s="193"/>
    </row>
    <row r="404">
      <c r="A404" s="359">
        <v>46195.91615042824</v>
      </c>
      <c r="B404" s="193" t="s">
        <v>3116</v>
      </c>
      <c r="C404" s="361">
        <v>21.0</v>
      </c>
      <c r="D404" s="193" t="s">
        <v>906</v>
      </c>
      <c r="E404" s="193" t="s">
        <v>53</v>
      </c>
      <c r="F404" s="193" t="s">
        <v>360</v>
      </c>
      <c r="G404" s="362">
        <v>46181.0</v>
      </c>
      <c r="H404" s="193" t="s">
        <v>983</v>
      </c>
      <c r="I404" s="193" t="s">
        <v>984</v>
      </c>
      <c r="J404" s="193" t="s">
        <v>985</v>
      </c>
      <c r="K404" s="193" t="s">
        <v>987</v>
      </c>
      <c r="L404" s="193" t="s">
        <v>497</v>
      </c>
      <c r="M404" s="193" t="s">
        <v>993</v>
      </c>
      <c r="N404" s="193"/>
      <c r="O404" s="193"/>
      <c r="P404" s="359"/>
      <c r="Q404" s="193"/>
      <c r="R404" s="193"/>
      <c r="S404" s="193"/>
      <c r="T404" s="193"/>
    </row>
    <row r="405">
      <c r="A405" s="359">
        <v>46195.95781811343</v>
      </c>
      <c r="B405" s="193" t="s">
        <v>2996</v>
      </c>
      <c r="C405" s="361">
        <v>83.0</v>
      </c>
      <c r="D405" s="193" t="s">
        <v>62</v>
      </c>
      <c r="E405" s="193" t="s">
        <v>225</v>
      </c>
      <c r="F405" s="193" t="s">
        <v>1451</v>
      </c>
      <c r="G405" s="362">
        <v>46128.0</v>
      </c>
      <c r="H405" s="193" t="s">
        <v>4351</v>
      </c>
      <c r="I405" s="193" t="s">
        <v>4353</v>
      </c>
      <c r="J405" s="193" t="s">
        <v>4354</v>
      </c>
      <c r="K405" s="193" t="s">
        <v>4355</v>
      </c>
      <c r="L405" s="193" t="s">
        <v>3878</v>
      </c>
      <c r="M405" s="193" t="s">
        <v>4357</v>
      </c>
      <c r="N405" s="193" t="s">
        <v>5343</v>
      </c>
      <c r="O405" s="193"/>
      <c r="P405" s="359">
        <v>46155.95675628472</v>
      </c>
      <c r="Q405" s="193"/>
      <c r="R405" s="193" t="b">
        <v>0</v>
      </c>
      <c r="S405" s="193"/>
      <c r="T405" s="193"/>
    </row>
    <row r="406">
      <c r="A406" s="359">
        <v>46196.714777754634</v>
      </c>
      <c r="B406" s="193" t="s">
        <v>3116</v>
      </c>
      <c r="C406" s="361">
        <v>26.0</v>
      </c>
      <c r="D406" s="193" t="s">
        <v>17</v>
      </c>
      <c r="E406" s="193" t="s">
        <v>53</v>
      </c>
      <c r="F406" s="193" t="s">
        <v>1722</v>
      </c>
      <c r="G406" s="362">
        <v>46188.0</v>
      </c>
      <c r="H406" s="193" t="s">
        <v>4653</v>
      </c>
      <c r="I406" s="193" t="s">
        <v>5345</v>
      </c>
      <c r="J406" s="193">
        <v>7.08263323E9</v>
      </c>
      <c r="K406" s="193" t="s">
        <v>4655</v>
      </c>
      <c r="L406" s="193" t="s">
        <v>4183</v>
      </c>
      <c r="M406" s="193" t="s">
        <v>4657</v>
      </c>
      <c r="N406" s="193" t="s">
        <v>5347</v>
      </c>
      <c r="O406" s="193"/>
      <c r="P406" s="359">
        <v>46189.781573113425</v>
      </c>
      <c r="Q406" s="193"/>
      <c r="R406" s="193"/>
      <c r="S406" s="193"/>
      <c r="T406" s="193"/>
    </row>
    <row r="407">
      <c r="A407" s="359">
        <v>46196.749509409725</v>
      </c>
      <c r="B407" s="193" t="s">
        <v>3116</v>
      </c>
      <c r="C407" s="361">
        <v>27.0</v>
      </c>
      <c r="D407" s="193" t="s">
        <v>22</v>
      </c>
      <c r="E407" s="193" t="s">
        <v>53</v>
      </c>
      <c r="F407" s="193" t="s">
        <v>3021</v>
      </c>
      <c r="G407" s="362">
        <v>46189.0</v>
      </c>
      <c r="H407" s="193" t="s">
        <v>4372</v>
      </c>
      <c r="I407" s="193" t="s">
        <v>4373</v>
      </c>
      <c r="J407" s="193" t="s">
        <v>4374</v>
      </c>
      <c r="K407" s="193" t="s">
        <v>4376</v>
      </c>
      <c r="L407" s="193" t="s">
        <v>590</v>
      </c>
      <c r="M407" s="193" t="s">
        <v>5351</v>
      </c>
      <c r="N407" s="193" t="s">
        <v>4378</v>
      </c>
      <c r="O407" s="193"/>
      <c r="P407" s="359">
        <v>46196.746996145834</v>
      </c>
      <c r="Q407" s="193"/>
      <c r="R407" s="193"/>
      <c r="S407" s="193"/>
      <c r="T407" s="193"/>
    </row>
    <row r="408">
      <c r="A408" s="359">
        <v>46196.8653506713</v>
      </c>
      <c r="B408" s="193" t="s">
        <v>3116</v>
      </c>
      <c r="C408" s="361">
        <v>25.0</v>
      </c>
      <c r="D408" s="193" t="s">
        <v>18</v>
      </c>
      <c r="E408" s="193" t="s">
        <v>23</v>
      </c>
      <c r="F408" s="193" t="s">
        <v>24</v>
      </c>
      <c r="G408" s="362">
        <v>46185.0</v>
      </c>
      <c r="H408" s="193" t="s">
        <v>1841</v>
      </c>
      <c r="I408" s="193" t="s">
        <v>1842</v>
      </c>
      <c r="J408" s="193" t="s">
        <v>1845</v>
      </c>
      <c r="K408" s="193" t="s">
        <v>1850</v>
      </c>
      <c r="L408" s="193" t="s">
        <v>445</v>
      </c>
      <c r="M408" s="193" t="s">
        <v>1856</v>
      </c>
      <c r="N408" s="193" t="s">
        <v>5356</v>
      </c>
      <c r="O408" s="193"/>
      <c r="P408" s="359">
        <v>46188.967443368056</v>
      </c>
      <c r="Q408" s="193"/>
      <c r="R408" s="193"/>
      <c r="S408" s="193"/>
      <c r="T408" s="193"/>
    </row>
    <row r="409">
      <c r="A409" s="359">
        <v>46196.86544795139</v>
      </c>
      <c r="B409" s="193" t="s">
        <v>3116</v>
      </c>
      <c r="C409" s="361">
        <v>23.0</v>
      </c>
      <c r="D409" s="193" t="s">
        <v>906</v>
      </c>
      <c r="E409" s="193" t="s">
        <v>53</v>
      </c>
      <c r="F409" s="193" t="s">
        <v>24</v>
      </c>
      <c r="G409" s="362">
        <v>46183.0</v>
      </c>
      <c r="H409" s="193" t="s">
        <v>1864</v>
      </c>
      <c r="I409" s="193" t="s">
        <v>1866</v>
      </c>
      <c r="J409" s="193">
        <v>8.172391243E9</v>
      </c>
      <c r="K409" s="193" t="s">
        <v>1867</v>
      </c>
      <c r="L409" s="193" t="s">
        <v>581</v>
      </c>
      <c r="M409" s="193" t="s">
        <v>1868</v>
      </c>
      <c r="N409" s="193"/>
      <c r="O409" s="193"/>
      <c r="P409" s="359"/>
      <c r="Q409" s="193"/>
      <c r="R409" s="193"/>
      <c r="S409" s="193"/>
      <c r="T409" s="193"/>
    </row>
    <row r="410">
      <c r="A410" s="359">
        <v>46196.86551747685</v>
      </c>
      <c r="B410" s="193" t="s">
        <v>3116</v>
      </c>
      <c r="C410" s="361">
        <v>21.0</v>
      </c>
      <c r="D410" s="193" t="s">
        <v>410</v>
      </c>
      <c r="E410" s="193" t="s">
        <v>23</v>
      </c>
      <c r="F410" s="193" t="s">
        <v>24</v>
      </c>
      <c r="G410" s="362">
        <v>46182.0</v>
      </c>
      <c r="H410" s="193" t="s">
        <v>417</v>
      </c>
      <c r="I410" s="193" t="s">
        <v>419</v>
      </c>
      <c r="J410" s="193" t="s">
        <v>420</v>
      </c>
      <c r="K410" s="193" t="s">
        <v>423</v>
      </c>
      <c r="L410" s="193" t="s">
        <v>425</v>
      </c>
      <c r="M410" s="193" t="s">
        <v>5363</v>
      </c>
      <c r="N410" s="193" t="s">
        <v>5365</v>
      </c>
      <c r="O410" s="193"/>
      <c r="P410" s="359">
        <v>46189.81250291667</v>
      </c>
      <c r="Q410" s="193"/>
      <c r="R410" s="193"/>
      <c r="S410" s="193"/>
      <c r="T410" s="193"/>
    </row>
    <row r="411">
      <c r="A411" s="359">
        <v>46196.8655874074</v>
      </c>
      <c r="B411" s="193" t="s">
        <v>3116</v>
      </c>
      <c r="C411" s="361">
        <v>5.0</v>
      </c>
      <c r="D411" s="193" t="s">
        <v>22</v>
      </c>
      <c r="E411" s="193" t="s">
        <v>19</v>
      </c>
      <c r="F411" s="193" t="s">
        <v>24</v>
      </c>
      <c r="G411" s="362">
        <v>46154.0</v>
      </c>
      <c r="H411" s="193" t="s">
        <v>1877</v>
      </c>
      <c r="I411" s="193" t="s">
        <v>1878</v>
      </c>
      <c r="J411" s="193" t="s">
        <v>1879</v>
      </c>
      <c r="K411" s="193" t="s">
        <v>5368</v>
      </c>
      <c r="L411" s="193" t="s">
        <v>290</v>
      </c>
      <c r="M411" s="193" t="s">
        <v>1881</v>
      </c>
      <c r="N411" s="193" t="s">
        <v>5370</v>
      </c>
      <c r="O411" s="193"/>
      <c r="P411" s="359">
        <v>46154.87563618056</v>
      </c>
      <c r="Q411" s="193"/>
      <c r="R411" s="193"/>
      <c r="S411" s="193"/>
      <c r="T411" s="193"/>
    </row>
    <row r="412">
      <c r="A412" s="359">
        <v>46196.865636608796</v>
      </c>
      <c r="B412" s="193" t="s">
        <v>3116</v>
      </c>
      <c r="C412" s="361">
        <v>4.0</v>
      </c>
      <c r="D412" s="193" t="s">
        <v>906</v>
      </c>
      <c r="E412" s="193" t="s">
        <v>19</v>
      </c>
      <c r="F412" s="193" t="s">
        <v>24</v>
      </c>
      <c r="G412" s="362">
        <v>46149.0</v>
      </c>
      <c r="H412" s="193" t="s">
        <v>1890</v>
      </c>
      <c r="I412" s="193" t="s">
        <v>1891</v>
      </c>
      <c r="J412" s="193" t="s">
        <v>1892</v>
      </c>
      <c r="K412" s="193" t="s">
        <v>1893</v>
      </c>
      <c r="L412" s="193" t="s">
        <v>90</v>
      </c>
      <c r="M412" s="193" t="s">
        <v>5375</v>
      </c>
      <c r="N412" s="193"/>
      <c r="O412" s="193"/>
      <c r="P412" s="359"/>
      <c r="Q412" s="193"/>
      <c r="R412" s="193"/>
      <c r="S412" s="193"/>
      <c r="T412" s="193"/>
    </row>
    <row r="413">
      <c r="A413" s="359">
        <v>46196.8656918287</v>
      </c>
      <c r="B413" s="193" t="s">
        <v>3116</v>
      </c>
      <c r="C413" s="361">
        <v>3.0</v>
      </c>
      <c r="D413" s="193" t="s">
        <v>17</v>
      </c>
      <c r="E413" s="193" t="s">
        <v>19</v>
      </c>
      <c r="F413" s="193" t="s">
        <v>24</v>
      </c>
      <c r="G413" s="362">
        <v>46149.0</v>
      </c>
      <c r="H413" s="193" t="s">
        <v>1902</v>
      </c>
      <c r="I413" s="193" t="s">
        <v>1905</v>
      </c>
      <c r="J413" s="193" t="s">
        <v>1907</v>
      </c>
      <c r="K413" s="193" t="s">
        <v>1909</v>
      </c>
      <c r="L413" s="193" t="s">
        <v>1910</v>
      </c>
      <c r="M413" s="193" t="s">
        <v>5376</v>
      </c>
      <c r="N413" s="193" t="s">
        <v>5377</v>
      </c>
      <c r="O413" s="193"/>
      <c r="P413" s="359">
        <v>46171.790075983794</v>
      </c>
      <c r="Q413" s="193"/>
      <c r="R413" s="193" t="b">
        <v>0</v>
      </c>
      <c r="S413" s="193"/>
      <c r="T413" s="193"/>
    </row>
    <row r="414">
      <c r="A414" s="359">
        <v>46196.86751927083</v>
      </c>
      <c r="B414" s="193" t="s">
        <v>3116</v>
      </c>
      <c r="C414" s="361">
        <v>13.0</v>
      </c>
      <c r="D414" s="193" t="s">
        <v>18</v>
      </c>
      <c r="E414" s="193" t="s">
        <v>23</v>
      </c>
      <c r="F414" s="193" t="s">
        <v>24</v>
      </c>
      <c r="G414" s="362">
        <v>46174.0</v>
      </c>
      <c r="H414" s="193" t="s">
        <v>1925</v>
      </c>
      <c r="I414" s="193" t="s">
        <v>1926</v>
      </c>
      <c r="J414" s="193" t="s">
        <v>1927</v>
      </c>
      <c r="K414" s="193" t="s">
        <v>1928</v>
      </c>
      <c r="L414" s="193" t="s">
        <v>290</v>
      </c>
      <c r="M414" s="193" t="s">
        <v>1929</v>
      </c>
      <c r="N414" s="193" t="s">
        <v>5380</v>
      </c>
      <c r="O414" s="193"/>
      <c r="P414" s="359">
        <v>46177.839270868055</v>
      </c>
      <c r="Q414" s="193"/>
      <c r="R414" s="193"/>
      <c r="S414" s="193"/>
      <c r="T414" s="193"/>
    </row>
    <row r="415">
      <c r="A415" s="359">
        <v>46196.86758398148</v>
      </c>
      <c r="B415" s="193" t="s">
        <v>3116</v>
      </c>
      <c r="C415" s="361">
        <v>8.0</v>
      </c>
      <c r="D415" s="193" t="s">
        <v>17</v>
      </c>
      <c r="E415" s="193" t="s">
        <v>23</v>
      </c>
      <c r="F415" s="193" t="s">
        <v>867</v>
      </c>
      <c r="G415" s="362">
        <v>46160.0</v>
      </c>
      <c r="H415" s="193" t="s">
        <v>4421</v>
      </c>
      <c r="I415" s="193" t="s">
        <v>4423</v>
      </c>
      <c r="J415" s="193" t="s">
        <v>4424</v>
      </c>
      <c r="K415" s="193" t="s">
        <v>4425</v>
      </c>
      <c r="L415" s="193" t="s">
        <v>1831</v>
      </c>
      <c r="M415" s="193" t="s">
        <v>5382</v>
      </c>
      <c r="N415" s="193"/>
      <c r="O415" s="193"/>
      <c r="P415" s="359"/>
      <c r="Q415" s="193"/>
      <c r="R415" s="193"/>
      <c r="S415" s="193"/>
      <c r="T415" s="193"/>
    </row>
    <row r="416">
      <c r="A416" s="359">
        <v>46196.86763119213</v>
      </c>
      <c r="B416" s="193" t="s">
        <v>3116</v>
      </c>
      <c r="C416" s="361">
        <v>4.0</v>
      </c>
      <c r="D416" s="193" t="s">
        <v>906</v>
      </c>
      <c r="E416" s="193" t="s">
        <v>53</v>
      </c>
      <c r="F416" s="193" t="s">
        <v>24</v>
      </c>
      <c r="G416" s="362">
        <v>46156.0</v>
      </c>
      <c r="H416" s="193" t="s">
        <v>1937</v>
      </c>
      <c r="I416" s="193" t="s">
        <v>1939</v>
      </c>
      <c r="J416" s="193" t="s">
        <v>1941</v>
      </c>
      <c r="K416" s="193" t="s">
        <v>1943</v>
      </c>
      <c r="L416" s="193" t="s">
        <v>140</v>
      </c>
      <c r="M416" s="193" t="s">
        <v>1945</v>
      </c>
      <c r="N416" s="193"/>
      <c r="O416" s="193"/>
      <c r="P416" s="359"/>
      <c r="Q416" s="193"/>
      <c r="R416" s="193"/>
      <c r="S416" s="193"/>
      <c r="T416" s="193"/>
    </row>
    <row r="417">
      <c r="A417" s="359">
        <v>46196.867680868054</v>
      </c>
      <c r="B417" s="193" t="s">
        <v>3116</v>
      </c>
      <c r="C417" s="361">
        <v>3.0</v>
      </c>
      <c r="D417" s="193" t="s">
        <v>906</v>
      </c>
      <c r="E417" s="193" t="s">
        <v>53</v>
      </c>
      <c r="F417" s="193" t="s">
        <v>24</v>
      </c>
      <c r="G417" s="362">
        <v>46155.0</v>
      </c>
      <c r="H417" s="193" t="s">
        <v>1955</v>
      </c>
      <c r="I417" s="193" t="s">
        <v>1957</v>
      </c>
      <c r="J417" s="193" t="s">
        <v>1959</v>
      </c>
      <c r="K417" s="193" t="s">
        <v>1961</v>
      </c>
      <c r="L417" s="193" t="s">
        <v>613</v>
      </c>
      <c r="M417" s="193" t="s">
        <v>5385</v>
      </c>
      <c r="N417" s="193"/>
      <c r="O417" s="193"/>
      <c r="P417" s="359"/>
      <c r="Q417" s="193"/>
      <c r="R417" s="193"/>
      <c r="S417" s="193"/>
      <c r="T417" s="193"/>
    </row>
    <row r="418">
      <c r="A418" s="359">
        <v>46196.867726365745</v>
      </c>
      <c r="B418" s="193" t="s">
        <v>3116</v>
      </c>
      <c r="C418" s="361">
        <v>21.0</v>
      </c>
      <c r="D418" s="193" t="s">
        <v>62</v>
      </c>
      <c r="E418" s="193" t="s">
        <v>25</v>
      </c>
      <c r="F418" s="193" t="s">
        <v>1451</v>
      </c>
      <c r="G418" s="362">
        <v>46191.0</v>
      </c>
      <c r="H418" s="193" t="s">
        <v>4400</v>
      </c>
      <c r="I418" s="193" t="s">
        <v>4402</v>
      </c>
      <c r="J418" s="193" t="s">
        <v>4404</v>
      </c>
      <c r="K418" s="193" t="s">
        <v>4406</v>
      </c>
      <c r="L418" s="193" t="s">
        <v>947</v>
      </c>
      <c r="M418" s="193" t="s">
        <v>4409</v>
      </c>
      <c r="N418" s="193" t="s">
        <v>5387</v>
      </c>
      <c r="O418" s="193"/>
      <c r="P418" s="359">
        <v>46191.9308496875</v>
      </c>
      <c r="Q418" s="193"/>
      <c r="R418" s="193"/>
      <c r="S418" s="193"/>
      <c r="T418" s="193"/>
    </row>
    <row r="419">
      <c r="A419" s="359">
        <v>46196.86776408565</v>
      </c>
      <c r="B419" s="193" t="s">
        <v>3116</v>
      </c>
      <c r="C419" s="361">
        <v>5.0</v>
      </c>
      <c r="D419" s="193" t="s">
        <v>906</v>
      </c>
      <c r="E419" s="193" t="s">
        <v>19</v>
      </c>
      <c r="F419" s="193" t="s">
        <v>24</v>
      </c>
      <c r="G419" s="362">
        <v>46157.0</v>
      </c>
      <c r="H419" s="193" t="s">
        <v>1974</v>
      </c>
      <c r="I419" s="193" t="s">
        <v>1975</v>
      </c>
      <c r="J419" s="193" t="s">
        <v>1976</v>
      </c>
      <c r="K419" s="193" t="s">
        <v>1978</v>
      </c>
      <c r="L419" s="193" t="s">
        <v>90</v>
      </c>
      <c r="M419" s="193" t="s">
        <v>1982</v>
      </c>
      <c r="N419" s="193"/>
      <c r="O419" s="193"/>
      <c r="P419" s="359"/>
      <c r="Q419" s="193"/>
      <c r="R419" s="193"/>
      <c r="S419" s="193"/>
      <c r="T419" s="193"/>
    </row>
    <row r="420">
      <c r="A420" s="359">
        <v>46196.867803263885</v>
      </c>
      <c r="B420" s="193" t="s">
        <v>3116</v>
      </c>
      <c r="C420" s="361">
        <v>2.0</v>
      </c>
      <c r="D420" s="193" t="s">
        <v>62</v>
      </c>
      <c r="E420" s="193" t="s">
        <v>53</v>
      </c>
      <c r="F420" s="193" t="s">
        <v>24</v>
      </c>
      <c r="G420" s="362">
        <v>46148.0</v>
      </c>
      <c r="H420" s="193" t="s">
        <v>1990</v>
      </c>
      <c r="I420" s="193" t="s">
        <v>1991</v>
      </c>
      <c r="J420" s="193" t="s">
        <v>1992</v>
      </c>
      <c r="K420" s="193" t="s">
        <v>1994</v>
      </c>
      <c r="L420" s="193" t="s">
        <v>590</v>
      </c>
      <c r="M420" s="193" t="s">
        <v>5390</v>
      </c>
      <c r="N420" s="193" t="s">
        <v>5391</v>
      </c>
      <c r="O420" s="193"/>
      <c r="P420" s="359">
        <v>46182.90155278935</v>
      </c>
      <c r="Q420" s="193"/>
      <c r="R420" s="193" t="b">
        <v>0</v>
      </c>
      <c r="S420" s="193"/>
      <c r="T420" s="193"/>
    </row>
    <row r="421">
      <c r="A421" s="359">
        <v>46196.86784412037</v>
      </c>
      <c r="B421" s="193" t="s">
        <v>3116</v>
      </c>
      <c r="C421" s="361">
        <v>11.0</v>
      </c>
      <c r="D421" s="193" t="s">
        <v>906</v>
      </c>
      <c r="E421" s="193" t="s">
        <v>19</v>
      </c>
      <c r="F421" s="193" t="s">
        <v>867</v>
      </c>
      <c r="G421" s="362">
        <v>46178.0</v>
      </c>
      <c r="H421" s="193" t="s">
        <v>2652</v>
      </c>
      <c r="I421" s="193" t="s">
        <v>2654</v>
      </c>
      <c r="J421" s="193" t="s">
        <v>2658</v>
      </c>
      <c r="K421" s="193" t="s">
        <v>2659</v>
      </c>
      <c r="L421" s="193" t="s">
        <v>340</v>
      </c>
      <c r="M421" s="193" t="s">
        <v>2661</v>
      </c>
      <c r="N421" s="193"/>
      <c r="O421" s="193"/>
      <c r="P421" s="359"/>
      <c r="Q421" s="193"/>
      <c r="R421" s="193"/>
      <c r="S421" s="193"/>
      <c r="T421" s="193"/>
    </row>
    <row r="422">
      <c r="A422" s="359">
        <v>46196.867905625</v>
      </c>
      <c r="B422" s="193" t="s">
        <v>3116</v>
      </c>
      <c r="C422" s="361">
        <v>9.0</v>
      </c>
      <c r="D422" s="193" t="s">
        <v>117</v>
      </c>
      <c r="E422" s="193" t="s">
        <v>23</v>
      </c>
      <c r="F422" s="193" t="s">
        <v>34</v>
      </c>
      <c r="G422" s="362">
        <v>46175.0</v>
      </c>
      <c r="H422" s="193" t="s">
        <v>376</v>
      </c>
      <c r="I422" s="193" t="s">
        <v>377</v>
      </c>
      <c r="J422" s="193" t="s">
        <v>379</v>
      </c>
      <c r="K422" s="193" t="s">
        <v>380</v>
      </c>
      <c r="L422" s="193" t="s">
        <v>381</v>
      </c>
      <c r="M422" s="193" t="s">
        <v>383</v>
      </c>
      <c r="N422" s="193" t="s">
        <v>385</v>
      </c>
      <c r="O422" s="193"/>
      <c r="P422" s="359">
        <v>46181.86722806713</v>
      </c>
      <c r="Q422" s="193"/>
      <c r="R422" s="193"/>
      <c r="S422" s="193"/>
      <c r="T422" s="193"/>
    </row>
    <row r="423">
      <c r="A423" s="359">
        <v>46196.86795983797</v>
      </c>
      <c r="B423" s="193" t="s">
        <v>3116</v>
      </c>
      <c r="C423" s="361">
        <v>17.0</v>
      </c>
      <c r="D423" s="193" t="s">
        <v>17</v>
      </c>
      <c r="E423" s="193" t="s">
        <v>25</v>
      </c>
      <c r="F423" s="193" t="s">
        <v>24</v>
      </c>
      <c r="G423" s="362">
        <v>46195.0</v>
      </c>
      <c r="H423" s="193" t="s">
        <v>2012</v>
      </c>
      <c r="I423" s="193" t="s">
        <v>2015</v>
      </c>
      <c r="J423" s="193">
        <v>4.79262041E9</v>
      </c>
      <c r="K423" s="193" t="s">
        <v>2018</v>
      </c>
      <c r="L423" s="193" t="s">
        <v>1259</v>
      </c>
      <c r="M423" s="193" t="s">
        <v>2021</v>
      </c>
      <c r="N423" s="193" t="s">
        <v>2023</v>
      </c>
      <c r="O423" s="193"/>
      <c r="P423" s="359">
        <v>46196.85096997685</v>
      </c>
      <c r="Q423" s="193"/>
      <c r="R423" s="193"/>
      <c r="S423" s="193"/>
      <c r="T423" s="193"/>
    </row>
    <row r="424">
      <c r="A424" s="359">
        <v>46196.869165208336</v>
      </c>
      <c r="B424" s="193" t="s">
        <v>3116</v>
      </c>
      <c r="C424" s="361">
        <v>13.0</v>
      </c>
      <c r="D424" s="193" t="s">
        <v>22</v>
      </c>
      <c r="E424" s="193" t="s">
        <v>23</v>
      </c>
      <c r="F424" s="193" t="s">
        <v>34</v>
      </c>
      <c r="G424" s="362">
        <v>46189.0</v>
      </c>
      <c r="H424" s="193" t="s">
        <v>395</v>
      </c>
      <c r="I424" s="193" t="s">
        <v>397</v>
      </c>
      <c r="J424" s="193" t="s">
        <v>398</v>
      </c>
      <c r="K424" s="193" t="s">
        <v>399</v>
      </c>
      <c r="L424" s="193" t="s">
        <v>401</v>
      </c>
      <c r="M424" s="193" t="s">
        <v>402</v>
      </c>
      <c r="N424" s="193" t="s">
        <v>5401</v>
      </c>
      <c r="O424" s="193"/>
      <c r="P424" s="359">
        <v>46192.86449346065</v>
      </c>
      <c r="Q424" s="193"/>
      <c r="R424" s="193"/>
      <c r="S424" s="193"/>
      <c r="T424" s="193"/>
    </row>
    <row r="425">
      <c r="A425" s="359">
        <v>46196.86922489583</v>
      </c>
      <c r="B425" s="193" t="s">
        <v>3116</v>
      </c>
      <c r="C425" s="361">
        <v>7.0</v>
      </c>
      <c r="D425" s="193" t="s">
        <v>117</v>
      </c>
      <c r="E425" s="193" t="s">
        <v>53</v>
      </c>
      <c r="F425" s="193" t="s">
        <v>24</v>
      </c>
      <c r="G425" s="362">
        <v>46168.0</v>
      </c>
      <c r="H425" s="193" t="s">
        <v>334</v>
      </c>
      <c r="I425" s="193" t="s">
        <v>336</v>
      </c>
      <c r="J425" s="193" t="s">
        <v>338</v>
      </c>
      <c r="K425" s="193" t="s">
        <v>2035</v>
      </c>
      <c r="L425" s="193" t="s">
        <v>1824</v>
      </c>
      <c r="M425" s="193" t="s">
        <v>342</v>
      </c>
      <c r="N425" s="193" t="s">
        <v>5403</v>
      </c>
      <c r="O425" s="193"/>
      <c r="P425" s="359">
        <v>46168.88412018519</v>
      </c>
      <c r="Q425" s="193"/>
      <c r="R425" s="193"/>
      <c r="S425" s="193"/>
      <c r="T425" s="193"/>
    </row>
    <row r="426">
      <c r="A426" s="359">
        <v>46196.86926186342</v>
      </c>
      <c r="B426" s="193" t="s">
        <v>3116</v>
      </c>
      <c r="C426" s="361">
        <v>6.0</v>
      </c>
      <c r="D426" s="193" t="s">
        <v>22</v>
      </c>
      <c r="E426" s="193" t="s">
        <v>23</v>
      </c>
      <c r="F426" s="193" t="s">
        <v>24</v>
      </c>
      <c r="G426" s="362">
        <v>46164.0</v>
      </c>
      <c r="H426" s="193" t="s">
        <v>2050</v>
      </c>
      <c r="I426" s="193" t="s">
        <v>2053</v>
      </c>
      <c r="J426" s="193" t="s">
        <v>2055</v>
      </c>
      <c r="K426" s="193" t="s">
        <v>2056</v>
      </c>
      <c r="L426" s="193" t="s">
        <v>1760</v>
      </c>
      <c r="M426" s="193" t="s">
        <v>5406</v>
      </c>
      <c r="N426" s="193" t="s">
        <v>5407</v>
      </c>
      <c r="O426" s="193"/>
      <c r="P426" s="359">
        <v>46168.88770990741</v>
      </c>
      <c r="Q426" s="193"/>
      <c r="R426" s="193"/>
      <c r="S426" s="193"/>
      <c r="T426" s="193"/>
    </row>
    <row r="427">
      <c r="A427" s="359">
        <v>46196.869299872684</v>
      </c>
      <c r="B427" s="193" t="s">
        <v>3116</v>
      </c>
      <c r="C427" s="361">
        <v>5.0</v>
      </c>
      <c r="D427" s="193" t="s">
        <v>22</v>
      </c>
      <c r="E427" s="193" t="s">
        <v>19</v>
      </c>
      <c r="F427" s="193" t="s">
        <v>34</v>
      </c>
      <c r="G427" s="362">
        <v>46163.0</v>
      </c>
      <c r="H427" s="193" t="s">
        <v>4984</v>
      </c>
      <c r="I427" s="193" t="s">
        <v>4985</v>
      </c>
      <c r="J427" s="193" t="s">
        <v>4986</v>
      </c>
      <c r="K427" s="193" t="s">
        <v>4986</v>
      </c>
      <c r="L427" s="193" t="s">
        <v>115</v>
      </c>
      <c r="M427" s="193" t="s">
        <v>5410</v>
      </c>
      <c r="N427" s="193" t="s">
        <v>4992</v>
      </c>
      <c r="O427" s="193"/>
      <c r="P427" s="359">
        <v>46175.88409202546</v>
      </c>
      <c r="Q427" s="193"/>
      <c r="R427" s="193"/>
      <c r="S427" s="193"/>
      <c r="T427" s="193"/>
    </row>
    <row r="428">
      <c r="A428" s="359">
        <v>46196.86935155092</v>
      </c>
      <c r="B428" s="193" t="s">
        <v>3116</v>
      </c>
      <c r="C428" s="361">
        <v>4.0</v>
      </c>
      <c r="D428" s="193" t="s">
        <v>22</v>
      </c>
      <c r="E428" s="193" t="s">
        <v>23</v>
      </c>
      <c r="F428" s="193" t="s">
        <v>24</v>
      </c>
      <c r="G428" s="362">
        <v>46160.0</v>
      </c>
      <c r="H428" s="193" t="s">
        <v>2069</v>
      </c>
      <c r="I428" s="193" t="s">
        <v>2070</v>
      </c>
      <c r="J428" s="193" t="s">
        <v>2071</v>
      </c>
      <c r="K428" s="193" t="s">
        <v>2072</v>
      </c>
      <c r="L428" s="193" t="s">
        <v>115</v>
      </c>
      <c r="M428" s="193" t="s">
        <v>5412</v>
      </c>
      <c r="N428" s="193" t="s">
        <v>5413</v>
      </c>
      <c r="O428" s="193"/>
      <c r="P428" s="359">
        <v>46162.96610842593</v>
      </c>
      <c r="Q428" s="193"/>
      <c r="R428" s="193"/>
      <c r="S428" s="193"/>
      <c r="T428" s="193"/>
    </row>
    <row r="429">
      <c r="A429" s="359">
        <v>46196.8693965162</v>
      </c>
      <c r="B429" s="193" t="s">
        <v>3116</v>
      </c>
      <c r="C429" s="361">
        <v>2.0</v>
      </c>
      <c r="D429" s="193" t="s">
        <v>135</v>
      </c>
      <c r="E429" s="193" t="s">
        <v>23</v>
      </c>
      <c r="F429" s="193" t="s">
        <v>24</v>
      </c>
      <c r="G429" s="362">
        <v>46156.0</v>
      </c>
      <c r="H429" s="193" t="s">
        <v>2095</v>
      </c>
      <c r="I429" s="193" t="s">
        <v>2098</v>
      </c>
      <c r="J429" s="193" t="s">
        <v>2100</v>
      </c>
      <c r="K429" s="193" t="s">
        <v>2102</v>
      </c>
      <c r="L429" s="193" t="s">
        <v>2104</v>
      </c>
      <c r="M429" s="193" t="s">
        <v>5414</v>
      </c>
      <c r="N429" s="193" t="s">
        <v>5415</v>
      </c>
      <c r="O429" s="193"/>
      <c r="P429" s="359">
        <v>46189.86703141204</v>
      </c>
      <c r="Q429" s="193"/>
      <c r="R429" s="193" t="b">
        <v>0</v>
      </c>
      <c r="S429" s="193"/>
      <c r="T429" s="193"/>
    </row>
    <row r="430">
      <c r="A430" s="359">
        <v>46196.88442271991</v>
      </c>
      <c r="B430" s="193" t="s">
        <v>3116</v>
      </c>
      <c r="C430" s="361">
        <v>8.0</v>
      </c>
      <c r="D430" s="193" t="s">
        <v>22</v>
      </c>
      <c r="E430" s="193" t="s">
        <v>53</v>
      </c>
      <c r="F430" s="193" t="s">
        <v>867</v>
      </c>
      <c r="G430" s="362">
        <v>46190.0</v>
      </c>
      <c r="H430" s="193" t="s">
        <v>2696</v>
      </c>
      <c r="I430" s="193" t="s">
        <v>2697</v>
      </c>
      <c r="J430" s="193" t="s">
        <v>2698</v>
      </c>
      <c r="K430" s="193" t="s">
        <v>2699</v>
      </c>
      <c r="L430" s="193" t="s">
        <v>445</v>
      </c>
      <c r="M430" s="193" t="s">
        <v>5322</v>
      </c>
      <c r="N430" s="193" t="s">
        <v>5417</v>
      </c>
      <c r="O430" s="193"/>
      <c r="P430" s="359">
        <v>46196.81690178241</v>
      </c>
      <c r="Q430" s="193"/>
      <c r="R430" s="193"/>
      <c r="S430" s="193"/>
      <c r="T430" s="193"/>
    </row>
    <row r="431">
      <c r="A431" s="359">
        <v>46196.885069537035</v>
      </c>
      <c r="B431" s="193" t="s">
        <v>3116</v>
      </c>
      <c r="C431" s="361">
        <v>5.0</v>
      </c>
      <c r="D431" s="193" t="s">
        <v>22</v>
      </c>
      <c r="E431" s="193" t="s">
        <v>225</v>
      </c>
      <c r="F431" s="193" t="s">
        <v>867</v>
      </c>
      <c r="G431" s="362">
        <v>46184.0</v>
      </c>
      <c r="H431" s="193" t="s">
        <v>2667</v>
      </c>
      <c r="I431" s="193" t="s">
        <v>2669</v>
      </c>
      <c r="J431" s="193" t="s">
        <v>2670</v>
      </c>
      <c r="K431" s="193" t="s">
        <v>5020</v>
      </c>
      <c r="L431" s="193" t="s">
        <v>268</v>
      </c>
      <c r="M431" s="193" t="s">
        <v>5419</v>
      </c>
      <c r="N431" s="193"/>
      <c r="O431" s="193"/>
      <c r="P431" s="359"/>
      <c r="Q431" s="193"/>
      <c r="R431" s="193" t="b">
        <v>0</v>
      </c>
      <c r="S431" s="193"/>
      <c r="T431" s="193"/>
    </row>
    <row r="432">
      <c r="A432" s="359">
        <v>46196.891045358796</v>
      </c>
      <c r="B432" s="193" t="s">
        <v>3116</v>
      </c>
      <c r="C432" s="361">
        <v>4.0</v>
      </c>
      <c r="D432" s="193" t="s">
        <v>18</v>
      </c>
      <c r="E432" s="193" t="s">
        <v>19</v>
      </c>
      <c r="F432" s="193" t="s">
        <v>24</v>
      </c>
      <c r="G432" s="362">
        <v>46182.0</v>
      </c>
      <c r="H432" s="193" t="s">
        <v>4960</v>
      </c>
      <c r="I432" s="193" t="s">
        <v>4961</v>
      </c>
      <c r="J432" s="193" t="s">
        <v>4962</v>
      </c>
      <c r="K432" s="193" t="s">
        <v>4963</v>
      </c>
      <c r="L432" s="193" t="s">
        <v>4964</v>
      </c>
      <c r="M432" s="193" t="s">
        <v>4965</v>
      </c>
      <c r="N432" s="193"/>
      <c r="O432" s="193"/>
      <c r="P432" s="359"/>
      <c r="Q432" s="193"/>
      <c r="R432" s="193"/>
      <c r="S432" s="193"/>
      <c r="T432" s="193"/>
    </row>
    <row r="433">
      <c r="A433" s="359">
        <v>46196.89110122685</v>
      </c>
      <c r="B433" s="193" t="s">
        <v>3116</v>
      </c>
      <c r="C433" s="361">
        <v>2.0</v>
      </c>
      <c r="D433" s="193" t="s">
        <v>117</v>
      </c>
      <c r="E433" s="193" t="s">
        <v>19</v>
      </c>
      <c r="F433" s="193" t="s">
        <v>24</v>
      </c>
      <c r="G433" s="362">
        <v>46174.0</v>
      </c>
      <c r="H433" s="193" t="s">
        <v>2117</v>
      </c>
      <c r="I433" s="193" t="s">
        <v>2118</v>
      </c>
      <c r="J433" s="193" t="s">
        <v>2119</v>
      </c>
      <c r="K433" s="193" t="s">
        <v>2120</v>
      </c>
      <c r="L433" s="193" t="s">
        <v>2121</v>
      </c>
      <c r="M433" s="193" t="s">
        <v>2122</v>
      </c>
      <c r="N433" s="193"/>
      <c r="O433" s="193"/>
      <c r="P433" s="359"/>
      <c r="Q433" s="193"/>
      <c r="R433" s="193"/>
      <c r="S433" s="193"/>
      <c r="T433" s="193"/>
    </row>
    <row r="434">
      <c r="A434" s="359">
        <v>46196.89116428241</v>
      </c>
      <c r="B434" s="193" t="s">
        <v>3003</v>
      </c>
      <c r="C434" s="361">
        <v>76.0</v>
      </c>
      <c r="D434" s="193" t="s">
        <v>17</v>
      </c>
      <c r="E434" s="193" t="s">
        <v>23</v>
      </c>
      <c r="F434" s="193" t="s">
        <v>1451</v>
      </c>
      <c r="G434" s="362">
        <v>46160.0</v>
      </c>
      <c r="H434" s="193" t="s">
        <v>4421</v>
      </c>
      <c r="I434" s="193" t="s">
        <v>4423</v>
      </c>
      <c r="J434" s="193" t="s">
        <v>4424</v>
      </c>
      <c r="K434" s="193" t="s">
        <v>4425</v>
      </c>
      <c r="L434" s="193" t="s">
        <v>1831</v>
      </c>
      <c r="M434" s="193" t="s">
        <v>5425</v>
      </c>
      <c r="N434" s="193"/>
      <c r="O434" s="193"/>
      <c r="P434" s="359"/>
      <c r="Q434" s="193"/>
      <c r="R434" s="193"/>
      <c r="S434" s="193"/>
      <c r="T434" s="193"/>
    </row>
    <row r="435">
      <c r="A435" s="359">
        <v>46196.90920555555</v>
      </c>
      <c r="B435" s="193" t="s">
        <v>3116</v>
      </c>
      <c r="C435" s="361">
        <v>4.0</v>
      </c>
      <c r="D435" s="193" t="s">
        <v>22</v>
      </c>
      <c r="E435" s="193" t="s">
        <v>23</v>
      </c>
      <c r="F435" s="193" t="s">
        <v>1451</v>
      </c>
      <c r="G435" s="362">
        <v>46191.0</v>
      </c>
      <c r="H435" s="193" t="s">
        <v>5426</v>
      </c>
      <c r="I435" s="193" t="s">
        <v>4433</v>
      </c>
      <c r="J435" s="193" t="s">
        <v>4434</v>
      </c>
      <c r="K435" s="193" t="s">
        <v>4436</v>
      </c>
      <c r="L435" s="193" t="s">
        <v>548</v>
      </c>
      <c r="M435" s="193" t="s">
        <v>4438</v>
      </c>
      <c r="N435" s="193"/>
      <c r="O435" s="193"/>
      <c r="P435" s="359"/>
      <c r="Q435" s="193"/>
      <c r="R435" s="193"/>
      <c r="S435" s="193"/>
      <c r="T435" s="193"/>
    </row>
    <row r="436">
      <c r="A436" s="359">
        <v>46196.97992650463</v>
      </c>
      <c r="B436" s="193" t="s">
        <v>3116</v>
      </c>
      <c r="C436" s="361">
        <v>6.0</v>
      </c>
      <c r="D436" s="193" t="s">
        <v>18</v>
      </c>
      <c r="E436" s="193" t="s">
        <v>25</v>
      </c>
      <c r="F436" s="193" t="s">
        <v>24</v>
      </c>
      <c r="G436" s="362">
        <v>46195.0</v>
      </c>
      <c r="H436" s="193" t="s">
        <v>2136</v>
      </c>
      <c r="I436" s="193" t="s">
        <v>2137</v>
      </c>
      <c r="J436" s="193" t="s">
        <v>2139</v>
      </c>
      <c r="K436" s="193" t="s">
        <v>2140</v>
      </c>
      <c r="L436" s="193" t="s">
        <v>1020</v>
      </c>
      <c r="M436" s="193" t="s">
        <v>2144</v>
      </c>
      <c r="N436" s="193" t="s">
        <v>5430</v>
      </c>
      <c r="O436" s="193"/>
      <c r="P436" s="359">
        <v>46196.90757989584</v>
      </c>
      <c r="Q436" s="193"/>
      <c r="R436" s="193"/>
      <c r="S436" s="193"/>
      <c r="T436" s="193"/>
    </row>
    <row r="437">
      <c r="A437" s="359">
        <v>46197.66266396991</v>
      </c>
      <c r="B437" s="193" t="s">
        <v>3116</v>
      </c>
      <c r="C437" s="361">
        <v>3.0</v>
      </c>
      <c r="D437" s="193" t="s">
        <v>906</v>
      </c>
      <c r="E437" s="193" t="s">
        <v>225</v>
      </c>
      <c r="F437" s="193" t="s">
        <v>24</v>
      </c>
      <c r="G437" s="362">
        <v>46189.0</v>
      </c>
      <c r="H437" s="193" t="s">
        <v>2151</v>
      </c>
      <c r="I437" s="193" t="s">
        <v>2154</v>
      </c>
      <c r="J437" s="193" t="s">
        <v>2156</v>
      </c>
      <c r="K437" s="193" t="s">
        <v>2158</v>
      </c>
      <c r="L437" s="193" t="s">
        <v>2160</v>
      </c>
      <c r="M437" s="193" t="s">
        <v>5431</v>
      </c>
      <c r="N437" s="193"/>
      <c r="O437" s="193"/>
      <c r="P437" s="359"/>
      <c r="Q437" s="193"/>
      <c r="R437" s="193"/>
      <c r="S437" s="193"/>
      <c r="T437" s="193"/>
    </row>
    <row r="438">
      <c r="A438" s="359">
        <v>46197.87795543981</v>
      </c>
      <c r="B438" s="193" t="s">
        <v>3116</v>
      </c>
      <c r="C438" s="361">
        <v>9.0</v>
      </c>
      <c r="D438" s="193" t="s">
        <v>18</v>
      </c>
      <c r="E438" s="193" t="s">
        <v>19</v>
      </c>
      <c r="F438" s="193" t="s">
        <v>867</v>
      </c>
      <c r="G438" s="362">
        <v>46197.0</v>
      </c>
      <c r="H438" s="193" t="s">
        <v>2677</v>
      </c>
      <c r="I438" s="193" t="s">
        <v>2678</v>
      </c>
      <c r="J438" s="193" t="s">
        <v>2679</v>
      </c>
      <c r="K438" s="193" t="s">
        <v>2680</v>
      </c>
      <c r="L438" s="193" t="s">
        <v>401</v>
      </c>
      <c r="M438" s="193" t="s">
        <v>5436</v>
      </c>
      <c r="N438" s="193"/>
      <c r="O438" s="193"/>
      <c r="P438" s="359"/>
      <c r="Q438" s="193"/>
      <c r="R438" s="193"/>
      <c r="S438" s="193"/>
      <c r="T438" s="193"/>
    </row>
    <row r="439">
      <c r="A439" s="359">
        <v>46197.975185648145</v>
      </c>
      <c r="B439" s="193" t="s">
        <v>3116</v>
      </c>
      <c r="C439" s="361">
        <v>3.0</v>
      </c>
      <c r="D439" s="193" t="s">
        <v>62</v>
      </c>
      <c r="E439" s="193" t="s">
        <v>225</v>
      </c>
      <c r="F439" s="193" t="s">
        <v>867</v>
      </c>
      <c r="G439" s="362">
        <v>46191.0</v>
      </c>
      <c r="H439" s="193" t="s">
        <v>2685</v>
      </c>
      <c r="I439" s="193" t="s">
        <v>2686</v>
      </c>
      <c r="J439" s="193" t="s">
        <v>2687</v>
      </c>
      <c r="K439" s="193" t="s">
        <v>5439</v>
      </c>
      <c r="L439" s="193" t="s">
        <v>1791</v>
      </c>
      <c r="M439" s="193" t="s">
        <v>5441</v>
      </c>
      <c r="N439" s="193"/>
      <c r="O439" s="193"/>
      <c r="P439" s="359"/>
      <c r="Q439" s="193"/>
      <c r="R439" s="193"/>
      <c r="S439" s="193"/>
      <c r="T439" s="193"/>
    </row>
    <row r="440">
      <c r="A440" s="359">
        <v>46197.97991400463</v>
      </c>
      <c r="B440" s="193" t="s">
        <v>3116</v>
      </c>
      <c r="C440" s="361">
        <v>6.0</v>
      </c>
      <c r="D440" s="193" t="s">
        <v>18</v>
      </c>
      <c r="E440" s="193" t="s">
        <v>225</v>
      </c>
      <c r="F440" s="193" t="s">
        <v>24</v>
      </c>
      <c r="G440" s="362">
        <v>46196.0</v>
      </c>
      <c r="H440" s="193" t="s">
        <v>2168</v>
      </c>
      <c r="I440" s="193" t="s">
        <v>2169</v>
      </c>
      <c r="J440" s="193" t="s">
        <v>2170</v>
      </c>
      <c r="K440" s="193" t="s">
        <v>5445</v>
      </c>
      <c r="L440" s="193" t="s">
        <v>1089</v>
      </c>
      <c r="M440" s="193" t="s">
        <v>5446</v>
      </c>
      <c r="N440" s="193"/>
      <c r="O440" s="193"/>
      <c r="P440" s="359"/>
      <c r="Q440" s="193"/>
      <c r="R440" s="193"/>
      <c r="S440" s="193"/>
      <c r="T440" s="193"/>
    </row>
    <row r="441">
      <c r="A441" s="359">
        <v>46198.68825251157</v>
      </c>
      <c r="B441" s="193" t="s">
        <v>3116</v>
      </c>
      <c r="C441" s="361">
        <v>8.0</v>
      </c>
      <c r="D441" s="193" t="s">
        <v>117</v>
      </c>
      <c r="E441" s="193" t="s">
        <v>25</v>
      </c>
      <c r="F441" s="193" t="s">
        <v>1451</v>
      </c>
      <c r="G441" s="362">
        <v>46197.0</v>
      </c>
      <c r="H441" s="193" t="s">
        <v>4441</v>
      </c>
      <c r="I441" s="193" t="s">
        <v>4442</v>
      </c>
      <c r="J441" s="193" t="s">
        <v>4443</v>
      </c>
      <c r="K441" s="193" t="s">
        <v>4445</v>
      </c>
      <c r="L441" s="193" t="s">
        <v>4446</v>
      </c>
      <c r="M441" s="193" t="s">
        <v>4450</v>
      </c>
      <c r="N441" s="193"/>
      <c r="O441" s="193"/>
      <c r="P441" s="359"/>
      <c r="Q441" s="193"/>
      <c r="R441" s="193"/>
      <c r="S441" s="193"/>
      <c r="T441" s="193"/>
    </row>
    <row r="442">
      <c r="A442" s="359">
        <v>46198.81542827546</v>
      </c>
      <c r="B442" s="193" t="s">
        <v>34</v>
      </c>
      <c r="C442" s="361">
        <v>8.0</v>
      </c>
      <c r="D442" s="193" t="s">
        <v>22</v>
      </c>
      <c r="E442" s="193" t="s">
        <v>53</v>
      </c>
      <c r="F442" s="193" t="s">
        <v>1451</v>
      </c>
      <c r="G442" s="362">
        <v>46031.0</v>
      </c>
      <c r="H442" s="193" t="s">
        <v>3229</v>
      </c>
      <c r="I442" s="193" t="s">
        <v>3570</v>
      </c>
      <c r="J442" s="193" t="s">
        <v>5450</v>
      </c>
      <c r="K442" s="193" t="s">
        <v>4453</v>
      </c>
      <c r="L442" s="193" t="s">
        <v>1654</v>
      </c>
      <c r="M442" s="193" t="s">
        <v>3577</v>
      </c>
      <c r="N442" s="193" t="s">
        <v>5451</v>
      </c>
      <c r="O442" s="193"/>
      <c r="P442" s="359">
        <v>46183.86528413194</v>
      </c>
      <c r="Q442" s="193"/>
      <c r="R442" s="193" t="b">
        <v>0</v>
      </c>
      <c r="S442" s="193"/>
      <c r="T442" s="193" t="s">
        <v>4457</v>
      </c>
    </row>
    <row r="443">
      <c r="A443" s="359">
        <v>46198.85016756944</v>
      </c>
      <c r="B443" s="193" t="s">
        <v>3116</v>
      </c>
      <c r="C443" s="361">
        <v>4.0</v>
      </c>
      <c r="D443" s="193" t="s">
        <v>117</v>
      </c>
      <c r="E443" s="193" t="s">
        <v>53</v>
      </c>
      <c r="F443" s="193" t="s">
        <v>1722</v>
      </c>
      <c r="G443" s="362">
        <v>46196.0</v>
      </c>
      <c r="H443" s="193" t="s">
        <v>4889</v>
      </c>
      <c r="I443" s="193" t="s">
        <v>4890</v>
      </c>
      <c r="J443" s="193" t="s">
        <v>4891</v>
      </c>
      <c r="K443" s="193" t="s">
        <v>4892</v>
      </c>
      <c r="L443" s="193" t="s">
        <v>4893</v>
      </c>
      <c r="M443" s="193" t="s">
        <v>4894</v>
      </c>
      <c r="N443" s="193" t="s">
        <v>5454</v>
      </c>
      <c r="O443" s="193"/>
      <c r="P443" s="359">
        <v>46198.78400622685</v>
      </c>
      <c r="Q443" s="193"/>
      <c r="R443" s="193"/>
      <c r="S443" s="193"/>
      <c r="T443" s="193"/>
    </row>
    <row r="444">
      <c r="A444" s="359">
        <v>46198.98558836806</v>
      </c>
      <c r="B444" s="193" t="s">
        <v>2996</v>
      </c>
      <c r="C444" s="361">
        <v>110.0</v>
      </c>
      <c r="D444" s="193" t="s">
        <v>410</v>
      </c>
      <c r="E444" s="193" t="s">
        <v>23</v>
      </c>
      <c r="F444" s="193" t="s">
        <v>34</v>
      </c>
      <c r="G444" s="362">
        <v>46182.0</v>
      </c>
      <c r="H444" s="193" t="s">
        <v>417</v>
      </c>
      <c r="I444" s="193" t="s">
        <v>419</v>
      </c>
      <c r="J444" s="193" t="s">
        <v>420</v>
      </c>
      <c r="K444" s="193" t="s">
        <v>423</v>
      </c>
      <c r="L444" s="193" t="s">
        <v>425</v>
      </c>
      <c r="M444" s="193" t="s">
        <v>5363</v>
      </c>
      <c r="N444" s="193" t="s">
        <v>5456</v>
      </c>
      <c r="O444" s="193"/>
      <c r="P444" s="359">
        <v>46198.954772881945</v>
      </c>
      <c r="Q444" s="193"/>
      <c r="R444" s="193"/>
      <c r="S444" s="193"/>
      <c r="T444" s="193"/>
    </row>
    <row r="445">
      <c r="A445" s="359">
        <v>46202.864114386575</v>
      </c>
      <c r="B445" s="193" t="s">
        <v>3116</v>
      </c>
      <c r="C445" s="361">
        <v>12.0</v>
      </c>
      <c r="D445" s="193" t="s">
        <v>18</v>
      </c>
      <c r="E445" s="193" t="s">
        <v>225</v>
      </c>
      <c r="F445" s="193" t="s">
        <v>24</v>
      </c>
      <c r="G445" s="362">
        <v>46199.0</v>
      </c>
      <c r="H445" s="193" t="s">
        <v>2183</v>
      </c>
      <c r="I445" s="193" t="s">
        <v>2185</v>
      </c>
      <c r="J445" s="193" t="s">
        <v>2188</v>
      </c>
      <c r="K445" s="193" t="s">
        <v>5460</v>
      </c>
      <c r="L445" s="193" t="s">
        <v>2192</v>
      </c>
      <c r="M445" s="193" t="s">
        <v>5462</v>
      </c>
      <c r="N445" s="193" t="s">
        <v>5463</v>
      </c>
      <c r="O445" s="193"/>
      <c r="P445" s="359">
        <v>46202.793903206024</v>
      </c>
      <c r="Q445" s="193"/>
      <c r="R445" s="193"/>
      <c r="S445" s="193"/>
      <c r="T445" s="193"/>
    </row>
    <row r="446">
      <c r="A446" s="359">
        <v>46203.79809552083</v>
      </c>
      <c r="B446" s="193" t="s">
        <v>34</v>
      </c>
      <c r="C446" s="361">
        <v>20.0</v>
      </c>
      <c r="D446" s="193" t="s">
        <v>135</v>
      </c>
      <c r="E446" s="193" t="s">
        <v>53</v>
      </c>
      <c r="F446" s="193" t="s">
        <v>1451</v>
      </c>
      <c r="G446" s="362">
        <v>46177.0</v>
      </c>
      <c r="H446" s="193" t="s">
        <v>4461</v>
      </c>
      <c r="I446" s="193" t="s">
        <v>4462</v>
      </c>
      <c r="J446" s="193" t="s">
        <v>4463</v>
      </c>
      <c r="K446" s="193" t="s">
        <v>4464</v>
      </c>
      <c r="L446" s="193" t="s">
        <v>667</v>
      </c>
      <c r="M446" s="193" t="s">
        <v>5252</v>
      </c>
      <c r="N446" s="193" t="s">
        <v>5467</v>
      </c>
      <c r="O446" s="193"/>
      <c r="P446" s="359">
        <v>46203.793512013886</v>
      </c>
      <c r="Q446" s="193"/>
      <c r="R446" s="193"/>
      <c r="S446" s="193"/>
      <c r="T446" s="193"/>
    </row>
    <row r="447">
      <c r="A447" s="359">
        <v>46204.68001293982</v>
      </c>
      <c r="B447" s="193" t="s">
        <v>2996</v>
      </c>
      <c r="C447" s="361">
        <v>55.0</v>
      </c>
      <c r="D447" s="193" t="s">
        <v>17</v>
      </c>
      <c r="E447" s="193" t="s">
        <v>225</v>
      </c>
      <c r="F447" s="193" t="s">
        <v>360</v>
      </c>
      <c r="G447" s="362">
        <v>46083.0</v>
      </c>
      <c r="H447" s="193" t="s">
        <v>1002</v>
      </c>
      <c r="I447" s="193" t="s">
        <v>1003</v>
      </c>
      <c r="J447" s="193" t="s">
        <v>1004</v>
      </c>
      <c r="K447" s="193" t="s">
        <v>1005</v>
      </c>
      <c r="L447" s="193" t="s">
        <v>1006</v>
      </c>
      <c r="M447" s="193" t="s">
        <v>1008</v>
      </c>
      <c r="N447" s="193" t="s">
        <v>1010</v>
      </c>
      <c r="O447" s="193"/>
      <c r="P447" s="359">
        <v>46183.85712800926</v>
      </c>
      <c r="Q447" s="193"/>
      <c r="R447" s="193" t="b">
        <v>0</v>
      </c>
      <c r="S447" s="193"/>
      <c r="T447" s="193"/>
    </row>
    <row r="448">
      <c r="A448" s="359">
        <v>46204.680067141206</v>
      </c>
      <c r="B448" s="193" t="s">
        <v>2996</v>
      </c>
      <c r="C448" s="361">
        <v>40.0</v>
      </c>
      <c r="D448" s="193" t="s">
        <v>62</v>
      </c>
      <c r="E448" s="193" t="s">
        <v>225</v>
      </c>
      <c r="F448" s="193" t="s">
        <v>360</v>
      </c>
      <c r="G448" s="362">
        <v>46045.0</v>
      </c>
      <c r="H448" s="193" t="s">
        <v>1025</v>
      </c>
      <c r="I448" s="193" t="s">
        <v>1026</v>
      </c>
      <c r="J448" s="193" t="s">
        <v>1027</v>
      </c>
      <c r="K448" s="193" t="s">
        <v>1028</v>
      </c>
      <c r="L448" s="193" t="s">
        <v>1029</v>
      </c>
      <c r="M448" s="193" t="s">
        <v>1030</v>
      </c>
      <c r="N448" s="193" t="s">
        <v>1031</v>
      </c>
      <c r="O448" s="193"/>
      <c r="P448" s="359">
        <v>46084.91987694445</v>
      </c>
      <c r="Q448" s="193"/>
      <c r="R448" s="193" t="b">
        <v>0</v>
      </c>
      <c r="S448" s="193"/>
      <c r="T448" s="193"/>
    </row>
    <row r="449">
      <c r="A449" s="359">
        <v>46204.683540659724</v>
      </c>
      <c r="B449" s="193" t="s">
        <v>2996</v>
      </c>
      <c r="C449" s="361">
        <v>102.0</v>
      </c>
      <c r="D449" s="193" t="s">
        <v>17</v>
      </c>
      <c r="E449" s="193" t="s">
        <v>225</v>
      </c>
      <c r="F449" s="193" t="s">
        <v>360</v>
      </c>
      <c r="G449" s="362">
        <v>46182.0</v>
      </c>
      <c r="H449" s="193" t="s">
        <v>1049</v>
      </c>
      <c r="I449" s="193" t="s">
        <v>5303</v>
      </c>
      <c r="J449" s="193" t="s">
        <v>238</v>
      </c>
      <c r="K449" s="193" t="s">
        <v>238</v>
      </c>
      <c r="L449" s="193" t="s">
        <v>238</v>
      </c>
      <c r="M449" s="193" t="s">
        <v>5305</v>
      </c>
      <c r="N449" s="193"/>
      <c r="O449" s="193"/>
      <c r="P449" s="359"/>
      <c r="Q449" s="193"/>
      <c r="R449" s="193"/>
      <c r="S449" s="193"/>
      <c r="T449" s="193"/>
    </row>
    <row r="450">
      <c r="A450" s="359">
        <v>46204.68361861111</v>
      </c>
      <c r="B450" s="193" t="s">
        <v>2996</v>
      </c>
      <c r="C450" s="361">
        <v>82.0</v>
      </c>
      <c r="D450" s="193" t="s">
        <v>62</v>
      </c>
      <c r="E450" s="193" t="s">
        <v>225</v>
      </c>
      <c r="F450" s="193" t="s">
        <v>360</v>
      </c>
      <c r="G450" s="362">
        <v>46140.0</v>
      </c>
      <c r="H450" s="193" t="s">
        <v>1055</v>
      </c>
      <c r="I450" s="193" t="s">
        <v>1056</v>
      </c>
      <c r="J450" s="193" t="s">
        <v>1057</v>
      </c>
      <c r="K450" s="193" t="s">
        <v>1058</v>
      </c>
      <c r="L450" s="193" t="s">
        <v>1059</v>
      </c>
      <c r="M450" s="193" t="s">
        <v>1060</v>
      </c>
      <c r="N450" s="193" t="s">
        <v>1061</v>
      </c>
      <c r="O450" s="193"/>
      <c r="P450" s="359">
        <v>46157.847040636574</v>
      </c>
      <c r="Q450" s="193"/>
      <c r="R450" s="193" t="b">
        <v>0</v>
      </c>
      <c r="S450" s="193"/>
      <c r="T450" s="193"/>
    </row>
    <row r="451">
      <c r="A451" s="359">
        <v>46204.686998923615</v>
      </c>
      <c r="B451" s="193" t="s">
        <v>3003</v>
      </c>
      <c r="C451" s="361">
        <v>22.0</v>
      </c>
      <c r="D451" s="193" t="s">
        <v>135</v>
      </c>
      <c r="E451" s="193" t="s">
        <v>225</v>
      </c>
      <c r="F451" s="193" t="s">
        <v>1451</v>
      </c>
      <c r="G451" s="362"/>
      <c r="H451" s="193" t="s">
        <v>4472</v>
      </c>
      <c r="I451" s="193" t="s">
        <v>4473</v>
      </c>
      <c r="J451" s="193" t="s">
        <v>4474</v>
      </c>
      <c r="K451" s="193" t="s">
        <v>5470</v>
      </c>
      <c r="L451" s="193" t="s">
        <v>4478</v>
      </c>
      <c r="M451" s="193" t="s">
        <v>5471</v>
      </c>
      <c r="N451" s="193" t="s">
        <v>5472</v>
      </c>
      <c r="O451" s="193"/>
      <c r="P451" s="359">
        <v>46142.89162108796</v>
      </c>
      <c r="Q451" s="193"/>
      <c r="R451" s="193"/>
      <c r="S451" s="193" t="b">
        <v>0</v>
      </c>
      <c r="T451" s="193"/>
    </row>
    <row r="452">
      <c r="A452" s="359">
        <v>46204.68706614584</v>
      </c>
      <c r="B452" s="193" t="s">
        <v>34</v>
      </c>
      <c r="C452" s="361">
        <v>19.0</v>
      </c>
      <c r="D452" s="193" t="s">
        <v>62</v>
      </c>
      <c r="E452" s="193" t="s">
        <v>225</v>
      </c>
      <c r="F452" s="193" t="s">
        <v>360</v>
      </c>
      <c r="G452" s="362">
        <v>46108.0</v>
      </c>
      <c r="H452" s="193" t="s">
        <v>1071</v>
      </c>
      <c r="I452" s="193" t="s">
        <v>1072</v>
      </c>
      <c r="J452" s="193" t="s">
        <v>1073</v>
      </c>
      <c r="K452" s="193" t="s">
        <v>1075</v>
      </c>
      <c r="L452" s="193" t="s">
        <v>1076</v>
      </c>
      <c r="M452" s="193" t="s">
        <v>1077</v>
      </c>
      <c r="N452" s="193" t="s">
        <v>1078</v>
      </c>
      <c r="O452" s="193"/>
      <c r="P452" s="359">
        <v>46183.94872825232</v>
      </c>
      <c r="Q452" s="193"/>
      <c r="R452" s="193" t="b">
        <v>0</v>
      </c>
      <c r="S452" s="193"/>
      <c r="T452" s="193" t="s">
        <v>845</v>
      </c>
    </row>
    <row r="453">
      <c r="A453" s="359">
        <v>46204.68714799768</v>
      </c>
      <c r="B453" s="193" t="s">
        <v>21</v>
      </c>
      <c r="C453" s="361">
        <v>3.0</v>
      </c>
      <c r="D453" s="193" t="s">
        <v>410</v>
      </c>
      <c r="E453" s="193" t="s">
        <v>225</v>
      </c>
      <c r="F453" s="193" t="s">
        <v>1451</v>
      </c>
      <c r="G453" s="362">
        <v>46108.0</v>
      </c>
      <c r="H453" s="193" t="s">
        <v>4489</v>
      </c>
      <c r="I453" s="193" t="s">
        <v>4490</v>
      </c>
      <c r="J453" s="193" t="s">
        <v>4491</v>
      </c>
      <c r="K453" s="193" t="s">
        <v>4493</v>
      </c>
      <c r="L453" s="193" t="s">
        <v>4391</v>
      </c>
      <c r="M453" s="193" t="s">
        <v>4972</v>
      </c>
      <c r="N453" s="193" t="s">
        <v>5475</v>
      </c>
      <c r="O453" s="193"/>
      <c r="P453" s="359">
        <v>46135.874155</v>
      </c>
      <c r="Q453" s="193"/>
      <c r="R453" s="193"/>
      <c r="S453" s="193"/>
      <c r="T453" s="193"/>
    </row>
    <row r="454">
      <c r="A454" s="359">
        <v>46204.68723258102</v>
      </c>
      <c r="B454" s="193" t="s">
        <v>3003</v>
      </c>
      <c r="C454" s="361">
        <v>3.0</v>
      </c>
      <c r="D454" s="193" t="s">
        <v>62</v>
      </c>
      <c r="E454" s="193" t="s">
        <v>225</v>
      </c>
      <c r="F454" s="193" t="s">
        <v>1451</v>
      </c>
      <c r="G454" s="362">
        <v>46030.0</v>
      </c>
      <c r="H454" s="193" t="s">
        <v>4498</v>
      </c>
      <c r="I454" s="193" t="s">
        <v>4500</v>
      </c>
      <c r="J454" s="193" t="s">
        <v>4501</v>
      </c>
      <c r="K454" s="193" t="s">
        <v>4502</v>
      </c>
      <c r="L454" s="193" t="s">
        <v>240</v>
      </c>
      <c r="M454" s="193" t="s">
        <v>4503</v>
      </c>
      <c r="N454" s="193" t="s">
        <v>5477</v>
      </c>
      <c r="O454" s="193"/>
      <c r="P454" s="359"/>
      <c r="Q454" s="193" t="b">
        <v>0</v>
      </c>
      <c r="R454" s="193"/>
      <c r="S454" s="193"/>
      <c r="T454" s="193"/>
    </row>
    <row r="455">
      <c r="A455" s="359">
        <v>46204.68734017361</v>
      </c>
      <c r="B455" s="193" t="s">
        <v>34</v>
      </c>
      <c r="C455" s="361">
        <v>18.0</v>
      </c>
      <c r="D455" s="193" t="s">
        <v>17</v>
      </c>
      <c r="E455" s="193" t="s">
        <v>225</v>
      </c>
      <c r="F455" s="193" t="s">
        <v>1451</v>
      </c>
      <c r="G455" s="362">
        <v>46111.0</v>
      </c>
      <c r="H455" s="193" t="s">
        <v>4506</v>
      </c>
      <c r="I455" s="193" t="s">
        <v>4507</v>
      </c>
      <c r="J455" s="193" t="s">
        <v>4508</v>
      </c>
      <c r="K455" s="193" t="s">
        <v>5064</v>
      </c>
      <c r="L455" s="193" t="s">
        <v>4510</v>
      </c>
      <c r="M455" s="193" t="s">
        <v>5066</v>
      </c>
      <c r="N455" s="193" t="s">
        <v>5479</v>
      </c>
      <c r="O455" s="193"/>
      <c r="P455" s="359">
        <v>46183.94813109953</v>
      </c>
      <c r="Q455" s="193"/>
      <c r="R455" s="193" t="b">
        <v>0</v>
      </c>
      <c r="S455" s="193"/>
      <c r="T455" s="193" t="s">
        <v>845</v>
      </c>
    </row>
    <row r="456">
      <c r="A456" s="359">
        <v>46204.68829096065</v>
      </c>
      <c r="B456" s="193" t="s">
        <v>2996</v>
      </c>
      <c r="C456" s="361">
        <v>100.0</v>
      </c>
      <c r="D456" s="193" t="s">
        <v>906</v>
      </c>
      <c r="E456" s="193" t="s">
        <v>225</v>
      </c>
      <c r="F456" s="193" t="s">
        <v>1451</v>
      </c>
      <c r="G456" s="362">
        <v>46163.0</v>
      </c>
      <c r="H456" s="193" t="s">
        <v>4517</v>
      </c>
      <c r="I456" s="193" t="s">
        <v>4518</v>
      </c>
      <c r="J456" s="193" t="s">
        <v>4519</v>
      </c>
      <c r="K456" s="193" t="s">
        <v>4520</v>
      </c>
      <c r="L456" s="193" t="s">
        <v>1811</v>
      </c>
      <c r="M456" s="193" t="s">
        <v>5285</v>
      </c>
      <c r="N456" s="193"/>
      <c r="O456" s="193"/>
      <c r="P456" s="359"/>
      <c r="Q456" s="193"/>
      <c r="R456" s="193"/>
      <c r="S456" s="193"/>
      <c r="T456" s="193"/>
    </row>
    <row r="457">
      <c r="A457" s="359">
        <v>46204.688353564816</v>
      </c>
      <c r="B457" s="193" t="s">
        <v>2996</v>
      </c>
      <c r="C457" s="361">
        <v>84.0</v>
      </c>
      <c r="D457" s="193" t="s">
        <v>410</v>
      </c>
      <c r="E457" s="193" t="s">
        <v>225</v>
      </c>
      <c r="F457" s="193" t="s">
        <v>1451</v>
      </c>
      <c r="G457" s="362">
        <v>46140.0</v>
      </c>
      <c r="H457" s="193" t="s">
        <v>4526</v>
      </c>
      <c r="I457" s="193" t="s">
        <v>4527</v>
      </c>
      <c r="J457" s="193" t="s">
        <v>4528</v>
      </c>
      <c r="K457" s="193" t="s">
        <v>4530</v>
      </c>
      <c r="L457" s="193" t="s">
        <v>2554</v>
      </c>
      <c r="M457" s="193" t="s">
        <v>5137</v>
      </c>
      <c r="N457" s="193" t="s">
        <v>5486</v>
      </c>
      <c r="O457" s="193"/>
      <c r="P457" s="359">
        <v>46183.861565555555</v>
      </c>
      <c r="Q457" s="193"/>
      <c r="R457" s="193" t="b">
        <v>0</v>
      </c>
      <c r="S457" s="193"/>
      <c r="T457" s="193"/>
    </row>
    <row r="458">
      <c r="A458" s="359">
        <v>46204.68841274305</v>
      </c>
      <c r="B458" s="193" t="s">
        <v>2996</v>
      </c>
      <c r="C458" s="361">
        <v>71.0</v>
      </c>
      <c r="D458" s="193" t="s">
        <v>17</v>
      </c>
      <c r="E458" s="193" t="s">
        <v>225</v>
      </c>
      <c r="F458" s="193" t="s">
        <v>360</v>
      </c>
      <c r="G458" s="362">
        <v>46112.0</v>
      </c>
      <c r="H458" s="193" t="s">
        <v>1082</v>
      </c>
      <c r="I458" s="193" t="s">
        <v>1084</v>
      </c>
      <c r="J458" s="193" t="s">
        <v>1086</v>
      </c>
      <c r="K458" s="193" t="s">
        <v>1087</v>
      </c>
      <c r="L458" s="193" t="s">
        <v>1089</v>
      </c>
      <c r="M458" s="193"/>
      <c r="N458" s="193" t="s">
        <v>5487</v>
      </c>
      <c r="O458" s="193"/>
      <c r="P458" s="359">
        <v>46183.85754236111</v>
      </c>
      <c r="Q458" s="193"/>
      <c r="R458" s="193" t="b">
        <v>0</v>
      </c>
      <c r="S458" s="193"/>
      <c r="T458" s="193"/>
    </row>
    <row r="459">
      <c r="A459" s="359">
        <v>46204.68846094907</v>
      </c>
      <c r="B459" s="193" t="s">
        <v>2996</v>
      </c>
      <c r="C459" s="361">
        <v>55.0</v>
      </c>
      <c r="D459" s="193" t="s">
        <v>62</v>
      </c>
      <c r="E459" s="193" t="s">
        <v>225</v>
      </c>
      <c r="F459" s="193" t="s">
        <v>360</v>
      </c>
      <c r="G459" s="362">
        <v>46070.0</v>
      </c>
      <c r="H459" s="193" t="s">
        <v>1095</v>
      </c>
      <c r="I459" s="193" t="s">
        <v>1096</v>
      </c>
      <c r="J459" s="193" t="s">
        <v>1097</v>
      </c>
      <c r="K459" s="193" t="s">
        <v>1098</v>
      </c>
      <c r="L459" s="193" t="s">
        <v>1100</v>
      </c>
      <c r="M459" s="193" t="s">
        <v>1102</v>
      </c>
      <c r="N459" s="193" t="s">
        <v>1104</v>
      </c>
      <c r="O459" s="193"/>
      <c r="P459" s="359">
        <v>46078.90377420139</v>
      </c>
      <c r="Q459" s="193"/>
      <c r="R459" s="193" t="b">
        <v>0</v>
      </c>
      <c r="S459" s="193"/>
      <c r="T459" s="193"/>
    </row>
    <row r="460">
      <c r="A460" s="359">
        <v>46204.68850039352</v>
      </c>
      <c r="B460" s="193" t="s">
        <v>2996</v>
      </c>
      <c r="C460" s="361">
        <v>47.0</v>
      </c>
      <c r="D460" s="193" t="s">
        <v>62</v>
      </c>
      <c r="E460" s="193" t="s">
        <v>225</v>
      </c>
      <c r="F460" s="193" t="s">
        <v>360</v>
      </c>
      <c r="G460" s="362">
        <v>46083.0</v>
      </c>
      <c r="H460" s="193" t="s">
        <v>1109</v>
      </c>
      <c r="I460" s="193" t="s">
        <v>1110</v>
      </c>
      <c r="J460" s="193" t="s">
        <v>1111</v>
      </c>
      <c r="K460" s="193" t="s">
        <v>1113</v>
      </c>
      <c r="L460" s="193" t="s">
        <v>1116</v>
      </c>
      <c r="M460" s="193" t="s">
        <v>1117</v>
      </c>
      <c r="N460" s="193" t="s">
        <v>1120</v>
      </c>
      <c r="O460" s="193"/>
      <c r="P460" s="359">
        <v>46141.889146180554</v>
      </c>
      <c r="Q460" s="193"/>
      <c r="R460" s="193" t="b">
        <v>0</v>
      </c>
      <c r="S460" s="193"/>
      <c r="T460" s="193"/>
    </row>
    <row r="461">
      <c r="A461" s="359">
        <v>46204.68859320602</v>
      </c>
      <c r="B461" s="193" t="s">
        <v>3003</v>
      </c>
      <c r="C461" s="361">
        <v>38.0</v>
      </c>
      <c r="D461" s="193" t="s">
        <v>62</v>
      </c>
      <c r="E461" s="193" t="s">
        <v>225</v>
      </c>
      <c r="F461" s="193" t="s">
        <v>1451</v>
      </c>
      <c r="G461" s="362">
        <v>46070.0</v>
      </c>
      <c r="H461" s="193" t="s">
        <v>4270</v>
      </c>
      <c r="I461" s="193" t="s">
        <v>4272</v>
      </c>
      <c r="J461" s="193" t="s">
        <v>4273</v>
      </c>
      <c r="K461" s="193" t="s">
        <v>4274</v>
      </c>
      <c r="L461" s="193" t="s">
        <v>4537</v>
      </c>
      <c r="M461" s="193" t="s">
        <v>4276</v>
      </c>
      <c r="N461" s="193" t="s">
        <v>4278</v>
      </c>
      <c r="O461" s="193"/>
      <c r="P461" s="359">
        <v>46071.82264628472</v>
      </c>
      <c r="Q461" s="193"/>
      <c r="R461" s="193" t="b">
        <v>0</v>
      </c>
      <c r="S461" s="193"/>
      <c r="T461" s="193"/>
    </row>
    <row r="462">
      <c r="A462" s="359">
        <v>46204.68865232639</v>
      </c>
      <c r="B462" s="193" t="s">
        <v>3003</v>
      </c>
      <c r="C462" s="361">
        <v>32.0</v>
      </c>
      <c r="D462" s="193" t="s">
        <v>135</v>
      </c>
      <c r="E462" s="193" t="s">
        <v>225</v>
      </c>
      <c r="F462" s="193" t="s">
        <v>1451</v>
      </c>
      <c r="G462" s="362">
        <v>46009.0</v>
      </c>
      <c r="H462" s="193" t="s">
        <v>4092</v>
      </c>
      <c r="I462" s="193" t="s">
        <v>4093</v>
      </c>
      <c r="J462" s="193" t="s">
        <v>4096</v>
      </c>
      <c r="K462" s="193" t="s">
        <v>4098</v>
      </c>
      <c r="L462" s="193" t="s">
        <v>4100</v>
      </c>
      <c r="M462" s="193" t="s">
        <v>4103</v>
      </c>
      <c r="N462" s="193" t="s">
        <v>4104</v>
      </c>
      <c r="O462" s="193"/>
      <c r="P462" s="359"/>
      <c r="Q462" s="193"/>
      <c r="R462" s="193" t="b">
        <v>0</v>
      </c>
      <c r="S462" s="193"/>
      <c r="T462" s="193"/>
    </row>
    <row r="463">
      <c r="A463" s="359">
        <v>46204.690465127314</v>
      </c>
      <c r="B463" s="193" t="s">
        <v>3003</v>
      </c>
      <c r="C463" s="361">
        <v>38.0</v>
      </c>
      <c r="D463" s="193" t="s">
        <v>62</v>
      </c>
      <c r="E463" s="193" t="s">
        <v>225</v>
      </c>
      <c r="F463" s="193" t="s">
        <v>360</v>
      </c>
      <c r="G463" s="362">
        <v>46070.0</v>
      </c>
      <c r="H463" s="193" t="s">
        <v>1127</v>
      </c>
      <c r="I463" s="193" t="s">
        <v>1129</v>
      </c>
      <c r="J463" s="193" t="s">
        <v>1130</v>
      </c>
      <c r="K463" s="193" t="s">
        <v>1131</v>
      </c>
      <c r="L463" s="193" t="s">
        <v>1132</v>
      </c>
      <c r="M463" s="193" t="s">
        <v>1134</v>
      </c>
      <c r="N463" s="193" t="s">
        <v>4429</v>
      </c>
      <c r="O463" s="193"/>
      <c r="P463" s="359">
        <v>46079.758593900464</v>
      </c>
      <c r="Q463" s="193"/>
      <c r="R463" s="193" t="b">
        <v>0</v>
      </c>
      <c r="S463" s="193"/>
      <c r="T463" s="193"/>
    </row>
    <row r="464">
      <c r="A464" s="359">
        <v>46204.69395163194</v>
      </c>
      <c r="B464" s="193" t="s">
        <v>3012</v>
      </c>
      <c r="C464" s="361">
        <v>15.0</v>
      </c>
      <c r="D464" s="193" t="s">
        <v>135</v>
      </c>
      <c r="E464" s="193" t="s">
        <v>225</v>
      </c>
      <c r="F464" s="193" t="s">
        <v>1451</v>
      </c>
      <c r="G464" s="362">
        <v>45664.0</v>
      </c>
      <c r="H464" s="193" t="s">
        <v>3553</v>
      </c>
      <c r="I464" s="193" t="s">
        <v>3555</v>
      </c>
      <c r="J464" s="193" t="s">
        <v>3557</v>
      </c>
      <c r="K464" s="193" t="s">
        <v>3558</v>
      </c>
      <c r="L464" s="193" t="s">
        <v>2317</v>
      </c>
      <c r="M464" s="193" t="s">
        <v>3560</v>
      </c>
      <c r="N464" s="193" t="s">
        <v>4545</v>
      </c>
      <c r="O464" s="193"/>
      <c r="P464" s="359">
        <v>46099.915542546296</v>
      </c>
      <c r="Q464" s="193"/>
      <c r="R464" s="193" t="b">
        <v>0</v>
      </c>
      <c r="S464" s="193"/>
      <c r="T464" s="193"/>
    </row>
    <row r="465">
      <c r="A465" s="359">
        <v>46204.694021539355</v>
      </c>
      <c r="B465" s="193" t="s">
        <v>3012</v>
      </c>
      <c r="C465" s="361">
        <v>9.0</v>
      </c>
      <c r="D465" s="193" t="s">
        <v>62</v>
      </c>
      <c r="E465" s="193" t="s">
        <v>225</v>
      </c>
      <c r="F465" s="193" t="s">
        <v>1451</v>
      </c>
      <c r="G465" s="362">
        <v>46071.0</v>
      </c>
      <c r="H465" s="193" t="s">
        <v>4415</v>
      </c>
      <c r="I465" s="193" t="s">
        <v>4416</v>
      </c>
      <c r="J465" s="193" t="s">
        <v>4418</v>
      </c>
      <c r="K465" s="193" t="s">
        <v>4419</v>
      </c>
      <c r="L465" s="193" t="s">
        <v>1089</v>
      </c>
      <c r="M465" s="193"/>
      <c r="N465" s="193" t="s">
        <v>5488</v>
      </c>
      <c r="O465" s="193"/>
      <c r="P465" s="359">
        <v>46099.91007972222</v>
      </c>
      <c r="Q465" s="193"/>
      <c r="R465" s="193" t="b">
        <v>0</v>
      </c>
      <c r="S465" s="193"/>
      <c r="T465" s="193"/>
    </row>
    <row r="466">
      <c r="A466" s="359">
        <v>46204.69417685185</v>
      </c>
      <c r="B466" s="193" t="s">
        <v>3116</v>
      </c>
      <c r="C466" s="361">
        <v>8.0</v>
      </c>
      <c r="D466" s="193" t="s">
        <v>22</v>
      </c>
      <c r="E466" s="193" t="s">
        <v>53</v>
      </c>
      <c r="F466" s="193" t="s">
        <v>867</v>
      </c>
      <c r="G466" s="362">
        <v>46190.0</v>
      </c>
      <c r="H466" s="193" t="s">
        <v>2696</v>
      </c>
      <c r="I466" s="193" t="s">
        <v>2697</v>
      </c>
      <c r="J466" s="193" t="s">
        <v>2698</v>
      </c>
      <c r="K466" s="193" t="s">
        <v>2699</v>
      </c>
      <c r="L466" s="193" t="s">
        <v>1020</v>
      </c>
      <c r="M466" s="193" t="s">
        <v>5489</v>
      </c>
      <c r="N466" s="193" t="s">
        <v>5417</v>
      </c>
      <c r="O466" s="193"/>
      <c r="P466" s="359">
        <v>46196.81690178241</v>
      </c>
      <c r="Q466" s="193"/>
      <c r="R466" s="193"/>
      <c r="S466" s="193"/>
      <c r="T466" s="193"/>
    </row>
    <row r="467">
      <c r="A467" s="359">
        <v>46204.694268252315</v>
      </c>
      <c r="B467" s="193" t="s">
        <v>3012</v>
      </c>
      <c r="C467" s="361">
        <v>8.0</v>
      </c>
      <c r="D467" s="193" t="s">
        <v>62</v>
      </c>
      <c r="E467" s="193" t="s">
        <v>225</v>
      </c>
      <c r="F467" s="193" t="s">
        <v>1451</v>
      </c>
      <c r="G467" s="362">
        <v>46080.0</v>
      </c>
      <c r="H467" s="193" t="s">
        <v>4482</v>
      </c>
      <c r="I467" s="193" t="s">
        <v>4483</v>
      </c>
      <c r="J467" s="193" t="s">
        <v>4484</v>
      </c>
      <c r="K467" s="193" t="s">
        <v>4485</v>
      </c>
      <c r="L467" s="193" t="s">
        <v>850</v>
      </c>
      <c r="M467" s="193"/>
      <c r="N467" s="193" t="s">
        <v>4550</v>
      </c>
      <c r="O467" s="193"/>
      <c r="P467" s="359">
        <v>46085.007273807874</v>
      </c>
      <c r="Q467" s="193"/>
      <c r="R467" s="193" t="b">
        <v>0</v>
      </c>
      <c r="S467" s="193"/>
      <c r="T467" s="193"/>
    </row>
    <row r="468">
      <c r="A468" s="359">
        <v>46204.69435805555</v>
      </c>
      <c r="B468" s="193" t="s">
        <v>3012</v>
      </c>
      <c r="C468" s="361">
        <v>2.0</v>
      </c>
      <c r="D468" s="193" t="s">
        <v>135</v>
      </c>
      <c r="E468" s="193" t="s">
        <v>225</v>
      </c>
      <c r="F468" s="193" t="s">
        <v>1451</v>
      </c>
      <c r="G468" s="362">
        <v>46013.0</v>
      </c>
      <c r="H468" s="193" t="s">
        <v>4552</v>
      </c>
      <c r="I468" s="193" t="s">
        <v>4553</v>
      </c>
      <c r="J468" s="193">
        <v>6.464509256E9</v>
      </c>
      <c r="K468" s="193" t="s">
        <v>4555</v>
      </c>
      <c r="L468" s="193" t="s">
        <v>3209</v>
      </c>
      <c r="M468" s="193" t="s">
        <v>4556</v>
      </c>
      <c r="N468" s="193" t="s">
        <v>4557</v>
      </c>
      <c r="O468" s="193"/>
      <c r="P468" s="359"/>
      <c r="Q468" s="193" t="b">
        <v>0</v>
      </c>
      <c r="R468" s="193"/>
      <c r="S468" s="193"/>
      <c r="T468" s="193"/>
    </row>
    <row r="469">
      <c r="A469" s="359">
        <v>46204.69869167824</v>
      </c>
      <c r="B469" s="193" t="s">
        <v>3003</v>
      </c>
      <c r="C469" s="361">
        <v>63.0</v>
      </c>
      <c r="D469" s="193" t="s">
        <v>22</v>
      </c>
      <c r="E469" s="193" t="s">
        <v>225</v>
      </c>
      <c r="F469" s="193" t="s">
        <v>24</v>
      </c>
      <c r="G469" s="362"/>
      <c r="H469" s="193" t="s">
        <v>2126</v>
      </c>
      <c r="I469" s="193" t="s">
        <v>2128</v>
      </c>
      <c r="J469" s="193" t="s">
        <v>2130</v>
      </c>
      <c r="K469" s="193" t="s">
        <v>2131</v>
      </c>
      <c r="L469" s="193" t="s">
        <v>2133</v>
      </c>
      <c r="M469" s="193" t="s">
        <v>2134</v>
      </c>
      <c r="N469" s="193" t="s">
        <v>5490</v>
      </c>
      <c r="O469" s="193"/>
      <c r="P469" s="359">
        <v>46198.94841391203</v>
      </c>
      <c r="Q469" s="193"/>
      <c r="R469" s="193"/>
      <c r="S469" s="193"/>
      <c r="T469" s="193"/>
    </row>
    <row r="470">
      <c r="A470" s="359">
        <v>46204.69877229167</v>
      </c>
      <c r="B470" s="193" t="s">
        <v>3012</v>
      </c>
      <c r="C470" s="361">
        <v>13.0</v>
      </c>
      <c r="D470" s="193" t="s">
        <v>17</v>
      </c>
      <c r="E470" s="193" t="s">
        <v>225</v>
      </c>
      <c r="F470" s="193" t="s">
        <v>1451</v>
      </c>
      <c r="G470" s="362">
        <v>46038.0</v>
      </c>
      <c r="H470" s="193" t="s">
        <v>3645</v>
      </c>
      <c r="I470" s="193" t="s">
        <v>3647</v>
      </c>
      <c r="J470" s="193" t="s">
        <v>3649</v>
      </c>
      <c r="K470" s="193" t="s">
        <v>3650</v>
      </c>
      <c r="L470" s="193" t="s">
        <v>2827</v>
      </c>
      <c r="M470" s="193" t="s">
        <v>3652</v>
      </c>
      <c r="N470" s="193" t="s">
        <v>4561</v>
      </c>
      <c r="O470" s="193"/>
      <c r="P470" s="359"/>
      <c r="Q470" s="193"/>
      <c r="R470" s="193" t="b">
        <v>0</v>
      </c>
      <c r="S470" s="193"/>
      <c r="T470" s="193"/>
    </row>
    <row r="471">
      <c r="A471" s="359">
        <v>46204.698815138894</v>
      </c>
      <c r="B471" s="193" t="s">
        <v>3012</v>
      </c>
      <c r="C471" s="361">
        <v>12.0</v>
      </c>
      <c r="D471" s="193" t="s">
        <v>62</v>
      </c>
      <c r="E471" s="193" t="s">
        <v>225</v>
      </c>
      <c r="F471" s="193" t="s">
        <v>1451</v>
      </c>
      <c r="G471" s="362">
        <v>46043.0</v>
      </c>
      <c r="H471" s="193" t="s">
        <v>3904</v>
      </c>
      <c r="I471" s="193" t="s">
        <v>3905</v>
      </c>
      <c r="J471" s="193" t="s">
        <v>3906</v>
      </c>
      <c r="K471" s="193" t="s">
        <v>3907</v>
      </c>
      <c r="L471" s="193" t="s">
        <v>497</v>
      </c>
      <c r="M471" s="193" t="s">
        <v>3908</v>
      </c>
      <c r="N471" s="193" t="s">
        <v>1000</v>
      </c>
      <c r="O471" s="193"/>
      <c r="P471" s="359">
        <v>46099.91582545139</v>
      </c>
      <c r="Q471" s="193"/>
      <c r="R471" s="193"/>
      <c r="S471" s="193"/>
      <c r="T471" s="193"/>
    </row>
    <row r="472">
      <c r="A472" s="359">
        <v>46204.700875636576</v>
      </c>
      <c r="B472" s="193" t="s">
        <v>3012</v>
      </c>
      <c r="C472" s="361">
        <v>13.0</v>
      </c>
      <c r="D472" s="193" t="s">
        <v>17</v>
      </c>
      <c r="E472" s="193" t="s">
        <v>225</v>
      </c>
      <c r="F472" s="193" t="s">
        <v>24</v>
      </c>
      <c r="G472" s="362">
        <v>46037.0</v>
      </c>
      <c r="H472" s="193" t="s">
        <v>2199</v>
      </c>
      <c r="I472" s="193" t="s">
        <v>2200</v>
      </c>
      <c r="J472" s="193" t="s">
        <v>2202</v>
      </c>
      <c r="K472" s="193" t="s">
        <v>2203</v>
      </c>
      <c r="L472" s="193" t="s">
        <v>2204</v>
      </c>
      <c r="M472" s="193" t="s">
        <v>2205</v>
      </c>
      <c r="N472" s="193" t="s">
        <v>2206</v>
      </c>
      <c r="O472" s="193"/>
      <c r="P472" s="359">
        <v>46084.919616643514</v>
      </c>
      <c r="Q472" s="193"/>
      <c r="R472" s="193" t="b">
        <v>0</v>
      </c>
      <c r="S472" s="193"/>
      <c r="T472" s="193"/>
    </row>
    <row r="473">
      <c r="A473" s="359">
        <v>46204.709879675924</v>
      </c>
      <c r="B473" s="193" t="s">
        <v>3012</v>
      </c>
      <c r="C473" s="361">
        <v>53.0</v>
      </c>
      <c r="D473" s="193" t="s">
        <v>62</v>
      </c>
      <c r="E473" s="193" t="s">
        <v>225</v>
      </c>
      <c r="F473" s="193" t="s">
        <v>24</v>
      </c>
      <c r="G473" s="362">
        <v>46094.0</v>
      </c>
      <c r="H473" s="193" t="s">
        <v>2819</v>
      </c>
      <c r="I473" s="193" t="s">
        <v>2821</v>
      </c>
      <c r="J473" s="193" t="s">
        <v>2822</v>
      </c>
      <c r="K473" s="193" t="s">
        <v>5045</v>
      </c>
      <c r="L473" s="193" t="s">
        <v>210</v>
      </c>
      <c r="M473" s="193" t="s">
        <v>5046</v>
      </c>
      <c r="N473" s="193" t="s">
        <v>5047</v>
      </c>
      <c r="O473" s="193"/>
      <c r="P473" s="359">
        <v>46099.799459560185</v>
      </c>
      <c r="Q473" s="193"/>
      <c r="R473" s="193" t="b">
        <v>0</v>
      </c>
      <c r="S473" s="193"/>
      <c r="T473" s="193"/>
    </row>
    <row r="474">
      <c r="A474" s="359">
        <v>46204.71007965278</v>
      </c>
      <c r="B474" s="193" t="s">
        <v>3012</v>
      </c>
      <c r="C474" s="361">
        <v>13.0</v>
      </c>
      <c r="D474" s="193" t="s">
        <v>62</v>
      </c>
      <c r="E474" s="193" t="s">
        <v>225</v>
      </c>
      <c r="F474" s="193" t="s">
        <v>1451</v>
      </c>
      <c r="G474" s="362">
        <v>46052.0</v>
      </c>
      <c r="H474" s="193" t="s">
        <v>3758</v>
      </c>
      <c r="I474" s="193" t="s">
        <v>3759</v>
      </c>
      <c r="J474" s="193" t="s">
        <v>3760</v>
      </c>
      <c r="K474" s="193" t="s">
        <v>3761</v>
      </c>
      <c r="L474" s="193" t="s">
        <v>4568</v>
      </c>
      <c r="M474" s="193" t="s">
        <v>3764</v>
      </c>
      <c r="N474" s="193" t="s">
        <v>4569</v>
      </c>
      <c r="O474" s="193"/>
      <c r="P474" s="359">
        <v>46064.882049907406</v>
      </c>
      <c r="Q474" s="193"/>
      <c r="R474" s="193" t="b">
        <v>0</v>
      </c>
      <c r="S474" s="193"/>
      <c r="T474" s="193"/>
    </row>
    <row r="475">
      <c r="A475" s="359">
        <v>46204.711327233796</v>
      </c>
      <c r="B475" s="193" t="s">
        <v>3116</v>
      </c>
      <c r="C475" s="361">
        <v>13.0</v>
      </c>
      <c r="D475" s="193" t="s">
        <v>135</v>
      </c>
      <c r="E475" s="193" t="s">
        <v>225</v>
      </c>
      <c r="F475" s="193" t="s">
        <v>867</v>
      </c>
      <c r="G475" s="362">
        <v>45662.0</v>
      </c>
      <c r="H475" s="193" t="s">
        <v>2707</v>
      </c>
      <c r="I475" s="193" t="s">
        <v>2708</v>
      </c>
      <c r="J475" s="193" t="s">
        <v>2709</v>
      </c>
      <c r="K475" s="193" t="s">
        <v>2710</v>
      </c>
      <c r="L475" s="193" t="s">
        <v>2554</v>
      </c>
      <c r="M475" s="193" t="s">
        <v>5491</v>
      </c>
      <c r="N475" s="193" t="s">
        <v>5492</v>
      </c>
      <c r="O475" s="193"/>
      <c r="P475" s="359">
        <v>46099.90632902778</v>
      </c>
      <c r="Q475" s="193" t="b">
        <v>0</v>
      </c>
      <c r="R475" s="193"/>
      <c r="S475" s="193"/>
      <c r="T475" s="193"/>
    </row>
    <row r="476">
      <c r="A476" s="359">
        <v>46205.787673680556</v>
      </c>
      <c r="B476" s="193" t="s">
        <v>3116</v>
      </c>
      <c r="C476" s="361">
        <v>16.0</v>
      </c>
      <c r="D476" s="193" t="s">
        <v>135</v>
      </c>
      <c r="E476" s="193" t="s">
        <v>225</v>
      </c>
      <c r="F476" s="193" t="s">
        <v>1451</v>
      </c>
      <c r="G476" s="362">
        <v>46203.0</v>
      </c>
      <c r="H476" s="193" t="s">
        <v>4572</v>
      </c>
      <c r="I476" s="193" t="s">
        <v>4573</v>
      </c>
      <c r="J476" s="193" t="s">
        <v>4574</v>
      </c>
      <c r="K476" s="193" t="s">
        <v>5493</v>
      </c>
      <c r="L476" s="193" t="s">
        <v>1811</v>
      </c>
      <c r="M476" s="193" t="s">
        <v>5494</v>
      </c>
      <c r="N476" s="193" t="s">
        <v>5495</v>
      </c>
      <c r="O476" s="193"/>
      <c r="P476" s="359">
        <v>46205.786410416666</v>
      </c>
      <c r="Q476" s="193"/>
      <c r="R476" s="193"/>
      <c r="S476" s="193"/>
      <c r="T476" s="193"/>
    </row>
    <row r="477">
      <c r="A477" s="359">
        <v>46205.85363680555</v>
      </c>
      <c r="B477" s="193" t="s">
        <v>3003</v>
      </c>
      <c r="C477" s="361">
        <v>55.0</v>
      </c>
      <c r="D477" s="193" t="s">
        <v>17</v>
      </c>
      <c r="E477" s="193" t="s">
        <v>225</v>
      </c>
      <c r="F477" s="193" t="s">
        <v>1451</v>
      </c>
      <c r="G477" s="362">
        <v>46129.0</v>
      </c>
      <c r="H477" s="193" t="s">
        <v>4581</v>
      </c>
      <c r="I477" s="193" t="s">
        <v>4582</v>
      </c>
      <c r="J477" s="193" t="s">
        <v>4583</v>
      </c>
      <c r="K477" s="193" t="s">
        <v>4584</v>
      </c>
      <c r="L477" s="193" t="s">
        <v>4585</v>
      </c>
      <c r="M477" s="193" t="s">
        <v>4586</v>
      </c>
      <c r="N477" s="193" t="s">
        <v>5496</v>
      </c>
      <c r="O477" s="193"/>
      <c r="P477" s="359">
        <v>46205.85051898148</v>
      </c>
      <c r="Q477" s="193"/>
      <c r="R477" s="193" t="b">
        <v>0</v>
      </c>
      <c r="S477" s="193"/>
      <c r="T477" s="193"/>
    </row>
    <row r="478">
      <c r="A478" s="359">
        <v>46209.97175075232</v>
      </c>
      <c r="B478" s="193" t="s">
        <v>2996</v>
      </c>
      <c r="C478" s="361">
        <v>80.0</v>
      </c>
      <c r="D478" s="193" t="s">
        <v>62</v>
      </c>
      <c r="E478" s="193" t="s">
        <v>225</v>
      </c>
      <c r="F478" s="193" t="s">
        <v>1451</v>
      </c>
      <c r="G478" s="362">
        <v>46126.0</v>
      </c>
      <c r="H478" s="193" t="s">
        <v>4589</v>
      </c>
      <c r="I478" s="193" t="s">
        <v>4590</v>
      </c>
      <c r="J478" s="193" t="s">
        <v>4591</v>
      </c>
      <c r="K478" s="193" t="s">
        <v>4592</v>
      </c>
      <c r="L478" s="193" t="s">
        <v>2526</v>
      </c>
      <c r="M478" s="193" t="s">
        <v>4595</v>
      </c>
      <c r="N478" s="193" t="s">
        <v>4596</v>
      </c>
      <c r="O478" s="193"/>
      <c r="P478" s="359">
        <v>46155.95913042824</v>
      </c>
      <c r="Q478" s="193"/>
      <c r="R478" s="193" t="b">
        <v>0</v>
      </c>
      <c r="S478" s="193"/>
      <c r="T478" s="193"/>
    </row>
    <row r="479">
      <c r="A479" s="359">
        <v>46210.896653344906</v>
      </c>
      <c r="B479" s="193" t="s">
        <v>3116</v>
      </c>
      <c r="C479" s="361">
        <v>16.0</v>
      </c>
      <c r="D479" s="193" t="s">
        <v>17</v>
      </c>
      <c r="E479" s="193" t="s">
        <v>53</v>
      </c>
      <c r="F479" s="193" t="s">
        <v>867</v>
      </c>
      <c r="G479" s="362">
        <v>46203.0</v>
      </c>
      <c r="H479" s="193" t="s">
        <v>2724</v>
      </c>
      <c r="I479" s="193" t="s">
        <v>2725</v>
      </c>
      <c r="J479" s="193" t="s">
        <v>2726</v>
      </c>
      <c r="K479" s="193" t="s">
        <v>5497</v>
      </c>
      <c r="L479" s="193" t="s">
        <v>2731</v>
      </c>
      <c r="M479" s="193" t="s">
        <v>5498</v>
      </c>
      <c r="N479" s="193" t="s">
        <v>2736</v>
      </c>
      <c r="O479" s="193"/>
      <c r="P479" s="359">
        <v>46210.88608644676</v>
      </c>
      <c r="Q479" s="193"/>
      <c r="R479" s="193"/>
      <c r="S479" s="193"/>
      <c r="T479" s="193"/>
    </row>
    <row r="480">
      <c r="A480" s="359">
        <v>46210.89674444444</v>
      </c>
      <c r="B480" s="193" t="s">
        <v>3116</v>
      </c>
      <c r="C480" s="361">
        <v>8.0</v>
      </c>
      <c r="D480" s="193" t="s">
        <v>17</v>
      </c>
      <c r="E480" s="193" t="s">
        <v>53</v>
      </c>
      <c r="F480" s="193" t="s">
        <v>867</v>
      </c>
      <c r="G480" s="362">
        <v>46198.0</v>
      </c>
      <c r="H480" s="193" t="s">
        <v>4628</v>
      </c>
      <c r="I480" s="193" t="s">
        <v>4630</v>
      </c>
      <c r="J480" s="193" t="s">
        <v>4631</v>
      </c>
      <c r="K480" s="193" t="s">
        <v>4632</v>
      </c>
      <c r="L480" s="193" t="s">
        <v>686</v>
      </c>
      <c r="M480" s="193" t="s">
        <v>5499</v>
      </c>
      <c r="N480" s="193" t="s">
        <v>5500</v>
      </c>
      <c r="O480" s="193"/>
      <c r="P480" s="359">
        <v>46199.85846993055</v>
      </c>
      <c r="Q480" s="193"/>
      <c r="R480" s="193"/>
      <c r="S480" s="193"/>
      <c r="T480" s="193"/>
    </row>
    <row r="481">
      <c r="A481" s="359">
        <v>46211.82584273149</v>
      </c>
      <c r="B481" s="193" t="s">
        <v>3116</v>
      </c>
      <c r="C481" s="361">
        <v>20.0</v>
      </c>
      <c r="D481" s="193" t="s">
        <v>17</v>
      </c>
      <c r="E481" s="193" t="s">
        <v>25</v>
      </c>
      <c r="F481" s="193" t="s">
        <v>1527</v>
      </c>
      <c r="G481" s="362">
        <v>46209.0</v>
      </c>
      <c r="H481" s="193" t="s">
        <v>4599</v>
      </c>
      <c r="I481" s="193" t="s">
        <v>4601</v>
      </c>
      <c r="J481" s="193" t="s">
        <v>4602</v>
      </c>
      <c r="K481" s="193" t="s">
        <v>4603</v>
      </c>
      <c r="L481" s="193" t="s">
        <v>4604</v>
      </c>
      <c r="M481" s="193" t="s">
        <v>4605</v>
      </c>
      <c r="N481" s="193"/>
      <c r="O481" s="193"/>
      <c r="P481" s="359"/>
      <c r="Q481" s="193"/>
      <c r="R481" s="193"/>
      <c r="S481" s="193"/>
      <c r="T481" s="193"/>
    </row>
    <row r="482">
      <c r="A482" s="359">
        <v>46211.93001930555</v>
      </c>
      <c r="B482" s="193" t="s">
        <v>3116</v>
      </c>
      <c r="C482" s="361">
        <v>9.0</v>
      </c>
      <c r="D482" s="193" t="s">
        <v>18</v>
      </c>
      <c r="E482" s="193" t="s">
        <v>19</v>
      </c>
      <c r="F482" s="193" t="s">
        <v>867</v>
      </c>
      <c r="G482" s="362">
        <v>46198.0</v>
      </c>
      <c r="H482" s="193" t="s">
        <v>2748</v>
      </c>
      <c r="I482" s="193" t="s">
        <v>2750</v>
      </c>
      <c r="J482" s="193" t="s">
        <v>2752</v>
      </c>
      <c r="K482" s="193" t="s">
        <v>2753</v>
      </c>
      <c r="L482" s="193" t="s">
        <v>2754</v>
      </c>
      <c r="M482" s="193" t="s">
        <v>2755</v>
      </c>
      <c r="N482" s="193" t="s">
        <v>2756</v>
      </c>
      <c r="O482" s="193"/>
      <c r="P482" s="359">
        <v>46211.70390663194</v>
      </c>
      <c r="Q482" s="193"/>
      <c r="R482" s="193"/>
      <c r="S482" s="193"/>
      <c r="T482" s="193"/>
    </row>
    <row r="483">
      <c r="A483" s="359">
        <v>46213.82370355324</v>
      </c>
      <c r="B483" s="193" t="s">
        <v>34</v>
      </c>
      <c r="C483" s="361">
        <v>9.0</v>
      </c>
      <c r="D483" s="193" t="s">
        <v>17</v>
      </c>
      <c r="E483" s="193" t="s">
        <v>53</v>
      </c>
      <c r="F483" s="193" t="s">
        <v>1451</v>
      </c>
      <c r="G483" s="362">
        <v>46038.0</v>
      </c>
      <c r="H483" s="193" t="s">
        <v>3657</v>
      </c>
      <c r="I483" s="193" t="s">
        <v>3658</v>
      </c>
      <c r="J483" s="193" t="s">
        <v>4608</v>
      </c>
      <c r="K483" s="193" t="s">
        <v>3661</v>
      </c>
      <c r="L483" s="193" t="s">
        <v>1467</v>
      </c>
      <c r="M483" s="193" t="s">
        <v>3663</v>
      </c>
      <c r="N483" s="193" t="s">
        <v>5501</v>
      </c>
      <c r="O483" s="193"/>
      <c r="P483" s="359">
        <v>46183.86926049768</v>
      </c>
      <c r="Q483" s="193"/>
      <c r="R483" s="193" t="b">
        <v>0</v>
      </c>
      <c r="S483" s="193"/>
      <c r="T483" s="193" t="s">
        <v>5502</v>
      </c>
    </row>
    <row r="484">
      <c r="A484" s="359">
        <v>46216.72863997685</v>
      </c>
      <c r="B484" s="193" t="s">
        <v>3116</v>
      </c>
      <c r="C484" s="361">
        <v>24.0</v>
      </c>
      <c r="D484" s="193" t="s">
        <v>17</v>
      </c>
      <c r="E484" s="193" t="s">
        <v>53</v>
      </c>
      <c r="F484" s="193" t="s">
        <v>24</v>
      </c>
      <c r="G484" s="362">
        <v>46213.0</v>
      </c>
      <c r="H484" s="193" t="s">
        <v>2214</v>
      </c>
      <c r="I484" s="193" t="s">
        <v>2216</v>
      </c>
      <c r="J484" s="193" t="s">
        <v>2218</v>
      </c>
      <c r="K484" s="193" t="s">
        <v>2220</v>
      </c>
      <c r="L484" s="193" t="s">
        <v>106</v>
      </c>
      <c r="M484" s="193" t="s">
        <v>5503</v>
      </c>
      <c r="N484" s="193" t="s">
        <v>5504</v>
      </c>
      <c r="O484" s="193"/>
      <c r="P484" s="359">
        <v>46216.72838306713</v>
      </c>
      <c r="Q484" s="193"/>
      <c r="R484" s="193"/>
      <c r="S484" s="193"/>
      <c r="T484" s="193"/>
    </row>
    <row r="485">
      <c r="A485" s="359">
        <v>46216.74599430556</v>
      </c>
      <c r="B485" s="193" t="s">
        <v>3116</v>
      </c>
      <c r="C485" s="361">
        <v>12.0</v>
      </c>
      <c r="D485" s="193" t="s">
        <v>135</v>
      </c>
      <c r="E485" s="193" t="s">
        <v>25</v>
      </c>
      <c r="F485" s="193" t="s">
        <v>24</v>
      </c>
      <c r="G485" s="362">
        <v>46203.0</v>
      </c>
      <c r="H485" s="193" t="s">
        <v>2230</v>
      </c>
      <c r="I485" s="193" t="s">
        <v>2232</v>
      </c>
      <c r="J485" s="193" t="s">
        <v>2233</v>
      </c>
      <c r="K485" s="193" t="s">
        <v>2235</v>
      </c>
      <c r="L485" s="193" t="s">
        <v>2237</v>
      </c>
      <c r="M485" s="193" t="s">
        <v>2238</v>
      </c>
      <c r="N485" s="193" t="s">
        <v>2240</v>
      </c>
      <c r="O485" s="193"/>
      <c r="P485" s="359">
        <v>46210.95578164352</v>
      </c>
      <c r="Q485" s="193"/>
      <c r="R485" s="193"/>
      <c r="S485" s="193"/>
      <c r="T485" s="193"/>
    </row>
    <row r="486">
      <c r="A486" s="359">
        <v>46217.787673391205</v>
      </c>
      <c r="B486" s="193" t="s">
        <v>3116</v>
      </c>
      <c r="C486" s="361">
        <v>15.0</v>
      </c>
      <c r="D486" s="193" t="s">
        <v>62</v>
      </c>
      <c r="E486" s="193" t="s">
        <v>53</v>
      </c>
      <c r="F486" s="193" t="s">
        <v>867</v>
      </c>
      <c r="G486" s="362">
        <v>46209.0</v>
      </c>
      <c r="H486" s="193" t="s">
        <v>2318</v>
      </c>
      <c r="I486" s="193" t="s">
        <v>2319</v>
      </c>
      <c r="J486" s="193" t="s">
        <v>2726</v>
      </c>
      <c r="K486" s="193" t="s">
        <v>2322</v>
      </c>
      <c r="L486" s="193" t="s">
        <v>2324</v>
      </c>
      <c r="M486" s="193" t="s">
        <v>5505</v>
      </c>
      <c r="N486" s="193"/>
      <c r="O486" s="193"/>
      <c r="P486" s="359"/>
      <c r="Q486" s="193"/>
      <c r="R486" s="193"/>
      <c r="S486" s="193"/>
      <c r="T486" s="193"/>
    </row>
    <row r="487">
      <c r="A487" s="359">
        <v>46217.798102650464</v>
      </c>
      <c r="B487" s="193" t="s">
        <v>3116</v>
      </c>
      <c r="C487" s="361">
        <v>4.0</v>
      </c>
      <c r="D487" s="193" t="s">
        <v>17</v>
      </c>
      <c r="E487" s="193" t="s">
        <v>23</v>
      </c>
      <c r="F487" s="193" t="s">
        <v>867</v>
      </c>
      <c r="G487" s="362">
        <v>46196.0</v>
      </c>
      <c r="H487" s="193" t="s">
        <v>98</v>
      </c>
      <c r="I487" s="193" t="s">
        <v>104</v>
      </c>
      <c r="J487" s="193" t="s">
        <v>107</v>
      </c>
      <c r="K487" s="193" t="s">
        <v>109</v>
      </c>
      <c r="L487" s="193" t="s">
        <v>5506</v>
      </c>
      <c r="M487" s="193" t="s">
        <v>5507</v>
      </c>
      <c r="N487" s="193"/>
      <c r="O487" s="193"/>
      <c r="P487" s="359"/>
      <c r="Q487" s="193"/>
      <c r="R487" s="193"/>
      <c r="S487" s="193"/>
      <c r="T487" s="193"/>
    </row>
    <row r="488">
      <c r="A488" s="359">
        <v>46217.85492790509</v>
      </c>
      <c r="B488" s="193" t="s">
        <v>3116</v>
      </c>
      <c r="C488" s="361">
        <v>16.0</v>
      </c>
      <c r="D488" s="193" t="s">
        <v>22</v>
      </c>
      <c r="E488" s="193" t="s">
        <v>225</v>
      </c>
      <c r="F488" s="193" t="s">
        <v>1451</v>
      </c>
      <c r="G488" s="362">
        <v>46210.0</v>
      </c>
      <c r="H488" s="193" t="s">
        <v>4616</v>
      </c>
      <c r="I488" s="193" t="s">
        <v>4619</v>
      </c>
      <c r="J488" s="193" t="s">
        <v>4620</v>
      </c>
      <c r="K488" s="193" t="s">
        <v>5508</v>
      </c>
      <c r="L488" s="193" t="s">
        <v>548</v>
      </c>
      <c r="M488" s="193" t="s">
        <v>5509</v>
      </c>
      <c r="N488" s="193" t="s">
        <v>5510</v>
      </c>
      <c r="O488" s="193"/>
      <c r="P488" s="359">
        <v>46217.853896851855</v>
      </c>
      <c r="Q488" s="193"/>
      <c r="R488" s="193"/>
      <c r="S488" s="193"/>
      <c r="T488" s="193"/>
    </row>
    <row r="489">
      <c r="A489" s="359">
        <v>46218.6869775463</v>
      </c>
      <c r="B489" s="193" t="s">
        <v>3003</v>
      </c>
      <c r="C489" s="361">
        <v>76.0</v>
      </c>
      <c r="D489" s="193" t="s">
        <v>17</v>
      </c>
      <c r="E489" s="193" t="s">
        <v>53</v>
      </c>
      <c r="F489" s="193" t="s">
        <v>1451</v>
      </c>
      <c r="G489" s="362">
        <v>46198.0</v>
      </c>
      <c r="H489" s="193" t="s">
        <v>4628</v>
      </c>
      <c r="I489" s="193" t="s">
        <v>4630</v>
      </c>
      <c r="J489" s="193" t="s">
        <v>4631</v>
      </c>
      <c r="K489" s="193" t="s">
        <v>4632</v>
      </c>
      <c r="L489" s="193" t="s">
        <v>686</v>
      </c>
      <c r="M489" s="193" t="s">
        <v>5499</v>
      </c>
      <c r="N489" s="193" t="s">
        <v>5511</v>
      </c>
      <c r="O489" s="193"/>
      <c r="P489" s="359">
        <v>46218.68578679398</v>
      </c>
      <c r="Q489" s="193"/>
      <c r="R489" s="193"/>
      <c r="S489" s="193"/>
      <c r="T489" s="193"/>
    </row>
    <row r="490">
      <c r="A490" s="359">
        <v>46218.798123217595</v>
      </c>
      <c r="B490" s="193" t="s">
        <v>3116</v>
      </c>
      <c r="C490" s="361">
        <v>12.0</v>
      </c>
      <c r="D490" s="193" t="s">
        <v>22</v>
      </c>
      <c r="E490" s="193" t="s">
        <v>23</v>
      </c>
      <c r="F490" s="193" t="s">
        <v>24</v>
      </c>
      <c r="G490" s="362">
        <v>46205.0</v>
      </c>
      <c r="H490" s="193" t="s">
        <v>506</v>
      </c>
      <c r="I490" s="193" t="s">
        <v>508</v>
      </c>
      <c r="J490" s="193" t="s">
        <v>510</v>
      </c>
      <c r="K490" s="193" t="s">
        <v>512</v>
      </c>
      <c r="L490" s="193" t="s">
        <v>513</v>
      </c>
      <c r="M490" s="193" t="s">
        <v>515</v>
      </c>
      <c r="N490" s="193" t="s">
        <v>5512</v>
      </c>
      <c r="O490" s="193"/>
      <c r="P490" s="359">
        <v>46217.79872310185</v>
      </c>
      <c r="Q490" s="193"/>
      <c r="R490" s="193"/>
      <c r="S490" s="193"/>
      <c r="T490" s="193"/>
    </row>
    <row r="491">
      <c r="A491" s="359">
        <v>46218.79822408565</v>
      </c>
      <c r="B491" s="193" t="s">
        <v>3116</v>
      </c>
      <c r="C491" s="361">
        <v>10.0</v>
      </c>
      <c r="D491" s="193" t="s">
        <v>410</v>
      </c>
      <c r="E491" s="193" t="s">
        <v>23</v>
      </c>
      <c r="F491" s="193" t="s">
        <v>24</v>
      </c>
      <c r="G491" s="362">
        <v>46203.0</v>
      </c>
      <c r="H491" s="193" t="s">
        <v>2250</v>
      </c>
      <c r="I491" s="193" t="s">
        <v>2252</v>
      </c>
      <c r="J491" s="193" t="s">
        <v>2254</v>
      </c>
      <c r="K491" s="193" t="s">
        <v>2256</v>
      </c>
      <c r="L491" s="193" t="s">
        <v>1174</v>
      </c>
      <c r="M491" s="193" t="s">
        <v>5513</v>
      </c>
      <c r="N491" s="193" t="s">
        <v>5514</v>
      </c>
      <c r="O491" s="193"/>
      <c r="P491" s="359">
        <v>46205.752405844905</v>
      </c>
      <c r="Q491" s="193"/>
      <c r="R491" s="193"/>
      <c r="S491" s="193"/>
      <c r="T491" s="193"/>
    </row>
    <row r="492">
      <c r="A492" s="359">
        <v>46218.79834778935</v>
      </c>
      <c r="B492" s="193" t="s">
        <v>3116</v>
      </c>
      <c r="C492" s="361">
        <v>7.0</v>
      </c>
      <c r="D492" s="193" t="s">
        <v>17</v>
      </c>
      <c r="E492" s="193" t="s">
        <v>23</v>
      </c>
      <c r="F492" s="193" t="s">
        <v>24</v>
      </c>
      <c r="G492" s="362">
        <v>46198.0</v>
      </c>
      <c r="H492" s="193" t="s">
        <v>433</v>
      </c>
      <c r="I492" s="193" t="s">
        <v>2268</v>
      </c>
      <c r="J492" s="193" t="s">
        <v>437</v>
      </c>
      <c r="K492" s="193" t="s">
        <v>2269</v>
      </c>
      <c r="L492" s="193" t="s">
        <v>140</v>
      </c>
      <c r="M492" s="193" t="s">
        <v>2270</v>
      </c>
      <c r="N492" s="193" t="s">
        <v>5515</v>
      </c>
      <c r="O492" s="193"/>
      <c r="P492" s="359">
        <v>46199.82795489584</v>
      </c>
      <c r="Q492" s="193"/>
      <c r="R492" s="193"/>
      <c r="S492" s="193"/>
      <c r="T492" s="193"/>
    </row>
    <row r="493">
      <c r="A493" s="359">
        <v>46218.798560138894</v>
      </c>
      <c r="B493" s="193" t="s">
        <v>3116</v>
      </c>
      <c r="C493" s="361">
        <v>4.0</v>
      </c>
      <c r="D493" s="193" t="s">
        <v>22</v>
      </c>
      <c r="E493" s="193" t="s">
        <v>23</v>
      </c>
      <c r="F493" s="193" t="s">
        <v>24</v>
      </c>
      <c r="G493" s="362">
        <v>46196.0</v>
      </c>
      <c r="H493" s="193" t="s">
        <v>2081</v>
      </c>
      <c r="I493" s="193" t="s">
        <v>2082</v>
      </c>
      <c r="J493" s="193" t="s">
        <v>2083</v>
      </c>
      <c r="K493" s="193" t="s">
        <v>2084</v>
      </c>
      <c r="L493" s="193" t="s">
        <v>2088</v>
      </c>
      <c r="M493" s="193" t="s">
        <v>5516</v>
      </c>
      <c r="N493" s="193" t="s">
        <v>5517</v>
      </c>
      <c r="O493" s="193"/>
      <c r="P493" s="359">
        <v>46202.848503402776</v>
      </c>
      <c r="Q493" s="193"/>
      <c r="R493" s="193"/>
      <c r="S493" s="193"/>
      <c r="T493" s="193"/>
    </row>
    <row r="494">
      <c r="A494" s="359">
        <v>46218.80291857639</v>
      </c>
      <c r="B494" s="193" t="s">
        <v>3116</v>
      </c>
      <c r="C494" s="361">
        <v>12.0</v>
      </c>
      <c r="D494" s="193" t="s">
        <v>17</v>
      </c>
      <c r="E494" s="193" t="s">
        <v>23</v>
      </c>
      <c r="F494" s="193" t="s">
        <v>24</v>
      </c>
      <c r="G494" s="362">
        <v>46210.0</v>
      </c>
      <c r="H494" s="193" t="s">
        <v>2284</v>
      </c>
      <c r="I494" s="193" t="s">
        <v>2285</v>
      </c>
      <c r="J494" s="193" t="s">
        <v>2286</v>
      </c>
      <c r="K494" s="193" t="s">
        <v>5518</v>
      </c>
      <c r="L494" s="193" t="s">
        <v>317</v>
      </c>
      <c r="M494" s="193" t="s">
        <v>5519</v>
      </c>
      <c r="N494" s="193" t="s">
        <v>5520</v>
      </c>
      <c r="O494" s="193"/>
      <c r="P494" s="359">
        <v>46217.954568657406</v>
      </c>
      <c r="Q494" s="193"/>
      <c r="R494" s="193"/>
      <c r="S494" s="193"/>
      <c r="T494" s="193"/>
    </row>
    <row r="495">
      <c r="A495" s="359">
        <v>46219.80153708333</v>
      </c>
      <c r="B495" s="193" t="s">
        <v>3116</v>
      </c>
      <c r="C495" s="361">
        <v>11.0</v>
      </c>
      <c r="D495" s="193" t="s">
        <v>22</v>
      </c>
      <c r="E495" s="193" t="s">
        <v>23</v>
      </c>
      <c r="F495" s="193" t="s">
        <v>24</v>
      </c>
      <c r="G495" s="362">
        <v>46209.0</v>
      </c>
      <c r="H495" s="193" t="s">
        <v>2303</v>
      </c>
      <c r="I495" s="193" t="s">
        <v>2305</v>
      </c>
      <c r="J495" s="193" t="s">
        <v>2306</v>
      </c>
      <c r="K495" s="193" t="s">
        <v>2307</v>
      </c>
      <c r="L495" s="193" t="s">
        <v>115</v>
      </c>
      <c r="M495" s="193" t="s">
        <v>5521</v>
      </c>
      <c r="N495" s="193" t="s">
        <v>5522</v>
      </c>
      <c r="O495" s="193"/>
      <c r="P495" s="359">
        <v>46218.891536435185</v>
      </c>
      <c r="Q495" s="193"/>
      <c r="R495" s="193"/>
      <c r="S495" s="193"/>
      <c r="T495" s="193"/>
    </row>
    <row r="496">
      <c r="A496" s="359">
        <v>46219.80284996528</v>
      </c>
      <c r="B496" s="193" t="s">
        <v>3116</v>
      </c>
      <c r="C496" s="361">
        <v>14.0</v>
      </c>
      <c r="D496" s="193" t="s">
        <v>410</v>
      </c>
      <c r="E496" s="193" t="s">
        <v>53</v>
      </c>
      <c r="F496" s="193" t="s">
        <v>1451</v>
      </c>
      <c r="G496" s="362">
        <v>46216.0</v>
      </c>
      <c r="H496" s="193" t="s">
        <v>4640</v>
      </c>
      <c r="I496" s="193" t="s">
        <v>4642</v>
      </c>
      <c r="J496" s="193" t="s">
        <v>4643</v>
      </c>
      <c r="K496" s="193" t="s">
        <v>4644</v>
      </c>
      <c r="L496" s="193" t="s">
        <v>1170</v>
      </c>
      <c r="M496" s="193" t="s">
        <v>4646</v>
      </c>
      <c r="N496" s="193" t="s">
        <v>5523</v>
      </c>
      <c r="O496" s="193"/>
      <c r="P496" s="359">
        <v>46219.80051747685</v>
      </c>
      <c r="Q496" s="193"/>
      <c r="R496" s="193"/>
      <c r="S496" s="193"/>
      <c r="T496" s="193"/>
    </row>
    <row r="497">
      <c r="A497" s="359">
        <v>46219.95913299768</v>
      </c>
      <c r="B497" s="193" t="s">
        <v>3116</v>
      </c>
      <c r="C497" s="361">
        <v>14.0</v>
      </c>
      <c r="D497" s="193" t="s">
        <v>62</v>
      </c>
      <c r="E497" s="193" t="s">
        <v>53</v>
      </c>
      <c r="F497" s="193" t="s">
        <v>24</v>
      </c>
      <c r="G497" s="362">
        <v>46209.0</v>
      </c>
      <c r="H497" s="193" t="s">
        <v>2318</v>
      </c>
      <c r="I497" s="193" t="s">
        <v>2319</v>
      </c>
      <c r="J497" s="193" t="s">
        <v>5524</v>
      </c>
      <c r="K497" s="193" t="s">
        <v>2322</v>
      </c>
      <c r="L497" s="193" t="s">
        <v>2324</v>
      </c>
      <c r="M497" s="193" t="s">
        <v>5505</v>
      </c>
      <c r="N497" s="193" t="s">
        <v>5525</v>
      </c>
      <c r="O497" s="193"/>
      <c r="P497" s="359">
        <v>46219.91150410879</v>
      </c>
      <c r="Q497" s="193"/>
      <c r="R497" s="193"/>
      <c r="S497" s="193"/>
      <c r="T497" s="193"/>
    </row>
    <row r="498">
      <c r="A498" s="359">
        <v>46223.725205497685</v>
      </c>
      <c r="B498" s="193" t="s">
        <v>2996</v>
      </c>
      <c r="C498" s="361">
        <v>97.0</v>
      </c>
      <c r="D498" s="193" t="s">
        <v>17</v>
      </c>
      <c r="E498" s="193" t="s">
        <v>53</v>
      </c>
      <c r="F498" s="193" t="s">
        <v>1451</v>
      </c>
      <c r="G498" s="362">
        <v>46188.0</v>
      </c>
      <c r="H498" s="193" t="s">
        <v>4653</v>
      </c>
      <c r="I498" s="193" t="s">
        <v>5345</v>
      </c>
      <c r="J498" s="193">
        <v>7.08263323E9</v>
      </c>
      <c r="K498" s="193" t="s">
        <v>4655</v>
      </c>
      <c r="L498" s="193" t="s">
        <v>4183</v>
      </c>
      <c r="M498" s="193" t="s">
        <v>4657</v>
      </c>
      <c r="N498" s="193" t="s">
        <v>5347</v>
      </c>
      <c r="O498" s="193"/>
      <c r="P498" s="359">
        <v>46189.781573113425</v>
      </c>
      <c r="Q498" s="193"/>
      <c r="R498" s="193"/>
      <c r="S498" s="193"/>
      <c r="T498" s="193"/>
    </row>
    <row r="499">
      <c r="A499" s="359">
        <v>46223.72862054398</v>
      </c>
      <c r="B499" s="193" t="s">
        <v>2996</v>
      </c>
      <c r="C499" s="361">
        <v>86.0</v>
      </c>
      <c r="D499" s="193" t="s">
        <v>410</v>
      </c>
      <c r="E499" s="193" t="s">
        <v>53</v>
      </c>
      <c r="F499" s="193" t="s">
        <v>1451</v>
      </c>
      <c r="G499" s="362">
        <v>46143.0</v>
      </c>
      <c r="H499" s="193" t="s">
        <v>4661</v>
      </c>
      <c r="I499" s="193" t="s">
        <v>4662</v>
      </c>
      <c r="J499" s="193" t="s">
        <v>5167</v>
      </c>
      <c r="K499" s="193" t="s">
        <v>4664</v>
      </c>
      <c r="L499" s="193" t="s">
        <v>290</v>
      </c>
      <c r="M499" s="193" t="s">
        <v>5168</v>
      </c>
      <c r="N499" s="193" t="s">
        <v>5526</v>
      </c>
      <c r="O499" s="193"/>
      <c r="P499" s="359">
        <v>46175.81948759259</v>
      </c>
      <c r="Q499" s="193"/>
      <c r="R499" s="193" t="b">
        <v>0</v>
      </c>
      <c r="S499" s="193"/>
      <c r="T499" s="193">
        <v>1.811992142E9</v>
      </c>
    </row>
    <row r="500">
      <c r="A500" s="359">
        <v>46223.732123865746</v>
      </c>
      <c r="B500" s="193" t="s">
        <v>2996</v>
      </c>
      <c r="C500" s="361">
        <v>72.0</v>
      </c>
      <c r="D500" s="193" t="s">
        <v>62</v>
      </c>
      <c r="E500" s="193" t="s">
        <v>53</v>
      </c>
      <c r="F500" s="193" t="s">
        <v>3021</v>
      </c>
      <c r="G500" s="362">
        <v>46121.0</v>
      </c>
      <c r="H500" s="193" t="s">
        <v>4668</v>
      </c>
      <c r="I500" s="193" t="s">
        <v>4669</v>
      </c>
      <c r="J500" s="193" t="s">
        <v>4670</v>
      </c>
      <c r="K500" s="193" t="s">
        <v>4671</v>
      </c>
      <c r="L500" s="193" t="s">
        <v>762</v>
      </c>
      <c r="M500" s="193" t="s">
        <v>4674</v>
      </c>
      <c r="N500" s="193" t="s">
        <v>4675</v>
      </c>
      <c r="O500" s="193"/>
      <c r="P500" s="359">
        <v>46122.88462332176</v>
      </c>
      <c r="Q500" s="193"/>
      <c r="R500" s="193" t="b">
        <v>0</v>
      </c>
      <c r="S500" s="193"/>
      <c r="T500" s="193"/>
    </row>
    <row r="501">
      <c r="A501" s="359">
        <v>46223.746009386574</v>
      </c>
      <c r="B501" s="193" t="s">
        <v>2996</v>
      </c>
      <c r="C501" s="361">
        <v>31.0</v>
      </c>
      <c r="D501" s="193" t="s">
        <v>62</v>
      </c>
      <c r="E501" s="193" t="s">
        <v>53</v>
      </c>
      <c r="F501" s="193" t="s">
        <v>1451</v>
      </c>
      <c r="G501" s="362">
        <v>45985.0</v>
      </c>
      <c r="H501" s="193" t="s">
        <v>3404</v>
      </c>
      <c r="I501" s="193" t="s">
        <v>3406</v>
      </c>
      <c r="J501" s="193" t="s">
        <v>3407</v>
      </c>
      <c r="K501" s="193" t="s">
        <v>3408</v>
      </c>
      <c r="L501" s="193" t="s">
        <v>2930</v>
      </c>
      <c r="M501" s="193" t="s">
        <v>3409</v>
      </c>
      <c r="N501" s="193" t="s">
        <v>4681</v>
      </c>
      <c r="O501" s="193"/>
      <c r="P501" s="359"/>
      <c r="Q501" s="193"/>
      <c r="R501" s="193" t="b">
        <v>0</v>
      </c>
      <c r="S501" s="193"/>
      <c r="T501" s="193"/>
    </row>
    <row r="502">
      <c r="A502" s="359">
        <v>46223.74609748843</v>
      </c>
      <c r="B502" s="193" t="s">
        <v>2996</v>
      </c>
      <c r="C502" s="361">
        <v>30.0</v>
      </c>
      <c r="D502" s="193" t="s">
        <v>62</v>
      </c>
      <c r="E502" s="193" t="s">
        <v>53</v>
      </c>
      <c r="F502" s="193" t="s">
        <v>1451</v>
      </c>
      <c r="G502" s="362">
        <v>45981.0</v>
      </c>
      <c r="H502" s="193" t="s">
        <v>4684</v>
      </c>
      <c r="I502" s="193" t="s">
        <v>4685</v>
      </c>
      <c r="J502" s="193" t="s">
        <v>4686</v>
      </c>
      <c r="K502" s="193" t="s">
        <v>4687</v>
      </c>
      <c r="L502" s="193" t="s">
        <v>69</v>
      </c>
      <c r="M502" s="193" t="s">
        <v>4688</v>
      </c>
      <c r="N502" s="193" t="s">
        <v>4689</v>
      </c>
      <c r="O502" s="193"/>
      <c r="P502" s="359"/>
      <c r="Q502" s="193"/>
      <c r="R502" s="193" t="b">
        <v>0</v>
      </c>
      <c r="S502" s="193"/>
      <c r="T502" s="193"/>
    </row>
    <row r="503">
      <c r="A503" s="359">
        <v>46223.749637071756</v>
      </c>
      <c r="B503" s="193" t="s">
        <v>2996</v>
      </c>
      <c r="C503" s="361">
        <v>12.0</v>
      </c>
      <c r="D503" s="193" t="s">
        <v>410</v>
      </c>
      <c r="E503" s="193" t="s">
        <v>53</v>
      </c>
      <c r="F503" s="193" t="s">
        <v>1451</v>
      </c>
      <c r="G503" s="362">
        <v>45847.0</v>
      </c>
      <c r="H503" s="193" t="s">
        <v>4691</v>
      </c>
      <c r="I503" s="193" t="s">
        <v>4692</v>
      </c>
      <c r="J503" s="193" t="s">
        <v>4693</v>
      </c>
      <c r="K503" s="193" t="s">
        <v>4694</v>
      </c>
      <c r="L503" s="193" t="s">
        <v>4695</v>
      </c>
      <c r="M503" s="193" t="s">
        <v>4333</v>
      </c>
      <c r="N503" s="193" t="s">
        <v>4697</v>
      </c>
      <c r="O503" s="193"/>
      <c r="P503" s="359">
        <v>46183.84239305556</v>
      </c>
      <c r="Q503" s="193"/>
      <c r="R503" s="193" t="b">
        <v>0</v>
      </c>
      <c r="S503" s="193"/>
      <c r="T503" s="193"/>
    </row>
    <row r="504">
      <c r="A504" s="359">
        <v>46223.74970635417</v>
      </c>
      <c r="B504" s="193" t="s">
        <v>2996</v>
      </c>
      <c r="C504" s="361">
        <v>7.0</v>
      </c>
      <c r="D504" s="193" t="s">
        <v>22</v>
      </c>
      <c r="E504" s="193" t="s">
        <v>53</v>
      </c>
      <c r="F504" s="193" t="s">
        <v>1451</v>
      </c>
      <c r="G504" s="362">
        <v>45761.0</v>
      </c>
      <c r="H504" s="193" t="s">
        <v>4700</v>
      </c>
      <c r="I504" s="193" t="s">
        <v>4701</v>
      </c>
      <c r="J504" s="193" t="s">
        <v>4702</v>
      </c>
      <c r="K504" s="193" t="s">
        <v>4703</v>
      </c>
      <c r="L504" s="193" t="s">
        <v>2096</v>
      </c>
      <c r="M504" s="193" t="s">
        <v>4704</v>
      </c>
      <c r="N504" s="193" t="s">
        <v>4705</v>
      </c>
      <c r="O504" s="193"/>
      <c r="P504" s="359"/>
      <c r="Q504" s="193"/>
      <c r="R504" s="193" t="b">
        <v>0</v>
      </c>
      <c r="S504" s="193"/>
      <c r="T504" s="193"/>
    </row>
    <row r="505">
      <c r="A505" s="359">
        <v>46223.75080543981</v>
      </c>
      <c r="B505" s="193" t="s">
        <v>2996</v>
      </c>
      <c r="C505" s="361">
        <v>40.0</v>
      </c>
      <c r="D505" s="193" t="s">
        <v>22</v>
      </c>
      <c r="E505" s="193" t="s">
        <v>53</v>
      </c>
      <c r="F505" s="193" t="s">
        <v>1451</v>
      </c>
      <c r="G505" s="362">
        <v>46055.0</v>
      </c>
      <c r="H505" s="193" t="s">
        <v>3769</v>
      </c>
      <c r="I505" s="193" t="s">
        <v>3770</v>
      </c>
      <c r="J505" s="193" t="s">
        <v>3771</v>
      </c>
      <c r="K505" s="193" t="s">
        <v>3773</v>
      </c>
      <c r="L505" s="193" t="s">
        <v>1146</v>
      </c>
      <c r="M505" s="193" t="s">
        <v>4189</v>
      </c>
      <c r="N505" s="193" t="s">
        <v>5527</v>
      </c>
      <c r="O505" s="193"/>
      <c r="P505" s="359">
        <v>46183.89228270833</v>
      </c>
      <c r="Q505" s="193"/>
      <c r="R505" s="193"/>
      <c r="S505" s="193"/>
      <c r="T505" s="193"/>
    </row>
    <row r="506">
      <c r="A506" s="359">
        <v>46223.75089285879</v>
      </c>
      <c r="B506" s="193" t="s">
        <v>2996</v>
      </c>
      <c r="C506" s="361">
        <v>36.0</v>
      </c>
      <c r="D506" s="193" t="s">
        <v>17</v>
      </c>
      <c r="E506" s="193" t="s">
        <v>53</v>
      </c>
      <c r="F506" s="193" t="s">
        <v>1451</v>
      </c>
      <c r="G506" s="362">
        <v>46051.0</v>
      </c>
      <c r="H506" s="193" t="s">
        <v>3866</v>
      </c>
      <c r="I506" s="193" t="s">
        <v>3867</v>
      </c>
      <c r="J506" s="193" t="s">
        <v>3868</v>
      </c>
      <c r="K506" s="193" t="s">
        <v>3869</v>
      </c>
      <c r="L506" s="193" t="s">
        <v>1244</v>
      </c>
      <c r="M506" s="193" t="s">
        <v>3870</v>
      </c>
      <c r="N506" s="193" t="s">
        <v>4718</v>
      </c>
      <c r="O506" s="193"/>
      <c r="P506" s="359">
        <v>46177.83511255787</v>
      </c>
      <c r="Q506" s="193"/>
      <c r="R506" s="193"/>
      <c r="S506" s="193"/>
      <c r="T506" s="193"/>
    </row>
    <row r="507">
      <c r="A507" s="359">
        <v>46223.750973946764</v>
      </c>
      <c r="B507" s="193" t="s">
        <v>2996</v>
      </c>
      <c r="C507" s="361">
        <v>25.0</v>
      </c>
      <c r="D507" s="193" t="s">
        <v>62</v>
      </c>
      <c r="E507" s="193" t="s">
        <v>53</v>
      </c>
      <c r="F507" s="193" t="s">
        <v>1451</v>
      </c>
      <c r="G507" s="362">
        <v>45944.0</v>
      </c>
      <c r="H507" s="193" t="s">
        <v>3298</v>
      </c>
      <c r="I507" s="193" t="s">
        <v>3299</v>
      </c>
      <c r="J507" s="193" t="s">
        <v>3300</v>
      </c>
      <c r="K507" s="193" t="s">
        <v>3301</v>
      </c>
      <c r="L507" s="193" t="s">
        <v>3302</v>
      </c>
      <c r="M507" s="193" t="s">
        <v>3304</v>
      </c>
      <c r="N507" s="193" t="s">
        <v>4730</v>
      </c>
      <c r="O507" s="193"/>
      <c r="P507" s="359"/>
      <c r="Q507" s="193"/>
      <c r="R507" s="193" t="b">
        <v>0</v>
      </c>
      <c r="S507" s="193"/>
      <c r="T507" s="193"/>
    </row>
    <row r="508">
      <c r="A508" s="359">
        <v>46223.75104449074</v>
      </c>
      <c r="B508" s="193" t="s">
        <v>2996</v>
      </c>
      <c r="C508" s="361">
        <v>18.0</v>
      </c>
      <c r="D508" s="193" t="s">
        <v>22</v>
      </c>
      <c r="E508" s="193" t="s">
        <v>53</v>
      </c>
      <c r="F508" s="193" t="s">
        <v>1451</v>
      </c>
      <c r="G508" s="362">
        <v>45895.0</v>
      </c>
      <c r="H508" s="193" t="s">
        <v>4737</v>
      </c>
      <c r="I508" s="193" t="s">
        <v>4738</v>
      </c>
      <c r="J508" s="193" t="s">
        <v>4739</v>
      </c>
      <c r="K508" s="193" t="s">
        <v>4741</v>
      </c>
      <c r="L508" s="193" t="s">
        <v>123</v>
      </c>
      <c r="M508" s="193" t="s">
        <v>4743</v>
      </c>
      <c r="N508" s="193" t="s">
        <v>4744</v>
      </c>
      <c r="O508" s="193"/>
      <c r="P508" s="359"/>
      <c r="Q508" s="193"/>
      <c r="R508" s="193" t="b">
        <v>0</v>
      </c>
      <c r="S508" s="193"/>
      <c r="T508" s="193"/>
    </row>
    <row r="509">
      <c r="A509" s="359">
        <v>46223.751120625</v>
      </c>
      <c r="B509" s="193" t="s">
        <v>2996</v>
      </c>
      <c r="C509" s="361">
        <v>14.0</v>
      </c>
      <c r="D509" s="193" t="s">
        <v>22</v>
      </c>
      <c r="E509" s="193" t="s">
        <v>53</v>
      </c>
      <c r="F509" s="193" t="s">
        <v>1451</v>
      </c>
      <c r="G509" s="362">
        <v>45880.0</v>
      </c>
      <c r="H509" s="193" t="s">
        <v>4751</v>
      </c>
      <c r="I509" s="193" t="s">
        <v>4752</v>
      </c>
      <c r="J509" s="193" t="s">
        <v>4754</v>
      </c>
      <c r="K509" s="193" t="s">
        <v>4757</v>
      </c>
      <c r="L509" s="193" t="s">
        <v>1760</v>
      </c>
      <c r="M509" s="193" t="s">
        <v>4758</v>
      </c>
      <c r="N509" s="193" t="s">
        <v>4760</v>
      </c>
      <c r="O509" s="193"/>
      <c r="P509" s="359"/>
      <c r="Q509" s="193"/>
      <c r="R509" s="193" t="b">
        <v>0</v>
      </c>
      <c r="S509" s="193"/>
      <c r="T509" s="193"/>
    </row>
    <row r="510">
      <c r="A510" s="359">
        <v>46223.7512250463</v>
      </c>
      <c r="B510" s="193" t="s">
        <v>2996</v>
      </c>
      <c r="C510" s="361">
        <v>11.0</v>
      </c>
      <c r="D510" s="193" t="s">
        <v>410</v>
      </c>
      <c r="E510" s="193" t="s">
        <v>53</v>
      </c>
      <c r="F510" s="193" t="s">
        <v>1451</v>
      </c>
      <c r="G510" s="362">
        <v>45873.0</v>
      </c>
      <c r="H510" s="193" t="s">
        <v>4767</v>
      </c>
      <c r="I510" s="193" t="s">
        <v>4768</v>
      </c>
      <c r="J510" s="193" t="s">
        <v>4769</v>
      </c>
      <c r="K510" s="193" t="s">
        <v>4771</v>
      </c>
      <c r="L510" s="193" t="s">
        <v>3372</v>
      </c>
      <c r="M510" s="193" t="s">
        <v>4772</v>
      </c>
      <c r="N510" s="193" t="s">
        <v>4774</v>
      </c>
      <c r="O510" s="193"/>
      <c r="P510" s="359">
        <v>46112.895914768524</v>
      </c>
      <c r="Q510" s="193"/>
      <c r="R510" s="193" t="b">
        <v>0</v>
      </c>
      <c r="S510" s="193"/>
      <c r="T510" s="193"/>
    </row>
    <row r="511">
      <c r="A511" s="359">
        <v>46223.75295384259</v>
      </c>
      <c r="B511" s="193" t="s">
        <v>2996</v>
      </c>
      <c r="C511" s="361">
        <v>63.0</v>
      </c>
      <c r="D511" s="193" t="s">
        <v>22</v>
      </c>
      <c r="E511" s="193" t="s">
        <v>53</v>
      </c>
      <c r="F511" s="193" t="s">
        <v>1451</v>
      </c>
      <c r="G511" s="362">
        <v>46114.0</v>
      </c>
      <c r="H511" s="193" t="s">
        <v>4779</v>
      </c>
      <c r="I511" s="193" t="s">
        <v>4780</v>
      </c>
      <c r="J511" s="193" t="s">
        <v>4781</v>
      </c>
      <c r="K511" s="193" t="s">
        <v>4782</v>
      </c>
      <c r="L511" s="193" t="s">
        <v>174</v>
      </c>
      <c r="M511" s="193" t="s">
        <v>4784</v>
      </c>
      <c r="N511" s="193" t="s">
        <v>5528</v>
      </c>
      <c r="O511" s="193"/>
      <c r="P511" s="359">
        <v>46160.933910300926</v>
      </c>
      <c r="Q511" s="193"/>
      <c r="R511" s="193" t="b">
        <v>0</v>
      </c>
      <c r="S511" s="193"/>
      <c r="T511" s="193">
        <v>1.396695896E9</v>
      </c>
    </row>
    <row r="512">
      <c r="A512" s="359">
        <v>46223.76166307871</v>
      </c>
      <c r="B512" s="193" t="s">
        <v>3116</v>
      </c>
      <c r="C512" s="361">
        <v>10.0</v>
      </c>
      <c r="D512" s="193" t="s">
        <v>22</v>
      </c>
      <c r="E512" s="193" t="s">
        <v>225</v>
      </c>
      <c r="F512" s="193" t="s">
        <v>867</v>
      </c>
      <c r="G512" s="362">
        <v>46209.0</v>
      </c>
      <c r="H512" s="193" t="s">
        <v>2764</v>
      </c>
      <c r="I512" s="193" t="s">
        <v>2766</v>
      </c>
      <c r="J512" s="193" t="s">
        <v>2768</v>
      </c>
      <c r="K512" s="193" t="s">
        <v>2770</v>
      </c>
      <c r="L512" s="193" t="s">
        <v>2317</v>
      </c>
      <c r="M512" s="193" t="s">
        <v>5529</v>
      </c>
      <c r="N512" s="193"/>
      <c r="O512" s="193"/>
      <c r="P512" s="359"/>
      <c r="Q512" s="193"/>
      <c r="R512" s="193"/>
      <c r="S512" s="193"/>
      <c r="T512" s="193"/>
    </row>
    <row r="513">
      <c r="A513" s="359">
        <v>46223.761840439816</v>
      </c>
      <c r="B513" s="193" t="s">
        <v>3116</v>
      </c>
      <c r="C513" s="361">
        <v>9.0</v>
      </c>
      <c r="D513" s="193" t="s">
        <v>62</v>
      </c>
      <c r="E513" s="193" t="s">
        <v>225</v>
      </c>
      <c r="F513" s="193" t="s">
        <v>24</v>
      </c>
      <c r="G513" s="362">
        <v>46206.0</v>
      </c>
      <c r="H513" s="193" t="s">
        <v>2606</v>
      </c>
      <c r="I513" s="193" t="s">
        <v>2607</v>
      </c>
      <c r="J513" s="193" t="s">
        <v>2608</v>
      </c>
      <c r="K513" s="193" t="s">
        <v>2609</v>
      </c>
      <c r="L513" s="193" t="s">
        <v>2612</v>
      </c>
      <c r="M513" s="193" t="s">
        <v>5530</v>
      </c>
      <c r="N513" s="193"/>
      <c r="O513" s="193"/>
      <c r="P513" s="359"/>
      <c r="Q513" s="193"/>
      <c r="R513" s="193"/>
      <c r="S513" s="193"/>
      <c r="T513" s="193"/>
    </row>
    <row r="514">
      <c r="A514" s="359">
        <v>46223.76202758102</v>
      </c>
      <c r="B514" s="193" t="s">
        <v>3116</v>
      </c>
      <c r="C514" s="361">
        <v>7.0</v>
      </c>
      <c r="D514" s="193" t="s">
        <v>17</v>
      </c>
      <c r="E514" s="193" t="s">
        <v>225</v>
      </c>
      <c r="F514" s="193" t="s">
        <v>360</v>
      </c>
      <c r="G514" s="362">
        <v>46202.0</v>
      </c>
      <c r="H514" s="193" t="s">
        <v>1158</v>
      </c>
      <c r="I514" s="193" t="s">
        <v>1159</v>
      </c>
      <c r="J514" s="193" t="s">
        <v>1160</v>
      </c>
      <c r="K514" s="193" t="s">
        <v>5531</v>
      </c>
      <c r="L514" s="193" t="s">
        <v>843</v>
      </c>
      <c r="M514" s="193" t="s">
        <v>5532</v>
      </c>
      <c r="N514" s="193"/>
      <c r="O514" s="193"/>
      <c r="P514" s="359"/>
      <c r="Q514" s="193"/>
      <c r="R514" s="193"/>
      <c r="S514" s="193"/>
      <c r="T514" s="193"/>
    </row>
    <row r="515">
      <c r="A515" s="359">
        <v>46223.76234457176</v>
      </c>
      <c r="B515" s="193" t="s">
        <v>3116</v>
      </c>
      <c r="C515" s="361">
        <v>6.0</v>
      </c>
      <c r="D515" s="193" t="s">
        <v>62</v>
      </c>
      <c r="E515" s="193" t="s">
        <v>225</v>
      </c>
      <c r="F515" s="193" t="s">
        <v>24</v>
      </c>
      <c r="G515" s="362">
        <v>46202.0</v>
      </c>
      <c r="H515" s="193" t="s">
        <v>2339</v>
      </c>
      <c r="I515" s="193" t="s">
        <v>2341</v>
      </c>
      <c r="J515" s="193" t="s">
        <v>2343</v>
      </c>
      <c r="K515" s="193" t="s">
        <v>5533</v>
      </c>
      <c r="L515" s="193" t="s">
        <v>2317</v>
      </c>
      <c r="M515" s="193" t="s">
        <v>5534</v>
      </c>
      <c r="N515" s="193"/>
      <c r="O515" s="193"/>
      <c r="P515" s="359"/>
      <c r="Q515" s="193"/>
      <c r="R515" s="193"/>
      <c r="S515" s="193"/>
      <c r="T515" s="193"/>
    </row>
    <row r="516">
      <c r="A516" s="359">
        <v>46223.76267979167</v>
      </c>
      <c r="B516" s="193" t="s">
        <v>2996</v>
      </c>
      <c r="C516" s="361">
        <v>72.0</v>
      </c>
      <c r="D516" s="193" t="s">
        <v>22</v>
      </c>
      <c r="E516" s="193" t="s">
        <v>53</v>
      </c>
      <c r="F516" s="193" t="s">
        <v>1451</v>
      </c>
      <c r="G516" s="362">
        <v>46100.0</v>
      </c>
      <c r="H516" s="193" t="s">
        <v>829</v>
      </c>
      <c r="I516" s="193" t="s">
        <v>4792</v>
      </c>
      <c r="J516" s="193" t="s">
        <v>5159</v>
      </c>
      <c r="K516" s="193" t="s">
        <v>4794</v>
      </c>
      <c r="L516" s="193" t="s">
        <v>1760</v>
      </c>
      <c r="M516" s="193" t="s">
        <v>833</v>
      </c>
      <c r="N516" s="193" t="s">
        <v>4797</v>
      </c>
      <c r="O516" s="193"/>
      <c r="P516" s="359">
        <v>46146.82493420139</v>
      </c>
      <c r="Q516" s="193"/>
      <c r="R516" s="193" t="b">
        <v>0</v>
      </c>
      <c r="S516" s="193"/>
      <c r="T516" s="193">
        <v>1.831759497E9</v>
      </c>
    </row>
    <row r="517">
      <c r="A517" s="359">
        <v>46223.8088296412</v>
      </c>
      <c r="B517" s="193" t="s">
        <v>3116</v>
      </c>
      <c r="C517" s="361">
        <v>14.0</v>
      </c>
      <c r="D517" s="193" t="s">
        <v>155</v>
      </c>
      <c r="E517" s="193" t="s">
        <v>53</v>
      </c>
      <c r="F517" s="193" t="s">
        <v>1451</v>
      </c>
      <c r="G517" s="362">
        <v>46220.0</v>
      </c>
      <c r="H517" s="193" t="s">
        <v>4798</v>
      </c>
      <c r="I517" s="193" t="s">
        <v>4799</v>
      </c>
      <c r="J517" s="193">
        <v>8.135336599E9</v>
      </c>
      <c r="K517" s="193" t="s">
        <v>5535</v>
      </c>
      <c r="L517" s="193" t="s">
        <v>115</v>
      </c>
      <c r="M517" s="193" t="s">
        <v>5536</v>
      </c>
      <c r="N517" s="193" t="s">
        <v>4802</v>
      </c>
      <c r="O517" s="193"/>
      <c r="P517" s="359">
        <v>46223.80770564815</v>
      </c>
      <c r="Q517" s="193"/>
      <c r="R517" s="193"/>
      <c r="S517" s="193"/>
      <c r="T517" s="193">
        <v>1.992346571E9</v>
      </c>
    </row>
    <row r="518">
      <c r="A518" s="359">
        <v>46223.91264792824</v>
      </c>
      <c r="B518" s="193" t="s">
        <v>3012</v>
      </c>
      <c r="C518" s="361">
        <v>17.0</v>
      </c>
      <c r="D518" s="193" t="s">
        <v>62</v>
      </c>
      <c r="E518" s="193" t="s">
        <v>53</v>
      </c>
      <c r="F518" s="193" t="s">
        <v>24</v>
      </c>
      <c r="G518" s="362">
        <v>45993.0</v>
      </c>
      <c r="H518" s="193" t="s">
        <v>2359</v>
      </c>
      <c r="I518" s="193" t="s">
        <v>2360</v>
      </c>
      <c r="J518" s="193" t="s">
        <v>3471</v>
      </c>
      <c r="K518" s="193" t="s">
        <v>2362</v>
      </c>
      <c r="L518" s="193" t="s">
        <v>558</v>
      </c>
      <c r="M518" s="193" t="s">
        <v>2367</v>
      </c>
      <c r="N518" s="193" t="s">
        <v>2370</v>
      </c>
      <c r="O518" s="193"/>
      <c r="P518" s="359">
        <v>46066.89408398148</v>
      </c>
      <c r="Q518" s="193"/>
      <c r="R518" s="193" t="b">
        <v>0</v>
      </c>
      <c r="S518" s="193"/>
      <c r="T518" s="193">
        <v>1.831989458E9</v>
      </c>
    </row>
    <row r="519">
      <c r="A519" s="359">
        <v>46223.91747609954</v>
      </c>
      <c r="B519" s="193" t="s">
        <v>3012</v>
      </c>
      <c r="C519" s="361">
        <v>17.0</v>
      </c>
      <c r="D519" s="193" t="s">
        <v>62</v>
      </c>
      <c r="E519" s="193" t="s">
        <v>53</v>
      </c>
      <c r="F519" s="193" t="s">
        <v>24</v>
      </c>
      <c r="G519" s="362">
        <v>45943.0</v>
      </c>
      <c r="H519" s="193" t="s">
        <v>2381</v>
      </c>
      <c r="I519" s="193" t="s">
        <v>2382</v>
      </c>
      <c r="J519" s="193" t="s">
        <v>2384</v>
      </c>
      <c r="K519" s="193" t="s">
        <v>2386</v>
      </c>
      <c r="L519" s="193" t="s">
        <v>1963</v>
      </c>
      <c r="M519" s="193" t="s">
        <v>2387</v>
      </c>
      <c r="N519" s="193" t="s">
        <v>4673</v>
      </c>
      <c r="O519" s="193"/>
      <c r="P519" s="359">
        <v>46084.91723925926</v>
      </c>
      <c r="Q519" s="193"/>
      <c r="R519" s="193" t="b">
        <v>0</v>
      </c>
      <c r="S519" s="193"/>
      <c r="T519" s="193">
        <v>1.467294769E9</v>
      </c>
    </row>
    <row r="520">
      <c r="A520" s="359">
        <v>46223.94741115741</v>
      </c>
      <c r="B520" s="193" t="s">
        <v>3116</v>
      </c>
      <c r="C520" s="361">
        <v>11.0</v>
      </c>
      <c r="D520" s="193" t="s">
        <v>155</v>
      </c>
      <c r="E520" s="193" t="s">
        <v>25</v>
      </c>
      <c r="F520" s="193" t="s">
        <v>3021</v>
      </c>
      <c r="G520" s="362">
        <v>46220.0</v>
      </c>
      <c r="H520" s="193" t="s">
        <v>4805</v>
      </c>
      <c r="I520" s="193" t="s">
        <v>4806</v>
      </c>
      <c r="J520" s="193" t="s">
        <v>4807</v>
      </c>
      <c r="K520" s="193" t="s">
        <v>4808</v>
      </c>
      <c r="L520" s="193" t="s">
        <v>2192</v>
      </c>
      <c r="M520" s="193" t="s">
        <v>4809</v>
      </c>
      <c r="N520" s="193" t="s">
        <v>4810</v>
      </c>
      <c r="O520" s="193"/>
      <c r="P520" s="359">
        <v>46223.94697377315</v>
      </c>
      <c r="Q520" s="193"/>
      <c r="R520" s="193"/>
      <c r="S520" s="193"/>
      <c r="T520" s="193"/>
    </row>
    <row r="521">
      <c r="A521" s="359">
        <v>46223.94864959491</v>
      </c>
      <c r="B521" s="193" t="s">
        <v>3116</v>
      </c>
      <c r="C521" s="361">
        <v>12.0</v>
      </c>
      <c r="D521" s="193" t="s">
        <v>155</v>
      </c>
      <c r="E521" s="193" t="s">
        <v>25</v>
      </c>
      <c r="F521" s="193" t="s">
        <v>24</v>
      </c>
      <c r="G521" s="362">
        <v>46220.0</v>
      </c>
      <c r="H521" s="193" t="s">
        <v>2396</v>
      </c>
      <c r="I521" s="193" t="s">
        <v>2397</v>
      </c>
      <c r="J521" s="193" t="s">
        <v>2399</v>
      </c>
      <c r="K521" s="193" t="s">
        <v>2401</v>
      </c>
      <c r="L521" s="193" t="s">
        <v>872</v>
      </c>
      <c r="M521" s="193" t="s">
        <v>2409</v>
      </c>
      <c r="N521" s="193" t="s">
        <v>2411</v>
      </c>
      <c r="O521" s="193"/>
      <c r="P521" s="359">
        <v>46223.91957726852</v>
      </c>
      <c r="Q521" s="193"/>
      <c r="R521" s="193"/>
      <c r="S521" s="193"/>
      <c r="T521" s="193"/>
    </row>
    <row r="522">
      <c r="A522" s="359">
        <v>46223.948688159726</v>
      </c>
      <c r="B522" s="193" t="s">
        <v>2996</v>
      </c>
      <c r="C522" s="361">
        <v>43.0</v>
      </c>
      <c r="D522" s="193" t="s">
        <v>62</v>
      </c>
      <c r="E522" s="193" t="s">
        <v>53</v>
      </c>
      <c r="F522" s="193" t="s">
        <v>1451</v>
      </c>
      <c r="G522" s="362">
        <v>46073.0</v>
      </c>
      <c r="H522" s="193" t="s">
        <v>4401</v>
      </c>
      <c r="I522" s="193" t="s">
        <v>4403</v>
      </c>
      <c r="J522" s="193" t="s">
        <v>4405</v>
      </c>
      <c r="K522" s="193" t="s">
        <v>4408</v>
      </c>
      <c r="L522" s="193" t="s">
        <v>445</v>
      </c>
      <c r="M522" s="193" t="s">
        <v>4410</v>
      </c>
      <c r="N522" s="193" t="s">
        <v>4831</v>
      </c>
      <c r="O522" s="193"/>
      <c r="P522" s="359">
        <v>46084.891599062496</v>
      </c>
      <c r="Q522" s="193"/>
      <c r="R522" s="193" t="b">
        <v>0</v>
      </c>
      <c r="S522" s="193"/>
      <c r="T522" s="193">
        <v>1.649067638E9</v>
      </c>
    </row>
    <row r="523">
      <c r="A523" s="359">
        <v>46223.95963603009</v>
      </c>
      <c r="B523" s="193" t="s">
        <v>3116</v>
      </c>
      <c r="C523" s="361">
        <v>5.0</v>
      </c>
      <c r="D523" s="193" t="s">
        <v>135</v>
      </c>
      <c r="E523" s="193" t="s">
        <v>25</v>
      </c>
      <c r="F523" s="193" t="s">
        <v>1451</v>
      </c>
      <c r="G523" s="362">
        <v>46197.0</v>
      </c>
      <c r="H523" s="193" t="s">
        <v>4832</v>
      </c>
      <c r="I523" s="193" t="s">
        <v>4834</v>
      </c>
      <c r="J523" s="193" t="s">
        <v>4835</v>
      </c>
      <c r="K523" s="193" t="s">
        <v>4836</v>
      </c>
      <c r="L523" s="193" t="s">
        <v>4837</v>
      </c>
      <c r="M523" s="193" t="s">
        <v>4838</v>
      </c>
      <c r="N523" s="193"/>
      <c r="O523" s="193"/>
      <c r="P523" s="359"/>
      <c r="Q523" s="193"/>
      <c r="R523" s="193"/>
      <c r="S523" s="193"/>
      <c r="T523" s="193">
        <v>1.174769673E9</v>
      </c>
    </row>
    <row r="524">
      <c r="A524" s="359">
        <v>46230.714800891205</v>
      </c>
      <c r="B524" s="193" t="s">
        <v>3116</v>
      </c>
      <c r="C524" s="361">
        <v>14.0</v>
      </c>
      <c r="D524" s="193" t="s">
        <v>62</v>
      </c>
      <c r="E524" s="193" t="s">
        <v>53</v>
      </c>
      <c r="F524" s="193" t="s">
        <v>24</v>
      </c>
      <c r="G524" s="362">
        <v>46120.0</v>
      </c>
      <c r="H524" s="193" t="s">
        <v>488</v>
      </c>
      <c r="I524" s="193" t="s">
        <v>491</v>
      </c>
      <c r="J524" s="193" t="s">
        <v>494</v>
      </c>
      <c r="K524" s="193" t="s">
        <v>495</v>
      </c>
      <c r="L524" s="193" t="s">
        <v>497</v>
      </c>
      <c r="M524" s="193" t="s">
        <v>498</v>
      </c>
      <c r="N524" s="193" t="s">
        <v>5537</v>
      </c>
      <c r="O524" s="193"/>
      <c r="P524" s="359">
        <v>46227.89488755787</v>
      </c>
      <c r="Q524" s="193"/>
      <c r="R524" s="193" t="b">
        <v>0</v>
      </c>
      <c r="S524" s="193"/>
      <c r="T524" s="193">
        <v>1.467346718E9</v>
      </c>
    </row>
    <row r="525">
      <c r="A525" s="359">
        <v>46231.72518686343</v>
      </c>
      <c r="B525" s="193" t="s">
        <v>2996</v>
      </c>
      <c r="C525" s="361">
        <v>60.0</v>
      </c>
      <c r="D525" s="193" t="s">
        <v>17</v>
      </c>
      <c r="E525" s="193" t="s">
        <v>53</v>
      </c>
      <c r="F525" s="193" t="s">
        <v>1451</v>
      </c>
      <c r="G525" s="362">
        <v>46111.0</v>
      </c>
      <c r="H525" s="193" t="s">
        <v>4840</v>
      </c>
      <c r="I525" s="193" t="s">
        <v>4841</v>
      </c>
      <c r="J525" s="193">
        <v>8.477076869E9</v>
      </c>
      <c r="K525" s="193" t="s">
        <v>4842</v>
      </c>
      <c r="L525" s="193" t="s">
        <v>4227</v>
      </c>
      <c r="M525" s="193" t="s">
        <v>4843</v>
      </c>
      <c r="N525" s="193" t="s">
        <v>4844</v>
      </c>
      <c r="O525" s="193"/>
      <c r="P525" s="359">
        <v>46184.8634702662</v>
      </c>
      <c r="Q525" s="193"/>
      <c r="R525" s="193" t="b">
        <v>0</v>
      </c>
      <c r="S525" s="193"/>
      <c r="T525" s="193">
        <v>1.235569021E9</v>
      </c>
    </row>
    <row r="526">
      <c r="A526" s="359">
        <v>46231.83975275463</v>
      </c>
      <c r="B526" s="193" t="s">
        <v>3116</v>
      </c>
      <c r="C526" s="361">
        <v>9.0</v>
      </c>
      <c r="D526" s="193" t="s">
        <v>135</v>
      </c>
      <c r="E526" s="193" t="s">
        <v>53</v>
      </c>
      <c r="F526" s="193" t="s">
        <v>24</v>
      </c>
      <c r="G526" s="362">
        <v>46212.0</v>
      </c>
      <c r="H526" s="193" t="s">
        <v>2414</v>
      </c>
      <c r="I526" s="193" t="s">
        <v>2416</v>
      </c>
      <c r="J526" s="193" t="s">
        <v>2418</v>
      </c>
      <c r="K526" s="193" t="s">
        <v>2421</v>
      </c>
      <c r="L526" s="193" t="s">
        <v>1760</v>
      </c>
      <c r="M526" s="193" t="s">
        <v>2423</v>
      </c>
      <c r="N526" s="193" t="s">
        <v>5538</v>
      </c>
      <c r="O526" s="193"/>
      <c r="P526" s="359">
        <v>46231.83949907408</v>
      </c>
      <c r="Q526" s="193"/>
      <c r="R526" s="193"/>
      <c r="S526" s="193"/>
      <c r="T526" s="193">
        <v>1.427561679E9</v>
      </c>
    </row>
    <row r="527">
      <c r="A527" s="359">
        <v>46231.940445740736</v>
      </c>
      <c r="B527" s="193" t="s">
        <v>3116</v>
      </c>
      <c r="C527" s="361">
        <v>15.0</v>
      </c>
      <c r="D527" s="193" t="s">
        <v>62</v>
      </c>
      <c r="E527" s="193" t="s">
        <v>53</v>
      </c>
      <c r="F527" s="193" t="s">
        <v>24</v>
      </c>
      <c r="G527" s="362">
        <v>46230.0</v>
      </c>
      <c r="H527" s="193" t="s">
        <v>457</v>
      </c>
      <c r="I527" s="193" t="s">
        <v>459</v>
      </c>
      <c r="J527" s="193" t="s">
        <v>461</v>
      </c>
      <c r="K527" s="193" t="s">
        <v>464</v>
      </c>
      <c r="L527" s="193" t="s">
        <v>468</v>
      </c>
      <c r="M527" s="193" t="s">
        <v>471</v>
      </c>
      <c r="N527" s="193" t="s">
        <v>5539</v>
      </c>
      <c r="O527" s="193"/>
      <c r="P527" s="359">
        <v>46231.92474797454</v>
      </c>
      <c r="Q527" s="193"/>
      <c r="R527" s="193"/>
      <c r="S527" s="193"/>
      <c r="T527" s="193"/>
    </row>
    <row r="528">
      <c r="A528" s="359">
        <v>46232.75992657407</v>
      </c>
      <c r="B528" s="193" t="s">
        <v>2996</v>
      </c>
      <c r="C528" s="361">
        <v>60.0</v>
      </c>
      <c r="D528" s="193" t="s">
        <v>62</v>
      </c>
      <c r="E528" s="193" t="s">
        <v>23</v>
      </c>
      <c r="F528" s="193" t="s">
        <v>3021</v>
      </c>
      <c r="G528" s="362">
        <v>46120.0</v>
      </c>
      <c r="H528" s="193" t="s">
        <v>4857</v>
      </c>
      <c r="I528" s="193" t="s">
        <v>4858</v>
      </c>
      <c r="J528" s="193" t="s">
        <v>4859</v>
      </c>
      <c r="K528" s="193" t="s">
        <v>4860</v>
      </c>
      <c r="L528" s="193" t="s">
        <v>1181</v>
      </c>
      <c r="M528" s="193" t="s">
        <v>4864</v>
      </c>
      <c r="N528" s="193" t="s">
        <v>4865</v>
      </c>
      <c r="O528" s="193"/>
      <c r="P528" s="359">
        <v>46232.757123773146</v>
      </c>
      <c r="Q528" s="193"/>
      <c r="R528" s="193" t="b">
        <v>0</v>
      </c>
      <c r="S528" s="193"/>
      <c r="T528" s="193">
        <v>1.629920962E9</v>
      </c>
    </row>
    <row r="529">
      <c r="A529" s="359">
        <v>46233.673067615746</v>
      </c>
      <c r="B529" s="193" t="s">
        <v>3012</v>
      </c>
      <c r="C529" s="361">
        <v>7.0</v>
      </c>
      <c r="D529" s="193" t="s">
        <v>62</v>
      </c>
      <c r="E529" s="193" t="s">
        <v>23</v>
      </c>
      <c r="F529" s="193" t="s">
        <v>24</v>
      </c>
      <c r="G529" s="362">
        <v>45943.0</v>
      </c>
      <c r="H529" s="193" t="s">
        <v>559</v>
      </c>
      <c r="I529" s="193" t="s">
        <v>563</v>
      </c>
      <c r="J529" s="193" t="s">
        <v>567</v>
      </c>
      <c r="K529" s="193" t="s">
        <v>569</v>
      </c>
      <c r="L529" s="193" t="s">
        <v>572</v>
      </c>
      <c r="M529" s="193" t="s">
        <v>575</v>
      </c>
      <c r="N529" s="193" t="s">
        <v>5540</v>
      </c>
      <c r="O529" s="193"/>
      <c r="P529" s="359">
        <v>46223.96407210648</v>
      </c>
      <c r="Q529" s="193"/>
      <c r="R529" s="193" t="b">
        <v>0</v>
      </c>
      <c r="S529" s="193"/>
      <c r="T529" s="193">
        <v>1.952156622E9</v>
      </c>
    </row>
    <row r="530">
      <c r="A530" s="359">
        <v>46233.735589814816</v>
      </c>
      <c r="B530" s="193" t="s">
        <v>3116</v>
      </c>
      <c r="C530" s="361">
        <v>19.0</v>
      </c>
      <c r="D530" s="193" t="s">
        <v>155</v>
      </c>
      <c r="E530" s="193" t="s">
        <v>23</v>
      </c>
      <c r="F530" s="193" t="s">
        <v>1451</v>
      </c>
      <c r="G530" s="362">
        <v>46233.0</v>
      </c>
      <c r="H530" s="193" t="s">
        <v>4873</v>
      </c>
      <c r="I530" s="193" t="s">
        <v>4874</v>
      </c>
      <c r="J530" s="193" t="s">
        <v>4875</v>
      </c>
      <c r="K530" s="193" t="s">
        <v>4877</v>
      </c>
      <c r="L530" s="193" t="s">
        <v>4879</v>
      </c>
      <c r="M530" s="193" t="s">
        <v>4882</v>
      </c>
      <c r="N530" s="193"/>
      <c r="O530" s="193"/>
      <c r="P530" s="359"/>
      <c r="Q530" s="193"/>
      <c r="R530" s="193"/>
      <c r="S530" s="193"/>
      <c r="T530" s="193"/>
    </row>
    <row r="531">
      <c r="A531" s="359">
        <v>46233.86751549768</v>
      </c>
      <c r="B531" s="193" t="s">
        <v>3116</v>
      </c>
      <c r="C531" s="361">
        <v>18.0</v>
      </c>
      <c r="D531" s="193" t="s">
        <v>155</v>
      </c>
      <c r="E531" s="193" t="s">
        <v>25</v>
      </c>
      <c r="F531" s="193" t="s">
        <v>24</v>
      </c>
      <c r="G531" s="362">
        <v>46232.0</v>
      </c>
      <c r="H531" s="193" t="s">
        <v>2430</v>
      </c>
      <c r="I531" s="193" t="s">
        <v>2432</v>
      </c>
      <c r="J531" s="193" t="s">
        <v>2434</v>
      </c>
      <c r="K531" s="193" t="s">
        <v>2435</v>
      </c>
      <c r="L531" s="193" t="s">
        <v>1170</v>
      </c>
      <c r="M531" s="193" t="s">
        <v>5541</v>
      </c>
      <c r="N531" s="193" t="s">
        <v>5542</v>
      </c>
      <c r="O531" s="193"/>
      <c r="P531" s="359">
        <v>46233.86610773148</v>
      </c>
      <c r="Q531" s="193"/>
      <c r="R531" s="193"/>
      <c r="S531" s="193"/>
      <c r="T531" s="193"/>
    </row>
    <row r="532">
      <c r="A532" s="359">
        <v>46237.794601851856</v>
      </c>
      <c r="B532" s="193" t="s">
        <v>3116</v>
      </c>
      <c r="C532" s="361">
        <v>8.0</v>
      </c>
      <c r="D532" s="193" t="s">
        <v>18</v>
      </c>
      <c r="E532" s="193" t="s">
        <v>53</v>
      </c>
      <c r="F532" s="193" t="s">
        <v>867</v>
      </c>
      <c r="G532" s="362">
        <v>46211.0</v>
      </c>
      <c r="H532" s="193" t="s">
        <v>2778</v>
      </c>
      <c r="I532" s="193" t="s">
        <v>2780</v>
      </c>
      <c r="J532" s="193" t="s">
        <v>2783</v>
      </c>
      <c r="K532" s="193" t="s">
        <v>2785</v>
      </c>
      <c r="L532" s="193" t="s">
        <v>1155</v>
      </c>
      <c r="M532" s="193" t="s">
        <v>2786</v>
      </c>
      <c r="N532" s="193" t="s">
        <v>2787</v>
      </c>
      <c r="O532" s="193"/>
      <c r="P532" s="359">
        <v>46217.81526452546</v>
      </c>
      <c r="Q532" s="193"/>
      <c r="R532" s="193"/>
      <c r="S532" s="193"/>
      <c r="T532" s="193">
        <v>1.740800176E9</v>
      </c>
    </row>
    <row r="533">
      <c r="A533" s="359">
        <v>46237.818953842594</v>
      </c>
      <c r="B533" s="193" t="s">
        <v>2996</v>
      </c>
      <c r="C533" s="361">
        <v>99.0</v>
      </c>
      <c r="D533" s="193" t="s">
        <v>117</v>
      </c>
      <c r="E533" s="193" t="s">
        <v>53</v>
      </c>
      <c r="F533" s="193" t="s">
        <v>1451</v>
      </c>
      <c r="G533" s="362">
        <v>46196.0</v>
      </c>
      <c r="H533" s="193" t="s">
        <v>4889</v>
      </c>
      <c r="I533" s="193" t="s">
        <v>4890</v>
      </c>
      <c r="J533" s="193" t="s">
        <v>4891</v>
      </c>
      <c r="K533" s="193" t="s">
        <v>4892</v>
      </c>
      <c r="L533" s="193" t="s">
        <v>4893</v>
      </c>
      <c r="M533" s="193" t="s">
        <v>4894</v>
      </c>
      <c r="N533" s="193" t="s">
        <v>4895</v>
      </c>
      <c r="O533" s="193"/>
      <c r="P533" s="359">
        <v>46237.806406435186</v>
      </c>
      <c r="Q533" s="193"/>
      <c r="R533" s="193"/>
      <c r="S533" s="193"/>
      <c r="T533" s="193">
        <v>1.306825005E9</v>
      </c>
    </row>
    <row r="534">
      <c r="A534" s="359">
        <v>46237.905882928244</v>
      </c>
      <c r="B534" s="193" t="s">
        <v>3116</v>
      </c>
      <c r="C534" s="361">
        <v>19.0</v>
      </c>
      <c r="D534" s="193" t="s">
        <v>155</v>
      </c>
      <c r="E534" s="193" t="s">
        <v>53</v>
      </c>
      <c r="F534" s="193" t="s">
        <v>34</v>
      </c>
      <c r="G534" s="362">
        <v>46234.0</v>
      </c>
      <c r="H534" s="193" t="s">
        <v>441</v>
      </c>
      <c r="I534" s="193" t="s">
        <v>442</v>
      </c>
      <c r="J534" s="193" t="s">
        <v>443</v>
      </c>
      <c r="K534" s="193" t="s">
        <v>444</v>
      </c>
      <c r="L534" s="193" t="s">
        <v>445</v>
      </c>
      <c r="M534" s="193" t="s">
        <v>446</v>
      </c>
      <c r="N534" s="193"/>
      <c r="O534" s="193"/>
      <c r="P534" s="359"/>
      <c r="Q534" s="193"/>
      <c r="R534" s="193"/>
      <c r="S534" s="193"/>
      <c r="T534" s="193"/>
    </row>
    <row r="535">
      <c r="A535" s="359">
        <v>46238.673070324076</v>
      </c>
      <c r="B535" s="193" t="s">
        <v>3116</v>
      </c>
      <c r="C535" s="361">
        <v>19.0</v>
      </c>
      <c r="D535" s="193" t="s">
        <v>224</v>
      </c>
      <c r="E535" s="193" t="s">
        <v>225</v>
      </c>
      <c r="F535" s="193" t="s">
        <v>24</v>
      </c>
      <c r="G535" s="362">
        <v>46234.0</v>
      </c>
      <c r="H535" s="193" t="s">
        <v>2449</v>
      </c>
      <c r="I535" s="193" t="s">
        <v>2451</v>
      </c>
      <c r="J535" s="193" t="s">
        <v>2453</v>
      </c>
      <c r="K535" s="193" t="s">
        <v>2454</v>
      </c>
      <c r="L535" s="193" t="s">
        <v>2455</v>
      </c>
      <c r="M535" s="193" t="s">
        <v>2456</v>
      </c>
      <c r="N535" s="193"/>
      <c r="O535" s="193"/>
      <c r="P535" s="359"/>
      <c r="Q535" s="193"/>
      <c r="R535" s="193"/>
      <c r="S535" s="193"/>
      <c r="T535" s="193"/>
    </row>
    <row r="536">
      <c r="A536" s="359">
        <v>46238.673118113424</v>
      </c>
      <c r="B536" s="193" t="s">
        <v>3116</v>
      </c>
      <c r="C536" s="361">
        <v>9.0</v>
      </c>
      <c r="D536" s="193" t="s">
        <v>155</v>
      </c>
      <c r="E536" s="193" t="s">
        <v>225</v>
      </c>
      <c r="F536" s="193" t="s">
        <v>1451</v>
      </c>
      <c r="G536" s="362">
        <v>46220.0</v>
      </c>
      <c r="H536" s="193" t="s">
        <v>4905</v>
      </c>
      <c r="I536" s="193" t="s">
        <v>4906</v>
      </c>
      <c r="J536" s="193" t="s">
        <v>4907</v>
      </c>
      <c r="K536" s="193" t="s">
        <v>4909</v>
      </c>
      <c r="L536" s="193" t="s">
        <v>3878</v>
      </c>
      <c r="M536" s="193" t="s">
        <v>4912</v>
      </c>
      <c r="N536" s="193"/>
      <c r="O536" s="193"/>
      <c r="P536" s="359"/>
      <c r="Q536" s="193"/>
      <c r="R536" s="193"/>
      <c r="S536" s="193"/>
      <c r="T536" s="193">
        <v>1.588531925E9</v>
      </c>
    </row>
    <row r="537">
      <c r="A537" s="359">
        <v>46238.67316039352</v>
      </c>
      <c r="B537" s="193" t="s">
        <v>3116</v>
      </c>
      <c r="C537" s="361">
        <v>8.0</v>
      </c>
      <c r="D537" s="193" t="s">
        <v>155</v>
      </c>
      <c r="E537" s="193" t="s">
        <v>225</v>
      </c>
      <c r="F537" s="193" t="s">
        <v>1451</v>
      </c>
      <c r="G537" s="362">
        <v>46220.0</v>
      </c>
      <c r="H537" s="193" t="s">
        <v>4919</v>
      </c>
      <c r="I537" s="193" t="s">
        <v>4920</v>
      </c>
      <c r="J537" s="193" t="s">
        <v>4921</v>
      </c>
      <c r="K537" s="193" t="s">
        <v>4923</v>
      </c>
      <c r="L537" s="193" t="s">
        <v>1076</v>
      </c>
      <c r="M537" s="193" t="s">
        <v>4924</v>
      </c>
      <c r="N537" s="193" t="s">
        <v>4926</v>
      </c>
      <c r="O537" s="193"/>
      <c r="P537" s="359">
        <v>46223.960742372685</v>
      </c>
      <c r="Q537" s="193"/>
      <c r="R537" s="193"/>
      <c r="S537" s="193"/>
      <c r="T537" s="193">
        <v>1.619823341E9</v>
      </c>
    </row>
    <row r="538">
      <c r="A538" s="359">
        <v>46238.67320502315</v>
      </c>
      <c r="B538" s="193" t="s">
        <v>3116</v>
      </c>
      <c r="C538" s="361">
        <v>12.0</v>
      </c>
      <c r="D538" s="193" t="s">
        <v>224</v>
      </c>
      <c r="E538" s="193" t="s">
        <v>225</v>
      </c>
      <c r="F538" s="193" t="s">
        <v>1451</v>
      </c>
      <c r="G538" s="362">
        <v>46231.0</v>
      </c>
      <c r="H538" s="193" t="s">
        <v>4930</v>
      </c>
      <c r="I538" s="193" t="s">
        <v>4931</v>
      </c>
      <c r="J538" s="193" t="s">
        <v>4932</v>
      </c>
      <c r="K538" s="193" t="s">
        <v>4934</v>
      </c>
      <c r="L538" s="193" t="s">
        <v>4935</v>
      </c>
      <c r="M538" s="193" t="s">
        <v>4937</v>
      </c>
      <c r="N538" s="193"/>
      <c r="O538" s="193"/>
      <c r="P538" s="359"/>
      <c r="Q538" s="193"/>
      <c r="R538" s="193"/>
      <c r="S538" s="193"/>
      <c r="T538" s="193"/>
    </row>
    <row r="539">
      <c r="A539" s="359">
        <v>46238.67326833333</v>
      </c>
      <c r="B539" s="193" t="s">
        <v>3116</v>
      </c>
      <c r="C539" s="361">
        <v>10.0</v>
      </c>
      <c r="D539" s="193" t="s">
        <v>224</v>
      </c>
      <c r="E539" s="193" t="s">
        <v>225</v>
      </c>
      <c r="F539" s="193" t="s">
        <v>24</v>
      </c>
      <c r="G539" s="362">
        <v>46227.0</v>
      </c>
      <c r="H539" s="193" t="s">
        <v>2463</v>
      </c>
      <c r="I539" s="193" t="s">
        <v>2464</v>
      </c>
      <c r="J539" s="193">
        <v>2.629093636E9</v>
      </c>
      <c r="K539" s="193" t="s">
        <v>2465</v>
      </c>
      <c r="L539" s="193" t="s">
        <v>2466</v>
      </c>
      <c r="M539" s="193" t="s">
        <v>2467</v>
      </c>
      <c r="N539" s="193"/>
      <c r="O539" s="193"/>
      <c r="P539" s="359"/>
      <c r="Q539" s="193"/>
      <c r="R539" s="193"/>
      <c r="S539" s="193"/>
      <c r="T539" s="193"/>
    </row>
    <row r="540">
      <c r="A540" s="359">
        <v>46238.677857256946</v>
      </c>
      <c r="B540" s="193" t="s">
        <v>3116</v>
      </c>
      <c r="C540" s="361">
        <v>10.0</v>
      </c>
      <c r="D540" s="193" t="s">
        <v>224</v>
      </c>
      <c r="E540" s="193" t="s">
        <v>225</v>
      </c>
      <c r="F540" s="193" t="s">
        <v>24</v>
      </c>
      <c r="G540" s="362">
        <v>46230.0</v>
      </c>
      <c r="H540" s="193" t="s">
        <v>2475</v>
      </c>
      <c r="I540" s="193" t="s">
        <v>2476</v>
      </c>
      <c r="J540" s="193" t="s">
        <v>2477</v>
      </c>
      <c r="K540" s="193" t="s">
        <v>2478</v>
      </c>
      <c r="L540" s="193" t="s">
        <v>2479</v>
      </c>
      <c r="M540" s="193" t="s">
        <v>2480</v>
      </c>
      <c r="N540" s="193" t="s">
        <v>2482</v>
      </c>
      <c r="O540" s="193"/>
      <c r="P540" s="359">
        <v>46232.8603242824</v>
      </c>
      <c r="Q540" s="193"/>
      <c r="R540" s="193"/>
      <c r="S540" s="193"/>
      <c r="T540" s="193"/>
    </row>
    <row r="541">
      <c r="A541" s="359">
        <v>46238.81543453704</v>
      </c>
      <c r="B541" s="193" t="s">
        <v>3116</v>
      </c>
      <c r="C541" s="361">
        <v>11.0</v>
      </c>
      <c r="D541" s="193" t="s">
        <v>155</v>
      </c>
      <c r="E541" s="193" t="s">
        <v>23</v>
      </c>
      <c r="F541" s="193" t="s">
        <v>360</v>
      </c>
      <c r="G541" s="362">
        <v>46232.0</v>
      </c>
      <c r="H541" s="193" t="s">
        <v>1187</v>
      </c>
      <c r="I541" s="193" t="s">
        <v>1190</v>
      </c>
      <c r="J541" s="193" t="s">
        <v>1192</v>
      </c>
      <c r="K541" s="193" t="s">
        <v>1195</v>
      </c>
      <c r="L541" s="193" t="s">
        <v>590</v>
      </c>
      <c r="M541" s="193" t="s">
        <v>1197</v>
      </c>
      <c r="N541" s="193" t="s">
        <v>1198</v>
      </c>
      <c r="O541" s="193"/>
      <c r="P541" s="359">
        <v>46238.81374267361</v>
      </c>
      <c r="Q541" s="193"/>
      <c r="R541" s="193"/>
      <c r="S541" s="193"/>
      <c r="T541" s="193"/>
    </row>
    <row r="542">
      <c r="A542" s="359">
        <v>46238.93349758102</v>
      </c>
      <c r="B542" s="193" t="s">
        <v>3116</v>
      </c>
      <c r="C542" s="361">
        <v>3.0</v>
      </c>
      <c r="D542" s="193" t="s">
        <v>135</v>
      </c>
      <c r="E542" s="193" t="s">
        <v>53</v>
      </c>
      <c r="F542" s="193" t="s">
        <v>24</v>
      </c>
      <c r="G542" s="362">
        <v>46195.0</v>
      </c>
      <c r="H542" s="193" t="s">
        <v>2489</v>
      </c>
      <c r="I542" s="193" t="s">
        <v>2491</v>
      </c>
      <c r="J542" s="193" t="s">
        <v>2494</v>
      </c>
      <c r="K542" s="193" t="s">
        <v>2496</v>
      </c>
      <c r="L542" s="193" t="s">
        <v>2498</v>
      </c>
      <c r="M542" s="193" t="s">
        <v>2500</v>
      </c>
      <c r="N542" s="193" t="s">
        <v>2502</v>
      </c>
      <c r="O542" s="193"/>
      <c r="P542" s="359">
        <v>46223.935696782406</v>
      </c>
      <c r="Q542" s="193"/>
      <c r="R542" s="193"/>
      <c r="S542" s="193"/>
      <c r="T542" s="193">
        <v>1.255380168E9</v>
      </c>
    </row>
    <row r="543">
      <c r="A543" s="359">
        <v>46238.93697145833</v>
      </c>
      <c r="B543" s="193" t="s">
        <v>2996</v>
      </c>
      <c r="C543" s="361">
        <v>59.0</v>
      </c>
      <c r="D543" s="193" t="s">
        <v>22</v>
      </c>
      <c r="E543" s="193" t="s">
        <v>53</v>
      </c>
      <c r="F543" s="193" t="s">
        <v>1451</v>
      </c>
      <c r="G543" s="362">
        <v>46114.0</v>
      </c>
      <c r="H543" s="193" t="s">
        <v>4940</v>
      </c>
      <c r="I543" s="193" t="s">
        <v>4941</v>
      </c>
      <c r="J543" s="193" t="s">
        <v>4942</v>
      </c>
      <c r="K543" s="193" t="s">
        <v>4943</v>
      </c>
      <c r="L543" s="193" t="s">
        <v>762</v>
      </c>
      <c r="M543" s="193" t="s">
        <v>4944</v>
      </c>
      <c r="N543" s="193" t="s">
        <v>4946</v>
      </c>
      <c r="O543" s="193"/>
      <c r="P543" s="359">
        <v>46115.791213020835</v>
      </c>
      <c r="Q543" s="193"/>
      <c r="R543" s="193" t="b">
        <v>0</v>
      </c>
      <c r="S543" s="193"/>
      <c r="T543" s="193">
        <v>1.972096758E9</v>
      </c>
    </row>
    <row r="544">
      <c r="A544" s="359">
        <v>46238.9382722338</v>
      </c>
      <c r="B544" s="193" t="s">
        <v>3116</v>
      </c>
      <c r="C544" s="361">
        <v>4.0</v>
      </c>
      <c r="D544" s="193" t="s">
        <v>18</v>
      </c>
      <c r="E544" s="193" t="s">
        <v>53</v>
      </c>
      <c r="F544" s="193" t="s">
        <v>24</v>
      </c>
      <c r="G544" s="362">
        <v>46203.0</v>
      </c>
      <c r="H544" s="193" t="s">
        <v>2512</v>
      </c>
      <c r="I544" s="193" t="s">
        <v>2514</v>
      </c>
      <c r="J544" s="193" t="s">
        <v>2517</v>
      </c>
      <c r="K544" s="193" t="s">
        <v>2518</v>
      </c>
      <c r="L544" s="193" t="s">
        <v>2519</v>
      </c>
      <c r="M544" s="193" t="s">
        <v>2520</v>
      </c>
      <c r="N544" s="193" t="s">
        <v>2521</v>
      </c>
      <c r="O544" s="193"/>
      <c r="P544" s="359">
        <v>46217.7987928588</v>
      </c>
      <c r="Q544" s="193"/>
      <c r="R544" s="193"/>
      <c r="S544" s="193"/>
      <c r="T544" s="193">
        <v>1.003063736E9</v>
      </c>
    </row>
    <row r="545">
      <c r="A545" s="359">
        <v>46240.72518032407</v>
      </c>
      <c r="B545" s="193" t="s">
        <v>3116</v>
      </c>
      <c r="C545" s="361">
        <v>13.0</v>
      </c>
      <c r="D545" s="193" t="s">
        <v>224</v>
      </c>
      <c r="E545" s="193" t="s">
        <v>225</v>
      </c>
      <c r="F545" s="193" t="s">
        <v>24</v>
      </c>
      <c r="G545" s="362">
        <v>46239.0</v>
      </c>
      <c r="H545" s="193" t="s">
        <v>2528</v>
      </c>
      <c r="I545" s="193" t="s">
        <v>2530</v>
      </c>
      <c r="J545" s="193" t="s">
        <v>2532</v>
      </c>
      <c r="K545" s="193" t="s">
        <v>2534</v>
      </c>
      <c r="L545" s="193" t="s">
        <v>2536</v>
      </c>
      <c r="M545" s="193" t="s">
        <v>2537</v>
      </c>
      <c r="N545" s="193" t="s">
        <v>2540</v>
      </c>
      <c r="O545" s="193"/>
      <c r="P545" s="359">
        <v>46240.72491777778</v>
      </c>
      <c r="Q545" s="193"/>
      <c r="R545" s="193"/>
      <c r="S545" s="193"/>
      <c r="T545" s="193"/>
    </row>
    <row r="546">
      <c r="A546" s="359">
        <v>46240.73218199074</v>
      </c>
      <c r="B546" s="193" t="s">
        <v>3116</v>
      </c>
      <c r="C546" s="361">
        <v>12.0</v>
      </c>
      <c r="D546" s="193" t="s">
        <v>117</v>
      </c>
      <c r="E546" s="193" t="s">
        <v>53</v>
      </c>
      <c r="F546" s="193" t="s">
        <v>1451</v>
      </c>
      <c r="G546" s="362">
        <v>46239.0</v>
      </c>
      <c r="H546" s="193" t="s">
        <v>4951</v>
      </c>
      <c r="I546" s="193" t="s">
        <v>4952</v>
      </c>
      <c r="J546" s="193" t="s">
        <v>4953</v>
      </c>
      <c r="K546" s="193" t="s">
        <v>4955</v>
      </c>
      <c r="L546" s="193" t="s">
        <v>4956</v>
      </c>
      <c r="M546" s="193" t="s">
        <v>4957</v>
      </c>
      <c r="N546" s="193" t="s">
        <v>4958</v>
      </c>
      <c r="O546" s="193"/>
      <c r="P546" s="359">
        <v>46240.73095159722</v>
      </c>
      <c r="Q546" s="193"/>
      <c r="R546" s="193"/>
      <c r="S546" s="193"/>
      <c r="T546" s="193"/>
    </row>
    <row r="547">
      <c r="A547" s="359">
        <v>46240.805088043984</v>
      </c>
      <c r="B547" s="193" t="s">
        <v>3116</v>
      </c>
      <c r="C547" s="361">
        <v>10.0</v>
      </c>
      <c r="D547" s="193" t="s">
        <v>155</v>
      </c>
      <c r="E547" s="193" t="s">
        <v>25</v>
      </c>
      <c r="F547" s="193" t="s">
        <v>601</v>
      </c>
      <c r="G547" s="362">
        <v>46238.0</v>
      </c>
      <c r="H547" s="193" t="s">
        <v>1207</v>
      </c>
      <c r="I547" s="193" t="s">
        <v>1208</v>
      </c>
      <c r="J547" s="193" t="s">
        <v>1209</v>
      </c>
      <c r="K547" s="193" t="s">
        <v>1210</v>
      </c>
      <c r="L547" s="193" t="s">
        <v>140</v>
      </c>
      <c r="M547" s="193" t="s">
        <v>1213</v>
      </c>
      <c r="N547" s="193"/>
      <c r="O547" s="193"/>
      <c r="P547" s="359"/>
      <c r="Q547" s="193"/>
      <c r="R547" s="193"/>
      <c r="S547" s="193"/>
      <c r="T547" s="193"/>
    </row>
    <row r="548">
      <c r="A548" s="359">
        <v>46240.88140557871</v>
      </c>
      <c r="B548" s="193" t="s">
        <v>3116</v>
      </c>
      <c r="C548" s="361">
        <v>14.0</v>
      </c>
      <c r="D548" s="193" t="s">
        <v>224</v>
      </c>
      <c r="E548" s="193" t="s">
        <v>225</v>
      </c>
      <c r="F548" s="193" t="s">
        <v>24</v>
      </c>
      <c r="G548" s="362">
        <v>46240.0</v>
      </c>
      <c r="H548" s="193" t="s">
        <v>2549</v>
      </c>
      <c r="I548" s="193" t="s">
        <v>2550</v>
      </c>
      <c r="J548" s="193" t="s">
        <v>2552</v>
      </c>
      <c r="K548" s="193" t="s">
        <v>2553</v>
      </c>
      <c r="L548" s="193" t="s">
        <v>2554</v>
      </c>
      <c r="M548" s="193"/>
      <c r="N548" s="193" t="s">
        <v>2558</v>
      </c>
      <c r="O548" s="193"/>
      <c r="P548" s="359">
        <v>46240.88090564815</v>
      </c>
      <c r="Q548" s="193"/>
      <c r="R548" s="193"/>
      <c r="S548" s="193"/>
      <c r="T548" s="193"/>
    </row>
    <row r="549">
      <c r="A549" s="359">
        <v>46240.88145563657</v>
      </c>
      <c r="B549" s="193" t="s">
        <v>3116</v>
      </c>
      <c r="C549" s="361">
        <v>13.0</v>
      </c>
      <c r="D549" s="193" t="s">
        <v>224</v>
      </c>
      <c r="E549" s="193" t="s">
        <v>225</v>
      </c>
      <c r="F549" s="193" t="s">
        <v>24</v>
      </c>
      <c r="G549" s="362">
        <v>46240.0</v>
      </c>
      <c r="H549" s="193" t="s">
        <v>2567</v>
      </c>
      <c r="I549" s="193" t="s">
        <v>2568</v>
      </c>
      <c r="J549" s="193" t="s">
        <v>2569</v>
      </c>
      <c r="K549" s="193" t="s">
        <v>2570</v>
      </c>
      <c r="L549" s="193" t="s">
        <v>667</v>
      </c>
      <c r="M549" s="193" t="s">
        <v>2576</v>
      </c>
      <c r="N549" s="193"/>
      <c r="O549" s="193"/>
      <c r="P549" s="359"/>
      <c r="Q549" s="193"/>
      <c r="R549" s="193"/>
      <c r="S549" s="193"/>
      <c r="T549" s="193"/>
    </row>
    <row r="550">
      <c r="A550" s="359">
        <v>46240.89530048611</v>
      </c>
      <c r="B550" s="193" t="s">
        <v>2996</v>
      </c>
      <c r="C550" s="361">
        <v>93.0</v>
      </c>
      <c r="D550" s="193" t="s">
        <v>18</v>
      </c>
      <c r="E550" s="193" t="s">
        <v>19</v>
      </c>
      <c r="F550" s="193" t="s">
        <v>1451</v>
      </c>
      <c r="G550" s="362">
        <v>46182.0</v>
      </c>
      <c r="H550" s="193" t="s">
        <v>4960</v>
      </c>
      <c r="I550" s="193" t="s">
        <v>4961</v>
      </c>
      <c r="J550" s="193" t="s">
        <v>4962</v>
      </c>
      <c r="K550" s="193" t="s">
        <v>4963</v>
      </c>
      <c r="L550" s="193" t="s">
        <v>4964</v>
      </c>
      <c r="M550" s="193" t="s">
        <v>4965</v>
      </c>
      <c r="N550" s="193" t="s">
        <v>4966</v>
      </c>
      <c r="O550" s="193"/>
      <c r="P550" s="359">
        <v>46213.92159616898</v>
      </c>
      <c r="Q550" s="193"/>
      <c r="R550" s="193"/>
      <c r="S550" s="193"/>
      <c r="T550" s="193">
        <v>1.962296715E9</v>
      </c>
    </row>
    <row r="551">
      <c r="A551" s="359">
        <v>46240.92309045139</v>
      </c>
      <c r="B551" s="193" t="s">
        <v>3116</v>
      </c>
      <c r="C551" s="361">
        <v>12.0</v>
      </c>
      <c r="D551" s="193" t="s">
        <v>224</v>
      </c>
      <c r="E551" s="193" t="s">
        <v>225</v>
      </c>
      <c r="F551" s="193" t="s">
        <v>1451</v>
      </c>
      <c r="G551" s="362">
        <v>46239.0</v>
      </c>
      <c r="H551" s="193" t="s">
        <v>4968</v>
      </c>
      <c r="I551" s="193" t="s">
        <v>4969</v>
      </c>
      <c r="J551" s="193" t="s">
        <v>4970</v>
      </c>
      <c r="K551" s="193" t="s">
        <v>4971</v>
      </c>
      <c r="L551" s="193" t="s">
        <v>843</v>
      </c>
      <c r="M551" s="193" t="s">
        <v>4973</v>
      </c>
      <c r="N551" s="193" t="s">
        <v>4975</v>
      </c>
      <c r="O551" s="193"/>
      <c r="P551" s="359">
        <v>46240.91997777778</v>
      </c>
      <c r="Q551" s="193"/>
      <c r="R551" s="193"/>
      <c r="S551" s="193"/>
      <c r="T551" s="193"/>
    </row>
    <row r="552">
      <c r="A552" s="359">
        <v>46241.90708276621</v>
      </c>
      <c r="B552" s="193" t="s">
        <v>2996</v>
      </c>
      <c r="C552" s="361">
        <v>114.0</v>
      </c>
      <c r="D552" s="193" t="s">
        <v>62</v>
      </c>
      <c r="E552" s="193" t="s">
        <v>53</v>
      </c>
      <c r="F552" s="193" t="s">
        <v>34</v>
      </c>
      <c r="G552" s="362">
        <v>46230.0</v>
      </c>
      <c r="H552" s="193" t="s">
        <v>457</v>
      </c>
      <c r="I552" s="193" t="s">
        <v>459</v>
      </c>
      <c r="J552" s="193" t="s">
        <v>461</v>
      </c>
      <c r="K552" s="193" t="s">
        <v>464</v>
      </c>
      <c r="L552" s="193" t="s">
        <v>468</v>
      </c>
      <c r="M552" s="193" t="s">
        <v>471</v>
      </c>
      <c r="N552" s="193" t="s">
        <v>5543</v>
      </c>
      <c r="O552" s="193"/>
      <c r="P552" s="359">
        <v>46237.80405335648</v>
      </c>
      <c r="Q552" s="193"/>
      <c r="R552" s="193"/>
      <c r="S552" s="193"/>
      <c r="T552" s="193"/>
    </row>
    <row r="553">
      <c r="A553" s="359">
        <v>46241.90714642361</v>
      </c>
      <c r="B553" s="193" t="s">
        <v>2996</v>
      </c>
      <c r="C553" s="361">
        <v>112.0</v>
      </c>
      <c r="D553" s="193" t="s">
        <v>62</v>
      </c>
      <c r="E553" s="193" t="s">
        <v>53</v>
      </c>
      <c r="F553" s="193" t="s">
        <v>34</v>
      </c>
      <c r="G553" s="362">
        <v>46120.0</v>
      </c>
      <c r="H553" s="193" t="s">
        <v>488</v>
      </c>
      <c r="I553" s="193" t="s">
        <v>491</v>
      </c>
      <c r="J553" s="193" t="s">
        <v>494</v>
      </c>
      <c r="K553" s="193" t="s">
        <v>495</v>
      </c>
      <c r="L553" s="193" t="s">
        <v>497</v>
      </c>
      <c r="M553" s="193" t="s">
        <v>498</v>
      </c>
      <c r="N553" s="193" t="s">
        <v>499</v>
      </c>
      <c r="O553" s="193"/>
      <c r="P553" s="359">
        <v>46237.79650271991</v>
      </c>
      <c r="Q553" s="193"/>
      <c r="R553" s="193" t="b">
        <v>0</v>
      </c>
      <c r="S553" s="193"/>
      <c r="T553" s="193">
        <v>1.467346718E9</v>
      </c>
    </row>
    <row r="554">
      <c r="A554" s="359">
        <v>46241.909216493055</v>
      </c>
      <c r="B554" s="193" t="s">
        <v>2996</v>
      </c>
      <c r="C554" s="361">
        <v>102.0</v>
      </c>
      <c r="D554" s="193" t="s">
        <v>22</v>
      </c>
      <c r="E554" s="193" t="s">
        <v>23</v>
      </c>
      <c r="F554" s="193" t="s">
        <v>34</v>
      </c>
      <c r="G554" s="362">
        <v>46205.0</v>
      </c>
      <c r="H554" s="193" t="s">
        <v>506</v>
      </c>
      <c r="I554" s="193" t="s">
        <v>508</v>
      </c>
      <c r="J554" s="193" t="s">
        <v>510</v>
      </c>
      <c r="K554" s="193" t="s">
        <v>512</v>
      </c>
      <c r="L554" s="193" t="s">
        <v>513</v>
      </c>
      <c r="M554" s="193" t="s">
        <v>515</v>
      </c>
      <c r="N554" s="193" t="s">
        <v>5544</v>
      </c>
      <c r="O554" s="193"/>
      <c r="P554" s="359">
        <v>46240.86380436343</v>
      </c>
      <c r="Q554" s="193"/>
      <c r="R554" s="193"/>
      <c r="S554" s="193"/>
      <c r="T554" s="193">
        <v>1.336087469E9</v>
      </c>
    </row>
    <row r="555">
      <c r="A555" s="359">
        <v>46241.909286724534</v>
      </c>
      <c r="B555" s="193" t="s">
        <v>2996</v>
      </c>
      <c r="C555" s="361">
        <v>30.0</v>
      </c>
      <c r="D555" s="193" t="s">
        <v>62</v>
      </c>
      <c r="E555" s="193" t="s">
        <v>23</v>
      </c>
      <c r="F555" s="193" t="s">
        <v>34</v>
      </c>
      <c r="G555" s="362">
        <v>46043.0</v>
      </c>
      <c r="H555" s="193" t="s">
        <v>526</v>
      </c>
      <c r="I555" s="193" t="s">
        <v>527</v>
      </c>
      <c r="J555" s="193" t="s">
        <v>528</v>
      </c>
      <c r="K555" s="193" t="s">
        <v>530</v>
      </c>
      <c r="L555" s="193" t="s">
        <v>534</v>
      </c>
      <c r="M555" s="193" t="s">
        <v>539</v>
      </c>
      <c r="N555" s="193" t="s">
        <v>5545</v>
      </c>
      <c r="O555" s="193"/>
      <c r="P555" s="359">
        <v>46224.82374541667</v>
      </c>
      <c r="Q555" s="193"/>
      <c r="R555" s="193" t="b">
        <v>0</v>
      </c>
      <c r="S555" s="193"/>
      <c r="T555" s="193">
        <v>1.912529157E9</v>
      </c>
    </row>
    <row r="556">
      <c r="A556" s="359">
        <v>46241.93004633102</v>
      </c>
      <c r="B556" s="193" t="s">
        <v>3116</v>
      </c>
      <c r="C556" s="361">
        <v>10.0</v>
      </c>
      <c r="D556" s="193" t="s">
        <v>155</v>
      </c>
      <c r="E556" s="193" t="s">
        <v>25</v>
      </c>
      <c r="F556" s="193" t="s">
        <v>24</v>
      </c>
      <c r="G556" s="362">
        <v>46239.0</v>
      </c>
      <c r="H556" s="193" t="s">
        <v>2586</v>
      </c>
      <c r="I556" s="193" t="s">
        <v>2588</v>
      </c>
      <c r="J556" s="193" t="s">
        <v>2590</v>
      </c>
      <c r="K556" s="193" t="s">
        <v>2592</v>
      </c>
      <c r="L556" s="193" t="s">
        <v>497</v>
      </c>
      <c r="M556" s="193" t="s">
        <v>2598</v>
      </c>
      <c r="N556" s="193"/>
      <c r="O556" s="193"/>
      <c r="P556" s="359"/>
      <c r="Q556" s="193"/>
      <c r="R556" s="193"/>
      <c r="S556" s="193"/>
      <c r="T556" s="193"/>
    </row>
    <row r="557">
      <c r="A557" s="359">
        <v>46244.759900370365</v>
      </c>
      <c r="B557" s="193" t="s">
        <v>2996</v>
      </c>
      <c r="C557" s="361">
        <v>111.0</v>
      </c>
      <c r="D557" s="193" t="s">
        <v>62</v>
      </c>
      <c r="E557" s="193" t="s">
        <v>23</v>
      </c>
      <c r="F557" s="193" t="s">
        <v>34</v>
      </c>
      <c r="G557" s="362">
        <v>45943.0</v>
      </c>
      <c r="H557" s="193" t="s">
        <v>559</v>
      </c>
      <c r="I557" s="193" t="s">
        <v>563</v>
      </c>
      <c r="J557" s="193" t="s">
        <v>567</v>
      </c>
      <c r="K557" s="193" t="s">
        <v>569</v>
      </c>
      <c r="L557" s="193" t="s">
        <v>572</v>
      </c>
      <c r="M557" s="193" t="s">
        <v>575</v>
      </c>
      <c r="N557" s="193" t="s">
        <v>576</v>
      </c>
      <c r="O557" s="193"/>
      <c r="P557" s="359">
        <v>46239.90908856482</v>
      </c>
      <c r="Q557" s="193"/>
      <c r="R557" s="193" t="b">
        <v>0</v>
      </c>
      <c r="S557" s="193"/>
      <c r="T557" s="193">
        <v>1.952156622E9</v>
      </c>
    </row>
    <row r="558">
      <c r="A558" s="359">
        <v>46244.77725368056</v>
      </c>
      <c r="B558" s="193" t="s">
        <v>3116</v>
      </c>
      <c r="C558" s="361">
        <v>4.0</v>
      </c>
      <c r="D558" s="193" t="s">
        <v>62</v>
      </c>
      <c r="E558" s="193" t="s">
        <v>225</v>
      </c>
      <c r="F558" s="193" t="s">
        <v>24</v>
      </c>
      <c r="G558" s="362">
        <v>46206.0</v>
      </c>
      <c r="H558" s="193" t="s">
        <v>2606</v>
      </c>
      <c r="I558" s="193" t="s">
        <v>2607</v>
      </c>
      <c r="J558" s="193" t="s">
        <v>2608</v>
      </c>
      <c r="K558" s="193" t="s">
        <v>2609</v>
      </c>
      <c r="L558" s="193" t="s">
        <v>2612</v>
      </c>
      <c r="M558" s="193" t="s">
        <v>2614</v>
      </c>
      <c r="N558" s="193" t="s">
        <v>2617</v>
      </c>
      <c r="O558" s="193"/>
      <c r="P558" s="359">
        <v>46244.77523460648</v>
      </c>
      <c r="Q558" s="193"/>
      <c r="R558" s="193"/>
      <c r="S558" s="193"/>
      <c r="T558" s="193">
        <v>1.285271304E9</v>
      </c>
    </row>
    <row r="559">
      <c r="A559" s="359">
        <v>46244.88166413194</v>
      </c>
      <c r="B559" s="193" t="s">
        <v>3003</v>
      </c>
      <c r="C559" s="361">
        <v>13.0</v>
      </c>
      <c r="D559" s="193" t="s">
        <v>62</v>
      </c>
      <c r="E559" s="193" t="s">
        <v>23</v>
      </c>
      <c r="F559" s="193" t="s">
        <v>3021</v>
      </c>
      <c r="G559" s="362">
        <v>45982.0</v>
      </c>
      <c r="H559" s="193" t="s">
        <v>3964</v>
      </c>
      <c r="I559" s="193" t="s">
        <v>3965</v>
      </c>
      <c r="J559" s="193" t="s">
        <v>3966</v>
      </c>
      <c r="K559" s="193" t="s">
        <v>3970</v>
      </c>
      <c r="L559" s="193" t="s">
        <v>1467</v>
      </c>
      <c r="M559" s="193" t="s">
        <v>4981</v>
      </c>
      <c r="N559" s="193"/>
      <c r="O559" s="193"/>
      <c r="P559" s="359"/>
      <c r="Q559" s="193" t="b">
        <v>0</v>
      </c>
      <c r="R559" s="193"/>
      <c r="S559" s="193"/>
      <c r="T559" s="193">
        <v>1.235958182E9</v>
      </c>
    </row>
    <row r="560">
      <c r="A560" s="359">
        <v>46245.88837876158</v>
      </c>
      <c r="B560" s="193" t="s">
        <v>2996</v>
      </c>
      <c r="C560" s="361">
        <v>98.0</v>
      </c>
      <c r="D560" s="193" t="s">
        <v>62</v>
      </c>
      <c r="E560" s="193" t="s">
        <v>225</v>
      </c>
      <c r="F560" s="193" t="s">
        <v>867</v>
      </c>
      <c r="G560" s="362">
        <v>46094.0</v>
      </c>
      <c r="H560" s="193" t="s">
        <v>2819</v>
      </c>
      <c r="I560" s="193" t="s">
        <v>2821</v>
      </c>
      <c r="J560" s="193" t="s">
        <v>2822</v>
      </c>
      <c r="K560" s="193" t="s">
        <v>2823</v>
      </c>
      <c r="L560" s="193" t="s">
        <v>210</v>
      </c>
      <c r="M560" s="193" t="s">
        <v>2824</v>
      </c>
      <c r="N560" s="193" t="s">
        <v>2787</v>
      </c>
      <c r="O560" s="193"/>
      <c r="P560" s="359">
        <v>46099.799459560185</v>
      </c>
      <c r="Q560" s="193"/>
      <c r="R560" s="193" t="b">
        <v>0</v>
      </c>
      <c r="S560" s="193"/>
      <c r="T560" s="193">
        <v>1.154089241E9</v>
      </c>
    </row>
    <row r="561">
      <c r="A561" s="359">
        <v>46248.83978386574</v>
      </c>
      <c r="B561" s="193" t="s">
        <v>34</v>
      </c>
      <c r="C561" s="361">
        <v>20.0</v>
      </c>
      <c r="D561" s="193" t="s">
        <v>22</v>
      </c>
      <c r="E561" s="193" t="s">
        <v>19</v>
      </c>
      <c r="F561" s="193" t="s">
        <v>1451</v>
      </c>
      <c r="G561" s="362">
        <v>46163.0</v>
      </c>
      <c r="H561" s="193" t="s">
        <v>4984</v>
      </c>
      <c r="I561" s="193" t="s">
        <v>4985</v>
      </c>
      <c r="J561" s="193" t="s">
        <v>4986</v>
      </c>
      <c r="K561" s="193" t="s">
        <v>4988</v>
      </c>
      <c r="L561" s="193" t="s">
        <v>115</v>
      </c>
      <c r="M561" s="193" t="s">
        <v>4990</v>
      </c>
      <c r="N561" s="193" t="s">
        <v>4992</v>
      </c>
      <c r="O561" s="193"/>
      <c r="P561" s="359">
        <v>46175.88409202546</v>
      </c>
      <c r="Q561" s="193"/>
      <c r="R561" s="193"/>
      <c r="S561" s="193"/>
      <c r="T561" s="193">
        <v>1.982295978E9</v>
      </c>
    </row>
    <row r="562">
      <c r="A562" s="359">
        <v>46251.742523113426</v>
      </c>
      <c r="B562" s="193" t="s">
        <v>3116</v>
      </c>
      <c r="C562" s="361">
        <v>9.0</v>
      </c>
      <c r="D562" s="193" t="s">
        <v>22</v>
      </c>
      <c r="E562" s="193" t="s">
        <v>23</v>
      </c>
      <c r="F562" s="193" t="s">
        <v>601</v>
      </c>
      <c r="G562" s="362">
        <v>46240.0</v>
      </c>
      <c r="H562" s="193" t="s">
        <v>1227</v>
      </c>
      <c r="I562" s="193" t="s">
        <v>1229</v>
      </c>
      <c r="J562" s="193" t="s">
        <v>1230</v>
      </c>
      <c r="K562" s="193" t="s">
        <v>1231</v>
      </c>
      <c r="L562" s="193" t="s">
        <v>90</v>
      </c>
      <c r="M562" s="193" t="s">
        <v>1233</v>
      </c>
      <c r="N562" s="193" t="s">
        <v>1235</v>
      </c>
      <c r="O562" s="193"/>
      <c r="P562" s="359">
        <v>46251.71593048611</v>
      </c>
      <c r="Q562" s="193"/>
      <c r="R562" s="193"/>
      <c r="S562" s="193"/>
      <c r="T562" s="193"/>
    </row>
    <row r="563">
      <c r="A563" s="359">
        <v>46251.850211111116</v>
      </c>
      <c r="B563" s="193" t="s">
        <v>3116</v>
      </c>
      <c r="C563" s="361">
        <v>17.0</v>
      </c>
      <c r="D563" s="193" t="s">
        <v>17</v>
      </c>
      <c r="E563" s="193" t="s">
        <v>251</v>
      </c>
      <c r="F563" s="193" t="s">
        <v>24</v>
      </c>
      <c r="G563" s="362">
        <v>46246.0</v>
      </c>
      <c r="H563" s="193" t="s">
        <v>2629</v>
      </c>
      <c r="I563" s="193" t="s">
        <v>2630</v>
      </c>
      <c r="J563" s="193" t="s">
        <v>2631</v>
      </c>
      <c r="K563" s="193" t="s">
        <v>2632</v>
      </c>
      <c r="L563" s="193" t="s">
        <v>268</v>
      </c>
      <c r="M563" s="193" t="s">
        <v>2638</v>
      </c>
      <c r="N563" s="193" t="s">
        <v>2641</v>
      </c>
      <c r="O563" s="193"/>
      <c r="P563" s="359">
        <v>46251.81616019676</v>
      </c>
      <c r="Q563" s="193"/>
      <c r="R563" s="193"/>
      <c r="S563" s="193"/>
      <c r="T563" s="193">
        <v>1.609987023E9</v>
      </c>
    </row>
    <row r="564">
      <c r="A564" s="359">
        <v>46251.90571626158</v>
      </c>
      <c r="B564" s="193" t="s">
        <v>3116</v>
      </c>
      <c r="C564" s="361">
        <v>13.0</v>
      </c>
      <c r="D564" s="193" t="s">
        <v>18</v>
      </c>
      <c r="E564" s="193" t="s">
        <v>251</v>
      </c>
      <c r="F564" s="193" t="s">
        <v>24</v>
      </c>
      <c r="G564" s="362">
        <v>46244.0</v>
      </c>
      <c r="H564" s="193" t="s">
        <v>2648</v>
      </c>
      <c r="I564" s="193" t="s">
        <v>2650</v>
      </c>
      <c r="J564" s="193" t="s">
        <v>2653</v>
      </c>
      <c r="K564" s="193" t="s">
        <v>2656</v>
      </c>
      <c r="L564" s="193" t="s">
        <v>2020</v>
      </c>
      <c r="M564" s="193" t="s">
        <v>2660</v>
      </c>
      <c r="N564" s="193" t="s">
        <v>2662</v>
      </c>
      <c r="O564" s="193"/>
      <c r="P564" s="362">
        <v>46245.0</v>
      </c>
      <c r="Q564" s="193"/>
      <c r="R564" s="193"/>
      <c r="S564" s="193"/>
      <c r="T564" s="193">
        <v>1.679259311E9</v>
      </c>
    </row>
    <row r="565">
      <c r="A565" s="359">
        <v>46251.90576809028</v>
      </c>
      <c r="B565" s="193" t="s">
        <v>3116</v>
      </c>
      <c r="C565" s="361">
        <v>12.0</v>
      </c>
      <c r="D565" s="193" t="s">
        <v>18</v>
      </c>
      <c r="E565" s="193" t="s">
        <v>251</v>
      </c>
      <c r="F565" s="193" t="s">
        <v>222</v>
      </c>
      <c r="G565" s="362">
        <v>46244.0</v>
      </c>
      <c r="H565" s="193" t="s">
        <v>1251</v>
      </c>
      <c r="I565" s="193" t="s">
        <v>1252</v>
      </c>
      <c r="J565" s="193" t="s">
        <v>1255</v>
      </c>
      <c r="K565" s="193" t="s">
        <v>1258</v>
      </c>
      <c r="L565" s="193" t="s">
        <v>1259</v>
      </c>
      <c r="M565" s="193" t="s">
        <v>1260</v>
      </c>
      <c r="N565" s="193"/>
      <c r="O565" s="193"/>
      <c r="P565" s="362"/>
      <c r="Q565" s="193"/>
      <c r="R565" s="193"/>
      <c r="S565" s="193"/>
      <c r="T565" s="193">
        <v>1.578059283E9</v>
      </c>
    </row>
    <row r="566">
      <c r="A566" s="359">
        <v>46251.926563472225</v>
      </c>
      <c r="B566" s="193" t="s">
        <v>3116</v>
      </c>
      <c r="C566" s="361">
        <v>7.0</v>
      </c>
      <c r="D566" s="193" t="s">
        <v>22</v>
      </c>
      <c r="E566" s="193" t="s">
        <v>23</v>
      </c>
      <c r="F566" s="193" t="s">
        <v>34</v>
      </c>
      <c r="G566" s="362">
        <v>46234.0</v>
      </c>
      <c r="H566" s="193" t="s">
        <v>584</v>
      </c>
      <c r="I566" s="193" t="s">
        <v>585</v>
      </c>
      <c r="J566" s="193" t="s">
        <v>586</v>
      </c>
      <c r="K566" s="193" t="s">
        <v>589</v>
      </c>
      <c r="L566" s="193" t="s">
        <v>590</v>
      </c>
      <c r="M566" s="193" t="s">
        <v>592</v>
      </c>
      <c r="N566" s="193" t="s">
        <v>595</v>
      </c>
      <c r="O566" s="193"/>
      <c r="P566" s="359">
        <v>46248.89091158565</v>
      </c>
      <c r="Q566" s="193"/>
      <c r="R566" s="193"/>
      <c r="S566" s="193"/>
      <c r="T566" s="193"/>
    </row>
    <row r="567">
      <c r="A567" s="359">
        <v>46251.9278916551</v>
      </c>
      <c r="B567" s="193" t="s">
        <v>3116</v>
      </c>
      <c r="C567" s="361">
        <v>13.0</v>
      </c>
      <c r="D567" s="193" t="s">
        <v>22</v>
      </c>
      <c r="E567" s="193" t="s">
        <v>23</v>
      </c>
      <c r="F567" s="193" t="s">
        <v>34</v>
      </c>
      <c r="G567" s="362">
        <v>46245.0</v>
      </c>
      <c r="H567" s="193" t="s">
        <v>602</v>
      </c>
      <c r="I567" s="193" t="s">
        <v>604</v>
      </c>
      <c r="J567" s="193" t="s">
        <v>606</v>
      </c>
      <c r="K567" s="193" t="s">
        <v>609</v>
      </c>
      <c r="L567" s="193" t="s">
        <v>612</v>
      </c>
      <c r="M567" s="193" t="s">
        <v>615</v>
      </c>
      <c r="N567" s="193" t="s">
        <v>618</v>
      </c>
      <c r="O567" s="193"/>
      <c r="P567" s="359">
        <v>46248.902431967595</v>
      </c>
      <c r="Q567" s="193"/>
      <c r="R567" s="193"/>
      <c r="S567" s="193"/>
      <c r="T567" s="193"/>
    </row>
    <row r="568">
      <c r="A568" s="359">
        <v>46252.88494304398</v>
      </c>
      <c r="B568" s="193" t="s">
        <v>3116</v>
      </c>
      <c r="C568" s="361">
        <v>19.0</v>
      </c>
      <c r="D568" s="193" t="s">
        <v>155</v>
      </c>
      <c r="E568" s="193" t="s">
        <v>251</v>
      </c>
      <c r="F568" s="193" t="s">
        <v>1451</v>
      </c>
      <c r="G568" s="362">
        <v>46252.0</v>
      </c>
      <c r="H568" s="193" t="s">
        <v>4400</v>
      </c>
      <c r="I568" s="193" t="s">
        <v>4402</v>
      </c>
      <c r="J568" s="193" t="s">
        <v>4996</v>
      </c>
      <c r="K568" s="193" t="s">
        <v>4406</v>
      </c>
      <c r="L568" s="193" t="s">
        <v>1508</v>
      </c>
      <c r="M568" s="193" t="s">
        <v>4998</v>
      </c>
      <c r="N568" s="193" t="s">
        <v>4999</v>
      </c>
      <c r="O568" s="193"/>
      <c r="P568" s="359">
        <v>46252.88458899305</v>
      </c>
      <c r="Q568" s="193"/>
      <c r="R568" s="193"/>
      <c r="S568" s="193"/>
      <c r="T568" s="193">
        <v>1.073293205E9</v>
      </c>
    </row>
    <row r="569">
      <c r="A569" s="359">
        <v>46252.912700381945</v>
      </c>
      <c r="B569" s="193" t="s">
        <v>3116</v>
      </c>
      <c r="C569" s="361">
        <v>14.0</v>
      </c>
      <c r="D569" s="193" t="s">
        <v>22</v>
      </c>
      <c r="E569" s="193" t="s">
        <v>23</v>
      </c>
      <c r="F569" s="193" t="s">
        <v>1451</v>
      </c>
      <c r="G569" s="362">
        <v>46247.0</v>
      </c>
      <c r="H569" s="193" t="s">
        <v>5003</v>
      </c>
      <c r="I569" s="193" t="s">
        <v>5004</v>
      </c>
      <c r="J569" s="193" t="s">
        <v>5005</v>
      </c>
      <c r="K569" s="193" t="s">
        <v>5006</v>
      </c>
      <c r="L569" s="193" t="s">
        <v>115</v>
      </c>
      <c r="M569" s="193" t="s">
        <v>5007</v>
      </c>
      <c r="N569" s="193" t="s">
        <v>5009</v>
      </c>
      <c r="O569" s="193"/>
      <c r="P569" s="359">
        <v>46252.911135092596</v>
      </c>
      <c r="Q569" s="193"/>
      <c r="R569" s="193"/>
      <c r="S569" s="193"/>
      <c r="T569" s="193">
        <v>1.518884956E9</v>
      </c>
    </row>
    <row r="570">
      <c r="A570" s="359">
        <v>46253.782028912035</v>
      </c>
      <c r="B570" s="193" t="s">
        <v>3116</v>
      </c>
      <c r="C570" s="361">
        <v>9.0</v>
      </c>
      <c r="D570" s="193" t="s">
        <v>155</v>
      </c>
      <c r="E570" s="193" t="s">
        <v>23</v>
      </c>
      <c r="F570" s="193" t="s">
        <v>34</v>
      </c>
      <c r="G570" s="362">
        <v>46241.0</v>
      </c>
      <c r="H570" s="193" t="s">
        <v>632</v>
      </c>
      <c r="I570" s="193" t="s">
        <v>634</v>
      </c>
      <c r="J570" s="193" t="s">
        <v>635</v>
      </c>
      <c r="K570" s="193" t="s">
        <v>636</v>
      </c>
      <c r="L570" s="193" t="s">
        <v>240</v>
      </c>
      <c r="M570" s="193" t="s">
        <v>641</v>
      </c>
      <c r="N570" s="193" t="s">
        <v>644</v>
      </c>
      <c r="O570" s="193"/>
      <c r="P570" s="359">
        <v>46253.78175476852</v>
      </c>
      <c r="Q570" s="193"/>
      <c r="R570" s="193"/>
      <c r="S570" s="193"/>
      <c r="T570" s="193">
        <v>1.891511309E9</v>
      </c>
    </row>
  </sheetData>
  <conditionalFormatting sqref="A1:U134">
    <cfRule type="expression" dxfId="4" priority="1" stopIfTrue="1">
      <formula>OR($C1="Follow Up", $C1="Contract Sent")</formula>
    </cfRule>
  </conditionalFormatting>
  <conditionalFormatting sqref="A1:U134">
    <cfRule type="expression" dxfId="5" priority="2" stopIfTrue="1">
      <formula>OR($C1="NOT READY", $C1="No - Show / Callback")</formula>
    </cfRule>
  </conditionalFormatting>
  <conditionalFormatting sqref="A1:U134">
    <cfRule type="expression" dxfId="6" priority="3" stopIfTrue="1">
      <formula>OR($C1="DNC", $C1="NI", $C1="No Medicare")</formula>
    </cfRule>
  </conditionalFormatting>
  <conditionalFormatting sqref="A1:U134">
    <cfRule type="expression" dxfId="7" priority="4" stopIfTrue="1">
      <formula>$C1="Onboarded"</formula>
    </cfRule>
  </conditionalFormatting>
  <drawing r:id="rId1"/>
</worksheet>
</file>