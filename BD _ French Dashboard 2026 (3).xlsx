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orce" sheetId="1" r:id="rId5"/>
    <sheet state="visible" name="Attendance" sheetId="2" r:id="rId6"/>
    <sheet state="visible" name="Key" sheetId="3" r:id="rId7"/>
    <sheet state="visible" name="Spiffs &amp; Deduction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69">
      <text>
        <t xml:space="preserve">she didn't text in the whole day </t>
      </text>
    </comment>
    <comment authorId="0" ref="H95">
      <text>
        <t xml:space="preserve">Excused leave at 10:35
</t>
      </text>
    </comment>
    <comment authorId="0" ref="Z95">
      <text>
        <t xml:space="preserve">IN: 4:55 pm
</t>
      </text>
    </comment>
    <comment authorId="0" ref="K79">
      <text>
        <t xml:space="preserve">left 10:22pm took an excuse for sickness</t>
      </text>
    </comment>
  </commentList>
</comments>
</file>

<file path=xl/sharedStrings.xml><?xml version="1.0" encoding="utf-8"?>
<sst xmlns="http://schemas.openxmlformats.org/spreadsheetml/2006/main" count="2083" uniqueCount="57">
  <si>
    <t>Agent Name</t>
  </si>
  <si>
    <t>Position</t>
  </si>
  <si>
    <t>Start Date</t>
  </si>
  <si>
    <t>Ben Arthur</t>
  </si>
  <si>
    <t>Full-Time</t>
  </si>
  <si>
    <t>Jimmy Pearson</t>
  </si>
  <si>
    <t>Kaity James</t>
  </si>
  <si>
    <t>Part-Time</t>
  </si>
  <si>
    <t>Selene Myles</t>
  </si>
  <si>
    <t xml:space="preserve">Mohamed </t>
  </si>
  <si>
    <t>Malak El Khateeb</t>
  </si>
  <si>
    <t>Caroline Richards</t>
  </si>
  <si>
    <t>Rick Nelson</t>
  </si>
  <si>
    <t>Nora Atkins</t>
  </si>
  <si>
    <t>Jasmine Green</t>
  </si>
  <si>
    <t>ATTENDANCE KEY</t>
  </si>
  <si>
    <t>P</t>
  </si>
  <si>
    <t>Present</t>
  </si>
  <si>
    <t>L1</t>
  </si>
  <si>
    <t>Late  (Deduction 25)</t>
  </si>
  <si>
    <t>L2</t>
  </si>
  <si>
    <t>Late  (Deduction 50)</t>
  </si>
  <si>
    <t>Q</t>
  </si>
  <si>
    <t>Quarter day deduction (3/4 day Present)</t>
  </si>
  <si>
    <t>H</t>
  </si>
  <si>
    <t>Half day</t>
  </si>
  <si>
    <t>A</t>
  </si>
  <si>
    <t>Spiffs</t>
  </si>
  <si>
    <t>Month</t>
  </si>
  <si>
    <t>Excused Absence</t>
  </si>
  <si>
    <t>N</t>
  </si>
  <si>
    <t>No Show No call (unexcused absence)</t>
  </si>
  <si>
    <t>D</t>
  </si>
  <si>
    <t>Double paid</t>
  </si>
  <si>
    <t>T</t>
  </si>
  <si>
    <t>Deductions</t>
  </si>
  <si>
    <t>Training</t>
  </si>
  <si>
    <t>-</t>
  </si>
  <si>
    <t>Unemployed (before/after employment)</t>
  </si>
  <si>
    <t>Agent  Name</t>
  </si>
  <si>
    <t>Off</t>
  </si>
  <si>
    <t>Amount</t>
  </si>
  <si>
    <t>Paid / Unpaid</t>
  </si>
  <si>
    <t>Off (week-ends/holidays)</t>
  </si>
  <si>
    <t>Description</t>
  </si>
  <si>
    <t>Date</t>
  </si>
  <si>
    <t xml:space="preserve">Present </t>
  </si>
  <si>
    <t>Late</t>
  </si>
  <si>
    <t>Absent</t>
  </si>
  <si>
    <t>N.S.N.C.</t>
  </si>
  <si>
    <t>Day</t>
  </si>
  <si>
    <t>All</t>
  </si>
  <si>
    <t>Paid</t>
  </si>
  <si>
    <t>Youseef (New comer)</t>
  </si>
  <si>
    <t>Mustafa Adel</t>
  </si>
  <si>
    <t>Kaity James 
(Part-time)</t>
  </si>
  <si>
    <t>6;30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</si>
</sst>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ddd"/>
    <numFmt numFmtId="166" formatCode="m/d"/>
  </numFmts>
  <fonts count="2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303F9F"/>
      <name val="Roboto"/>
    </font>
    <font>
      <b/>
      <strike/>
      <sz val="12.0"/>
      <color theme="1"/>
      <name val="Arial"/>
      <scheme val="minor"/>
    </font>
    <font>
      <strike/>
      <color theme="1"/>
      <name val="Arial"/>
      <scheme val="minor"/>
    </font>
    <font>
      <b/>
      <color rgb="FF303F9F"/>
      <name val="Roboto"/>
    </font>
    <font>
      <b/>
      <color rgb="FF434343"/>
      <name val="Roboto"/>
    </font>
    <font>
      <color rgb="FF434343"/>
      <name val="Roboto"/>
    </font>
    <font>
      <sz val="9.0"/>
      <color rgb="FF1F1F1F"/>
      <name val="Arial"/>
    </font>
    <font>
      <sz val="9.0"/>
      <color rgb="FFFFFFFF"/>
      <name val="Roboto"/>
    </font>
    <font>
      <b/>
      <i/>
      <sz val="9.0"/>
      <color rgb="FFC5CAE9"/>
      <name val="&quot;Roboto Condensed&quot;"/>
    </font>
    <font/>
    <font>
      <color theme="1"/>
      <name val="Arial"/>
    </font>
    <font>
      <b/>
      <sz val="12.0"/>
      <color rgb="FF000000"/>
      <name val="Roboto"/>
    </font>
    <font>
      <sz val="12.0"/>
      <color rgb="FF000000"/>
      <name val="Roboto"/>
    </font>
    <font>
      <color rgb="FF000000"/>
      <name val="Arial"/>
    </font>
    <font>
      <b/>
      <i/>
      <sz val="12.0"/>
      <color rgb="FF000000"/>
      <name val="Roboto"/>
    </font>
    <font>
      <color rgb="FF000000"/>
      <name val="Arial"/>
      <scheme val="minor"/>
    </font>
    <font>
      <b/>
      <sz val="12.0"/>
      <color theme="1"/>
      <name val="Roboto"/>
    </font>
    <font>
      <b/>
      <color theme="1"/>
      <name val="Arial"/>
    </font>
    <font>
      <color theme="1"/>
      <name val="Roboto"/>
    </font>
    <font>
      <sz val="12.0"/>
      <color theme="1"/>
      <name val="Roboto"/>
    </font>
    <font>
      <sz val="11.0"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2A3990"/>
        <bgColor rgb="FF2A3990"/>
      </patternFill>
    </fill>
    <fill>
      <patternFill patternType="solid">
        <fgColor rgb="FF26A69A"/>
        <bgColor rgb="FF26A69A"/>
      </patternFill>
    </fill>
    <fill>
      <patternFill patternType="solid">
        <fgColor rgb="FFD9EAD3"/>
        <bgColor rgb="FFD9EAD3"/>
      </patternFill>
    </fill>
    <fill>
      <patternFill patternType="solid">
        <fgColor rgb="FFDDF2F0"/>
        <bgColor rgb="FFDDF2F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303F9F"/>
        <bgColor rgb="FF303F9F"/>
      </patternFill>
    </fill>
    <fill>
      <patternFill patternType="solid">
        <fgColor rgb="FF00FF00"/>
        <bgColor rgb="FF00FF00"/>
      </patternFill>
    </fill>
  </fills>
  <borders count="4">
    <border/>
    <border>
      <bottom style="thin">
        <color rgb="FFFFFFFF"/>
      </bottom>
    </border>
    <border>
      <bottom style="thin">
        <color rgb="FF303F9F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4" xfId="0" applyAlignment="1" applyFont="1" applyNumberFormat="1">
      <alignment readingOrder="0"/>
    </xf>
    <xf borderId="1" fillId="0" fontId="4" numFmtId="164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14" xfId="0" applyAlignment="1" applyFont="1" applyNumberFormat="1">
      <alignment readingOrder="0"/>
    </xf>
    <xf borderId="0" fillId="0" fontId="6" numFmtId="0" xfId="0" applyFont="1"/>
    <xf borderId="0" fillId="0" fontId="3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2" fontId="10" numFmtId="0" xfId="0" applyAlignment="1" applyFill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8" numFmtId="0" xfId="0" applyAlignment="1" applyFill="1" applyFont="1">
      <alignment horizontal="center"/>
    </xf>
    <xf borderId="0" fillId="4" fontId="11" numFmtId="0" xfId="0" applyAlignment="1" applyFill="1" applyFont="1">
      <alignment horizontal="center" readingOrder="0" vertical="center"/>
    </xf>
    <xf borderId="2" fillId="4" fontId="12" numFmtId="0" xfId="0" applyAlignment="1" applyBorder="1" applyFill="1" applyFont="1">
      <alignment horizontal="center" vertical="center"/>
    </xf>
    <xf borderId="2" fillId="0" fontId="13" numFmtId="0" xfId="0" applyBorder="1" applyFont="1"/>
    <xf borderId="0" fillId="4" fontId="12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3" fontId="14" numFmtId="164" xfId="0" applyAlignment="1" applyFill="1" applyFont="1" applyNumberForma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5" fontId="15" numFmtId="0" xfId="0" applyAlignment="1" applyFill="1" applyFont="1">
      <alignment horizontal="center" shrinkToFit="0" vertical="center" wrapText="1"/>
    </xf>
    <xf borderId="3" fillId="5" fontId="16" numFmtId="165" xfId="0" applyAlignment="1" applyBorder="1" applyFill="1" applyFont="1" applyNumberFormat="1">
      <alignment horizontal="center" vertical="center"/>
    </xf>
    <xf borderId="0" fillId="3" fontId="17" numFmtId="165" xfId="0" applyAlignment="1" applyFill="1" applyFont="1" applyNumberFormat="1">
      <alignment horizontal="center" vertical="center"/>
    </xf>
    <xf borderId="0" fillId="2" fontId="18" numFmtId="0" xfId="0" applyAlignment="1" applyFill="1" applyFont="1">
      <alignment horizontal="center" vertical="center"/>
    </xf>
    <xf borderId="0" fillId="2" fontId="18" numFmtId="0" xfId="0" applyAlignment="1" applyFill="1" applyFont="1">
      <alignment horizontal="center" readingOrder="0" vertical="center"/>
    </xf>
    <xf borderId="0" fillId="2" fontId="19" numFmtId="0" xfId="0" applyAlignment="1" applyFill="1" applyFont="1">
      <alignment horizontal="center" readingOrder="0" vertical="center"/>
    </xf>
    <xf borderId="0" fillId="2" fontId="20" numFmtId="0" xfId="0" applyAlignment="1" applyFill="1" applyFont="1">
      <alignment horizontal="center" vertical="center"/>
    </xf>
    <xf borderId="0" fillId="6" fontId="21" numFmtId="0" xfId="0" applyAlignment="1" applyFill="1" applyFont="1">
      <alignment horizontal="center" readingOrder="0" vertical="center"/>
    </xf>
    <xf borderId="0" fillId="2" fontId="14" numFmtId="0" xfId="0" applyAlignment="1" applyFill="1" applyFont="1">
      <alignment horizontal="center" readingOrder="0" vertical="center"/>
    </xf>
    <xf borderId="0" fillId="3" fontId="14" numFmtId="0" xfId="0" applyAlignment="1" applyFill="1" applyFont="1">
      <alignment horizontal="center" vertical="center"/>
    </xf>
    <xf borderId="0" fillId="2" fontId="22" numFmtId="0" xfId="0" applyAlignment="1" applyFill="1" applyFont="1">
      <alignment horizontal="center" vertical="center"/>
    </xf>
    <xf borderId="0" fillId="7" fontId="20" numFmtId="0" xfId="0" applyAlignment="1" applyFill="1" applyFont="1">
      <alignment horizontal="center" vertical="center"/>
    </xf>
    <xf borderId="0" fillId="7" fontId="14" numFmtId="0" xfId="0" applyAlignment="1" applyFill="1" applyFont="1">
      <alignment horizontal="center" readingOrder="0" vertical="center"/>
    </xf>
    <xf borderId="0" fillId="8" fontId="21" numFmtId="0" xfId="0" applyAlignment="1" applyFill="1" applyFont="1">
      <alignment horizontal="center" readingOrder="0" vertical="center"/>
    </xf>
    <xf borderId="0" fillId="9" fontId="23" numFmtId="0" xfId="0" applyAlignment="1" applyFill="1" applyFont="1">
      <alignment horizontal="center" vertical="center"/>
    </xf>
    <xf borderId="0" fillId="9" fontId="14" numFmtId="0" xfId="0" applyAlignment="1" applyFill="1" applyFont="1">
      <alignment horizontal="center" vertical="center"/>
    </xf>
    <xf borderId="0" fillId="9" fontId="22" numFmtId="0" xfId="0" applyAlignment="1" applyFill="1" applyFont="1">
      <alignment horizontal="center" vertical="center"/>
    </xf>
    <xf borderId="0" fillId="9" fontId="3" numFmtId="0" xfId="0" applyAlignment="1" applyFill="1" applyFont="1">
      <alignment horizontal="center" vertical="center"/>
    </xf>
    <xf borderId="2" fillId="7" fontId="13" numFmtId="0" xfId="0" applyBorder="1" applyFill="1" applyFont="1"/>
    <xf borderId="1" fillId="2" fontId="4" numFmtId="164" xfId="0" applyAlignment="1" applyBorder="1" applyFill="1" applyFont="1" applyNumberFormat="1">
      <alignment horizontal="center" readingOrder="0" vertical="center"/>
    </xf>
    <xf borderId="0" fillId="10" fontId="15" numFmtId="0" xfId="0" applyAlignment="1" applyFill="1" applyFont="1">
      <alignment horizontal="center" shrinkToFit="0" vertical="center" wrapText="1"/>
    </xf>
    <xf borderId="3" fillId="10" fontId="16" numFmtId="165" xfId="0" applyAlignment="1" applyBorder="1" applyFill="1" applyFont="1" applyNumberFormat="1">
      <alignment horizontal="center" vertical="center"/>
    </xf>
    <xf borderId="0" fillId="10" fontId="18" numFmtId="0" xfId="0" applyAlignment="1" applyFill="1" applyFont="1">
      <alignment horizontal="center" vertical="center"/>
    </xf>
    <xf borderId="0" fillId="10" fontId="18" numFmtId="0" xfId="0" applyAlignment="1" applyFill="1" applyFont="1">
      <alignment horizontal="center" readingOrder="0" vertical="center"/>
    </xf>
    <xf borderId="0" fillId="10" fontId="19" numFmtId="0" xfId="0" applyAlignment="1" applyFill="1" applyFont="1">
      <alignment horizontal="center" readingOrder="0" vertical="center"/>
    </xf>
    <xf borderId="0" fillId="2" fontId="15" numFmtId="0" xfId="0" applyAlignment="1" applyFill="1" applyFont="1">
      <alignment horizontal="center" vertical="center"/>
    </xf>
    <xf borderId="0" fillId="7" fontId="15" numFmtId="0" xfId="0" applyAlignment="1" applyFill="1" applyFont="1">
      <alignment horizontal="center" vertical="center"/>
    </xf>
    <xf borderId="0" fillId="2" fontId="15" numFmtId="0" xfId="0" applyAlignment="1" applyFill="1" applyFont="1">
      <alignment horizontal="center" readingOrder="0" vertical="center"/>
    </xf>
    <xf borderId="0" fillId="7" fontId="15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9" fontId="3" numFmtId="0" xfId="0" applyAlignment="1" applyFill="1" applyFont="1">
      <alignment horizontal="center" readingOrder="0" vertical="center"/>
    </xf>
    <xf borderId="0" fillId="9" fontId="21" numFmtId="0" xfId="0" applyAlignment="1" applyFill="1" applyFont="1">
      <alignment horizontal="center" readingOrder="0" vertical="center"/>
    </xf>
    <xf borderId="0" fillId="11" fontId="11" numFmtId="0" xfId="0" applyAlignment="1" applyFill="1" applyFont="1">
      <alignment horizontal="center" readingOrder="0" vertical="center"/>
    </xf>
    <xf borderId="0" fillId="11" fontId="24" numFmtId="166" xfId="0" applyAlignment="1" applyFill="1" applyFont="1" applyNumberFormat="1">
      <alignment horizontal="center" readingOrder="0" vertical="center"/>
    </xf>
    <xf borderId="0" fillId="11" fontId="3" numFmtId="0" xfId="0" applyAlignment="1" applyFill="1" applyFont="1">
      <alignment horizontal="center" vertical="center"/>
    </xf>
    <xf borderId="0" fillId="7" fontId="4" numFmtId="0" xfId="0" applyAlignment="1" applyFill="1" applyFont="1">
      <alignment horizontal="center" vertical="center"/>
    </xf>
    <xf borderId="1" fillId="7" fontId="4" numFmtId="164" xfId="0" applyAlignment="1" applyBorder="1" applyFill="1" applyFont="1" applyNumberFormat="1">
      <alignment horizontal="center" readingOrder="0" vertical="center"/>
    </xf>
    <xf borderId="0" fillId="10" fontId="3" numFmtId="0" xfId="0" applyAlignment="1" applyFill="1" applyFont="1">
      <alignment horizontal="center" vertical="center"/>
    </xf>
    <xf borderId="0" fillId="7" fontId="3" numFmtId="0" xfId="0" applyAlignment="1" applyFill="1" applyFont="1">
      <alignment horizontal="center" vertical="center"/>
    </xf>
    <xf borderId="0" fillId="8" fontId="15" numFmtId="0" xfId="0" applyAlignment="1" applyFill="1" applyFont="1">
      <alignment horizontal="center" vertical="center"/>
    </xf>
    <xf borderId="0" fillId="8" fontId="3" numFmtId="0" xfId="0" applyAlignment="1" applyFill="1" applyFont="1">
      <alignment horizontal="center" readingOrder="0" vertical="center"/>
    </xf>
    <xf borderId="0" fillId="8" fontId="3" numFmtId="0" xfId="0" applyAlignment="1" applyFill="1" applyFont="1">
      <alignment horizontal="center" vertical="center"/>
    </xf>
    <xf borderId="0" fillId="8" fontId="15" numFmtId="0" xfId="0" applyAlignment="1" applyFill="1" applyFont="1">
      <alignment horizontal="center" readingOrder="0" vertical="center"/>
    </xf>
    <xf borderId="0" fillId="12" fontId="15" numFmtId="0" xfId="0" applyAlignment="1" applyFill="1" applyFont="1">
      <alignment horizontal="center" readingOrder="0" vertical="center"/>
    </xf>
    <xf borderId="0" fillId="2" fontId="3" numFmtId="20" xfId="0" applyAlignment="1" applyFill="1" applyFont="1" applyNumberFormat="1">
      <alignment horizontal="center" readingOrder="0" vertical="center"/>
    </xf>
    <xf borderId="0" fillId="7" fontId="3" numFmtId="20" xfId="0" applyAlignment="1" applyFill="1" applyFont="1" applyNumberFormat="1">
      <alignment horizontal="center" readingOrder="0" vertic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76A5AF"/>
          <bgColor rgb="FF76A5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A2C4C9"/>
      </a:lt1>
      <a:dk2>
        <a:srgbClr val="264540"/>
      </a:dk2>
      <a:lt2>
        <a:srgbClr val="A2C4C9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15.75"/>
    <col customWidth="1" min="3" max="3" width="20.75"/>
  </cols>
  <sheetData>
    <row r="1" ht="31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/>
    </row>
    <row r="3">
      <c r="A3" s="3" t="s">
        <v>5</v>
      </c>
      <c r="B3" s="4" t="s">
        <v>4</v>
      </c>
      <c r="C3" s="5"/>
    </row>
    <row r="4">
      <c r="A4" s="3" t="s">
        <v>6</v>
      </c>
      <c r="B4" s="4" t="s">
        <v>7</v>
      </c>
      <c r="C4" s="6">
        <v>46262.0</v>
      </c>
    </row>
    <row r="5">
      <c r="A5" s="3" t="s">
        <v>8</v>
      </c>
      <c r="B5" s="4" t="s">
        <v>4</v>
      </c>
      <c r="C5" s="5"/>
    </row>
    <row r="6">
      <c r="A6" s="3" t="s">
        <v>9</v>
      </c>
      <c r="B6" s="4" t="s">
        <v>4</v>
      </c>
      <c r="C6" s="5"/>
    </row>
    <row r="7">
      <c r="A7" s="7" t="s">
        <v>10</v>
      </c>
      <c r="B7" s="8" t="s">
        <v>4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11</v>
      </c>
      <c r="B8" s="8" t="s">
        <v>4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3" t="s">
        <v>12</v>
      </c>
      <c r="B9" s="4" t="s">
        <v>4</v>
      </c>
      <c r="C9" s="5"/>
    </row>
    <row r="10">
      <c r="A10" s="3" t="s">
        <v>13</v>
      </c>
      <c r="B10" s="4" t="s">
        <v>4</v>
      </c>
      <c r="C10" s="5"/>
    </row>
    <row r="11">
      <c r="A11" s="3" t="s">
        <v>14</v>
      </c>
      <c r="B11" s="4" t="s">
        <v>4</v>
      </c>
      <c r="C11" s="5"/>
    </row>
    <row r="12">
      <c r="A12" s="3"/>
      <c r="B12" s="11"/>
      <c r="C12" s="5"/>
    </row>
    <row r="13">
      <c r="A13" s="3"/>
      <c r="B13" s="11"/>
      <c r="C13" s="5"/>
    </row>
    <row r="14">
      <c r="A14" s="3"/>
      <c r="B14" s="11"/>
      <c r="C14" s="5"/>
    </row>
    <row r="15">
      <c r="A15" s="3"/>
      <c r="B15" s="11"/>
      <c r="C15" s="5"/>
    </row>
    <row r="16">
      <c r="A16" s="3"/>
      <c r="B16" s="11"/>
      <c r="C16" s="5"/>
    </row>
    <row r="17">
      <c r="A17" s="3"/>
      <c r="B17" s="11"/>
      <c r="C17" s="5"/>
    </row>
    <row r="18">
      <c r="A18" s="3"/>
      <c r="B18" s="11"/>
      <c r="C18" s="5"/>
    </row>
    <row r="19">
      <c r="A19" s="3"/>
      <c r="B19" s="11"/>
      <c r="C19" s="5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ataValidations>
    <dataValidation type="list" allowBlank="1" showErrorMessage="1" sqref="B2:B1000">
      <formula1>"Full-Time,Part-Time,Senior-Agent,Team Leader"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0.38"/>
    <col customWidth="1" min="33" max="33" width="4.0"/>
  </cols>
  <sheetData>
    <row r="1">
      <c r="A1" s="22" t="s">
        <v>28</v>
      </c>
      <c r="B1" s="23" t="str">
        <f>iferror(concatenate("
  Enter ", 'Attendance key'!$B$6, " for ",'Attendance key'!$C$6, ", ", 'Attendance key'!$B$7, " for ", 'Attendance key'!$C$7, ", ", 'Attendance key'!$B$8, " for ", 'Attendance key'!$C$8, ", and ", 'Attendance key'!$B$9, " for ", 'Attendance key'!$C$9, ". Use the 'Attendance key' tab to customize. 
"),"")</f>
        <v/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  <c r="AG1" s="19"/>
      <c r="AR1" s="26"/>
      <c r="AS1" s="26"/>
      <c r="AT1" s="26"/>
      <c r="AU1" s="26"/>
    </row>
    <row r="2">
      <c r="A2" s="27" t="s">
        <v>45</v>
      </c>
      <c r="B2" s="6">
        <v>46019.0</v>
      </c>
      <c r="C2" s="6">
        <f t="shared" ref="C2:AF2" si="1">B2+1</f>
        <v>46020</v>
      </c>
      <c r="D2" s="6">
        <f t="shared" si="1"/>
        <v>46021</v>
      </c>
      <c r="E2" s="6">
        <f t="shared" si="1"/>
        <v>46022</v>
      </c>
      <c r="F2" s="6">
        <f t="shared" si="1"/>
        <v>46023</v>
      </c>
      <c r="G2" s="6">
        <f t="shared" si="1"/>
        <v>46024</v>
      </c>
      <c r="H2" s="6">
        <f t="shared" si="1"/>
        <v>46025</v>
      </c>
      <c r="I2" s="6">
        <f t="shared" si="1"/>
        <v>46026</v>
      </c>
      <c r="J2" s="6">
        <f t="shared" si="1"/>
        <v>46027</v>
      </c>
      <c r="K2" s="6">
        <f t="shared" si="1"/>
        <v>46028</v>
      </c>
      <c r="L2" s="6">
        <f t="shared" si="1"/>
        <v>46029</v>
      </c>
      <c r="M2" s="6">
        <f t="shared" si="1"/>
        <v>46030</v>
      </c>
      <c r="N2" s="6">
        <f t="shared" si="1"/>
        <v>46031</v>
      </c>
      <c r="O2" s="6">
        <f t="shared" si="1"/>
        <v>46032</v>
      </c>
      <c r="P2" s="6">
        <f t="shared" si="1"/>
        <v>46033</v>
      </c>
      <c r="Q2" s="6">
        <f t="shared" si="1"/>
        <v>46034</v>
      </c>
      <c r="R2" s="6">
        <f t="shared" si="1"/>
        <v>46035</v>
      </c>
      <c r="S2" s="6">
        <f t="shared" si="1"/>
        <v>46036</v>
      </c>
      <c r="T2" s="6">
        <f t="shared" si="1"/>
        <v>46037</v>
      </c>
      <c r="U2" s="6">
        <f t="shared" si="1"/>
        <v>46038</v>
      </c>
      <c r="V2" s="6">
        <f t="shared" si="1"/>
        <v>46039</v>
      </c>
      <c r="W2" s="6">
        <f t="shared" si="1"/>
        <v>46040</v>
      </c>
      <c r="X2" s="6">
        <f t="shared" si="1"/>
        <v>46041</v>
      </c>
      <c r="Y2" s="6">
        <f t="shared" si="1"/>
        <v>46042</v>
      </c>
      <c r="Z2" s="6">
        <f t="shared" si="1"/>
        <v>46043</v>
      </c>
      <c r="AA2" s="6">
        <f t="shared" si="1"/>
        <v>46044</v>
      </c>
      <c r="AB2" s="6">
        <f t="shared" si="1"/>
        <v>46045</v>
      </c>
      <c r="AC2" s="6">
        <f t="shared" si="1"/>
        <v>46046</v>
      </c>
      <c r="AD2" s="6">
        <f t="shared" si="1"/>
        <v>46047</v>
      </c>
      <c r="AE2" s="6">
        <f t="shared" si="1"/>
        <v>46048</v>
      </c>
      <c r="AF2" s="6">
        <f t="shared" si="1"/>
        <v>46049</v>
      </c>
      <c r="AG2" s="28"/>
      <c r="AH2" s="29" t="s">
        <v>46</v>
      </c>
      <c r="AI2" s="29" t="s">
        <v>47</v>
      </c>
      <c r="AK2" s="30" t="s">
        <v>40</v>
      </c>
      <c r="AN2" s="29" t="s">
        <v>33</v>
      </c>
      <c r="AO2" s="30" t="s">
        <v>48</v>
      </c>
      <c r="AP2" s="30" t="s">
        <v>49</v>
      </c>
      <c r="AQ2" s="29" t="s">
        <v>36</v>
      </c>
      <c r="AR2" s="31" t="s">
        <v>27</v>
      </c>
      <c r="AT2" s="31" t="s">
        <v>35</v>
      </c>
      <c r="AU2" s="29"/>
    </row>
    <row r="3">
      <c r="A3" s="32" t="s">
        <v>50</v>
      </c>
      <c r="B3" s="33">
        <f t="shared" ref="B3:AG3" si="2">B2</f>
        <v>46019</v>
      </c>
      <c r="C3" s="33">
        <f t="shared" si="2"/>
        <v>46020</v>
      </c>
      <c r="D3" s="33">
        <f t="shared" si="2"/>
        <v>46021</v>
      </c>
      <c r="E3" s="33">
        <f t="shared" si="2"/>
        <v>46022</v>
      </c>
      <c r="F3" s="33">
        <f t="shared" si="2"/>
        <v>46023</v>
      </c>
      <c r="G3" s="33">
        <f t="shared" si="2"/>
        <v>46024</v>
      </c>
      <c r="H3" s="33">
        <f t="shared" si="2"/>
        <v>46025</v>
      </c>
      <c r="I3" s="33">
        <f t="shared" si="2"/>
        <v>46026</v>
      </c>
      <c r="J3" s="33">
        <f t="shared" si="2"/>
        <v>46027</v>
      </c>
      <c r="K3" s="33">
        <f t="shared" si="2"/>
        <v>46028</v>
      </c>
      <c r="L3" s="33">
        <f t="shared" si="2"/>
        <v>46029</v>
      </c>
      <c r="M3" s="33">
        <f t="shared" si="2"/>
        <v>46030</v>
      </c>
      <c r="N3" s="33">
        <f t="shared" si="2"/>
        <v>46031</v>
      </c>
      <c r="O3" s="33">
        <f t="shared" si="2"/>
        <v>46032</v>
      </c>
      <c r="P3" s="33">
        <f t="shared" si="2"/>
        <v>46033</v>
      </c>
      <c r="Q3" s="33">
        <f t="shared" si="2"/>
        <v>46034</v>
      </c>
      <c r="R3" s="33">
        <f t="shared" si="2"/>
        <v>46035</v>
      </c>
      <c r="S3" s="33">
        <f t="shared" si="2"/>
        <v>46036</v>
      </c>
      <c r="T3" s="33">
        <f t="shared" si="2"/>
        <v>46037</v>
      </c>
      <c r="U3" s="33">
        <f t="shared" si="2"/>
        <v>46038</v>
      </c>
      <c r="V3" s="33">
        <f t="shared" si="2"/>
        <v>46039</v>
      </c>
      <c r="W3" s="33">
        <f t="shared" si="2"/>
        <v>46040</v>
      </c>
      <c r="X3" s="33">
        <f t="shared" si="2"/>
        <v>46041</v>
      </c>
      <c r="Y3" s="33">
        <f t="shared" si="2"/>
        <v>46042</v>
      </c>
      <c r="Z3" s="33">
        <f t="shared" si="2"/>
        <v>46043</v>
      </c>
      <c r="AA3" s="33">
        <f t="shared" si="2"/>
        <v>46044</v>
      </c>
      <c r="AB3" s="33">
        <f t="shared" si="2"/>
        <v>46045</v>
      </c>
      <c r="AC3" s="33">
        <f t="shared" si="2"/>
        <v>46046</v>
      </c>
      <c r="AD3" s="33">
        <f t="shared" si="2"/>
        <v>46047</v>
      </c>
      <c r="AE3" s="33">
        <f t="shared" si="2"/>
        <v>46048</v>
      </c>
      <c r="AF3" s="33">
        <f t="shared" si="2"/>
        <v>46049</v>
      </c>
      <c r="AG3" s="34" t="str">
        <f t="shared" si="2"/>
        <v/>
      </c>
      <c r="AH3" s="35" t="s">
        <v>16</v>
      </c>
      <c r="AI3" s="36" t="s">
        <v>18</v>
      </c>
      <c r="AJ3" s="35" t="s">
        <v>20</v>
      </c>
      <c r="AK3" s="35" t="s">
        <v>22</v>
      </c>
      <c r="AL3" s="35" t="s">
        <v>24</v>
      </c>
      <c r="AM3" s="36" t="s">
        <v>40</v>
      </c>
      <c r="AN3" s="35" t="s">
        <v>32</v>
      </c>
      <c r="AO3" s="36" t="s">
        <v>26</v>
      </c>
      <c r="AP3" s="35" t="s">
        <v>30</v>
      </c>
      <c r="AQ3" s="36" t="s">
        <v>34</v>
      </c>
      <c r="AR3" s="37" t="s">
        <v>51</v>
      </c>
      <c r="AS3" s="37" t="s">
        <v>52</v>
      </c>
      <c r="AU3" s="35"/>
    </row>
    <row r="4">
      <c r="A4" s="38" t="str">
        <f>Workforce!A2</f>
        <v>Ben Arthur</v>
      </c>
      <c r="B4" s="39" t="s">
        <v>40</v>
      </c>
      <c r="C4" s="39" t="s">
        <v>40</v>
      </c>
      <c r="D4" s="39" t="s">
        <v>40</v>
      </c>
      <c r="E4" s="39" t="s">
        <v>40</v>
      </c>
      <c r="F4" s="39" t="s">
        <v>40</v>
      </c>
      <c r="G4" s="39" t="s">
        <v>40</v>
      </c>
      <c r="H4" s="39" t="s">
        <v>40</v>
      </c>
      <c r="I4" s="39" t="s">
        <v>40</v>
      </c>
      <c r="J4" s="40" t="s">
        <v>24</v>
      </c>
      <c r="K4" s="40" t="s">
        <v>24</v>
      </c>
      <c r="L4" s="40" t="s">
        <v>16</v>
      </c>
      <c r="M4" s="40" t="s">
        <v>24</v>
      </c>
      <c r="N4" s="40" t="s">
        <v>16</v>
      </c>
      <c r="O4" s="39" t="s">
        <v>40</v>
      </c>
      <c r="P4" s="39" t="s">
        <v>40</v>
      </c>
      <c r="Q4" s="40" t="s">
        <v>16</v>
      </c>
      <c r="R4" s="40" t="s">
        <v>24</v>
      </c>
      <c r="S4" s="40" t="s">
        <v>16</v>
      </c>
      <c r="T4" s="40" t="s">
        <v>16</v>
      </c>
      <c r="U4" s="40" t="s">
        <v>16</v>
      </c>
      <c r="V4" s="39" t="s">
        <v>40</v>
      </c>
      <c r="W4" s="39" t="s">
        <v>40</v>
      </c>
      <c r="X4" s="40" t="s">
        <v>16</v>
      </c>
      <c r="Y4" s="40" t="s">
        <v>24</v>
      </c>
      <c r="Z4" s="40" t="s">
        <v>16</v>
      </c>
      <c r="AA4" s="40" t="s">
        <v>24</v>
      </c>
      <c r="AB4" s="40" t="s">
        <v>16</v>
      </c>
      <c r="AC4" s="39" t="s">
        <v>40</v>
      </c>
      <c r="AD4" s="39" t="s">
        <v>40</v>
      </c>
      <c r="AE4" s="40" t="s">
        <v>20</v>
      </c>
      <c r="AF4" s="40" t="s">
        <v>16</v>
      </c>
      <c r="AG4" s="41"/>
      <c r="AH4" s="42">
        <f t="shared" ref="AH4:AH11" si="3">(countif(B4:AG4,AH$3))+AI4+AJ4+(AL4*0.5)+(AK4*0.75)</f>
        <v>14</v>
      </c>
      <c r="AI4" s="42">
        <f t="shared" ref="AI4:AI11" si="4">countif(B4:AG4,$AI$3)</f>
        <v>0</v>
      </c>
      <c r="AJ4" s="42">
        <f t="shared" ref="AJ4:AJ11" si="5">countif(B4:AG4,AJ$3)</f>
        <v>1</v>
      </c>
      <c r="AK4" s="42">
        <f t="shared" ref="AK4:AK11" si="6">countif(B4:AG4,AK$3)</f>
        <v>0</v>
      </c>
      <c r="AL4" s="42">
        <f t="shared" ref="AL4:AL11" si="7">countif(B4:AG4,AL$3)</f>
        <v>6</v>
      </c>
      <c r="AM4" s="42">
        <f t="shared" ref="AM4:AM11" si="8">countif(B4:AG4,$AM$3)</f>
        <v>14</v>
      </c>
      <c r="AN4" s="42">
        <f t="shared" ref="AN4:AN11" si="9">countif(B4:AG4,AN$3)</f>
        <v>0</v>
      </c>
      <c r="AO4" s="42">
        <f t="shared" ref="AO4:AO11" si="10">(countif(B4:AL4,"A"))</f>
        <v>0</v>
      </c>
      <c r="AP4" s="42">
        <f t="shared" ref="AP4:AP11" si="11">countif(B4:AO4,AP$3)</f>
        <v>0</v>
      </c>
      <c r="AQ4" s="42">
        <f t="shared" ref="AQ4:AQ11" si="12">countif(B4:AP4,AQ$3)</f>
        <v>0</v>
      </c>
      <c r="AR4" s="26">
        <f>SUMIF('Spiffs &amp; Deductions'!A$3:A1005,A4,'Spiffs &amp; Deductions'!B$3:B1005)</f>
        <v>0</v>
      </c>
      <c r="AS4" s="26">
        <f>SUMIFs('Spiffs &amp; Deductions'!B$3:B1005,'Spiffs &amp; Deductions'!A$3:A1005,A4,'Spiffs &amp; Deductions'!C$3:C1005,$AS$3)</f>
        <v>0</v>
      </c>
      <c r="AT4" s="26">
        <f>SUMIF('Spiffs &amp; Deductions'!H$4:H1005,A4,'Spiffs &amp; Deductions'!I$4:I1005)</f>
        <v>0</v>
      </c>
      <c r="AU4" s="42"/>
    </row>
    <row r="5">
      <c r="A5" s="43" t="str">
        <f>Workforce!A3</f>
        <v>Jimmy Pearson</v>
      </c>
      <c r="B5" s="39" t="s">
        <v>40</v>
      </c>
      <c r="C5" s="39" t="s">
        <v>40</v>
      </c>
      <c r="D5" s="39" t="s">
        <v>40</v>
      </c>
      <c r="E5" s="39" t="s">
        <v>40</v>
      </c>
      <c r="F5" s="39" t="s">
        <v>40</v>
      </c>
      <c r="G5" s="39" t="s">
        <v>40</v>
      </c>
      <c r="H5" s="39" t="s">
        <v>40</v>
      </c>
      <c r="I5" s="39" t="s">
        <v>40</v>
      </c>
      <c r="J5" s="44" t="s">
        <v>16</v>
      </c>
      <c r="K5" s="44" t="s">
        <v>16</v>
      </c>
      <c r="L5" s="44" t="s">
        <v>16</v>
      </c>
      <c r="M5" s="44" t="s">
        <v>16</v>
      </c>
      <c r="N5" s="44" t="s">
        <v>16</v>
      </c>
      <c r="O5" s="39" t="s">
        <v>40</v>
      </c>
      <c r="P5" s="39" t="s">
        <v>40</v>
      </c>
      <c r="Q5" s="44" t="s">
        <v>16</v>
      </c>
      <c r="R5" s="44" t="s">
        <v>16</v>
      </c>
      <c r="S5" s="44" t="s">
        <v>16</v>
      </c>
      <c r="T5" s="44" t="s">
        <v>16</v>
      </c>
      <c r="U5" s="44" t="s">
        <v>16</v>
      </c>
      <c r="V5" s="39" t="s">
        <v>40</v>
      </c>
      <c r="W5" s="39" t="s">
        <v>40</v>
      </c>
      <c r="X5" s="44" t="s">
        <v>16</v>
      </c>
      <c r="Y5" s="44" t="s">
        <v>16</v>
      </c>
      <c r="Z5" s="44" t="s">
        <v>16</v>
      </c>
      <c r="AA5" s="44" t="s">
        <v>16</v>
      </c>
      <c r="AB5" s="44" t="s">
        <v>16</v>
      </c>
      <c r="AC5" s="39" t="s">
        <v>40</v>
      </c>
      <c r="AD5" s="39" t="s">
        <v>40</v>
      </c>
      <c r="AE5" s="44" t="s">
        <v>16</v>
      </c>
      <c r="AF5" s="44" t="s">
        <v>16</v>
      </c>
      <c r="AG5" s="41"/>
      <c r="AH5" s="42">
        <f t="shared" si="3"/>
        <v>17</v>
      </c>
      <c r="AI5" s="42">
        <f t="shared" si="4"/>
        <v>0</v>
      </c>
      <c r="AJ5" s="42">
        <f t="shared" si="5"/>
        <v>0</v>
      </c>
      <c r="AK5" s="42">
        <f t="shared" si="6"/>
        <v>0</v>
      </c>
      <c r="AL5" s="42">
        <f t="shared" si="7"/>
        <v>0</v>
      </c>
      <c r="AM5" s="42">
        <f t="shared" si="8"/>
        <v>14</v>
      </c>
      <c r="AN5" s="42">
        <f t="shared" si="9"/>
        <v>0</v>
      </c>
      <c r="AO5" s="42">
        <f t="shared" si="10"/>
        <v>0</v>
      </c>
      <c r="AP5" s="42">
        <f t="shared" si="11"/>
        <v>0</v>
      </c>
      <c r="AQ5" s="42">
        <f t="shared" si="12"/>
        <v>0</v>
      </c>
      <c r="AR5" s="26">
        <f>SUMIF('Spiffs &amp; Deductions'!A$3:A1005,A5,'Spiffs &amp; Deductions'!B$3:B1005)</f>
        <v>0</v>
      </c>
      <c r="AS5" s="26">
        <f>SUMIFs('Spiffs &amp; Deductions'!B$3:B1005,'Spiffs &amp; Deductions'!A$3:A1005,A5,'Spiffs &amp; Deductions'!C$3:C1005,$AS$3)</f>
        <v>0</v>
      </c>
      <c r="AT5" s="26">
        <f>SUMIF('Spiffs &amp; Deductions'!H$4:H1005,A5,'Spiffs &amp; Deductions'!I$4:I1005)</f>
        <v>0</v>
      </c>
      <c r="AU5" s="42"/>
    </row>
    <row r="6">
      <c r="A6" s="38" t="str">
        <f>Workforce!A4</f>
        <v>Kaity James</v>
      </c>
      <c r="B6" s="39" t="s">
        <v>40</v>
      </c>
      <c r="C6" s="39" t="s">
        <v>40</v>
      </c>
      <c r="D6" s="39" t="s">
        <v>40</v>
      </c>
      <c r="E6" s="39" t="s">
        <v>40</v>
      </c>
      <c r="F6" s="39" t="s">
        <v>40</v>
      </c>
      <c r="G6" s="39" t="s">
        <v>40</v>
      </c>
      <c r="H6" s="39" t="s">
        <v>40</v>
      </c>
      <c r="I6" s="39" t="s">
        <v>40</v>
      </c>
      <c r="J6" s="40" t="s">
        <v>16</v>
      </c>
      <c r="K6" s="40" t="s">
        <v>16</v>
      </c>
      <c r="L6" s="40" t="s">
        <v>16</v>
      </c>
      <c r="M6" s="40" t="s">
        <v>16</v>
      </c>
      <c r="N6" s="40" t="s">
        <v>16</v>
      </c>
      <c r="O6" s="39" t="s">
        <v>40</v>
      </c>
      <c r="P6" s="39" t="s">
        <v>40</v>
      </c>
      <c r="Q6" s="40" t="s">
        <v>16</v>
      </c>
      <c r="R6" s="40" t="s">
        <v>16</v>
      </c>
      <c r="S6" s="40" t="s">
        <v>16</v>
      </c>
      <c r="T6" s="40" t="s">
        <v>22</v>
      </c>
      <c r="U6" s="40" t="s">
        <v>16</v>
      </c>
      <c r="V6" s="39" t="s">
        <v>40</v>
      </c>
      <c r="W6" s="39" t="s">
        <v>40</v>
      </c>
      <c r="X6" s="40" t="s">
        <v>16</v>
      </c>
      <c r="Y6" s="40" t="s">
        <v>16</v>
      </c>
      <c r="Z6" s="40" t="s">
        <v>16</v>
      </c>
      <c r="AA6" s="40" t="s">
        <v>16</v>
      </c>
      <c r="AB6" s="40" t="s">
        <v>16</v>
      </c>
      <c r="AC6" s="39" t="s">
        <v>40</v>
      </c>
      <c r="AD6" s="39" t="s">
        <v>40</v>
      </c>
      <c r="AE6" s="40" t="s">
        <v>16</v>
      </c>
      <c r="AF6" s="40" t="s">
        <v>16</v>
      </c>
      <c r="AG6" s="41"/>
      <c r="AH6" s="42">
        <f t="shared" si="3"/>
        <v>16.75</v>
      </c>
      <c r="AI6" s="42">
        <f t="shared" si="4"/>
        <v>0</v>
      </c>
      <c r="AJ6" s="42">
        <f t="shared" si="5"/>
        <v>0</v>
      </c>
      <c r="AK6" s="42">
        <f t="shared" si="6"/>
        <v>1</v>
      </c>
      <c r="AL6" s="42">
        <f t="shared" si="7"/>
        <v>0</v>
      </c>
      <c r="AM6" s="42">
        <f t="shared" si="8"/>
        <v>14</v>
      </c>
      <c r="AN6" s="42">
        <f t="shared" si="9"/>
        <v>0</v>
      </c>
      <c r="AO6" s="42">
        <f t="shared" si="10"/>
        <v>0</v>
      </c>
      <c r="AP6" s="42">
        <f t="shared" si="11"/>
        <v>0</v>
      </c>
      <c r="AQ6" s="42">
        <f t="shared" si="12"/>
        <v>0</v>
      </c>
      <c r="AR6" s="26">
        <f>SUMIF('Spiffs &amp; Deductions'!A$3:A1005,A6,'Spiffs &amp; Deductions'!B$3:B1005)</f>
        <v>0</v>
      </c>
      <c r="AS6" s="26">
        <f>SUMIFs('Spiffs &amp; Deductions'!B$3:B1005,'Spiffs &amp; Deductions'!A$3:A1005,A6,'Spiffs &amp; Deductions'!C$3:C1005,$AS$3)</f>
        <v>0</v>
      </c>
      <c r="AT6" s="26">
        <f>SUMIF('Spiffs &amp; Deductions'!H$4:H1005,A6,'Spiffs &amp; Deductions'!I$4:I1005)</f>
        <v>0</v>
      </c>
      <c r="AU6" s="42"/>
    </row>
    <row r="7">
      <c r="A7" s="43" t="str">
        <f>Workforce!A5</f>
        <v>Selene Myles</v>
      </c>
      <c r="B7" s="39" t="s">
        <v>40</v>
      </c>
      <c r="C7" s="39" t="s">
        <v>40</v>
      </c>
      <c r="D7" s="39" t="s">
        <v>40</v>
      </c>
      <c r="E7" s="39" t="s">
        <v>40</v>
      </c>
      <c r="F7" s="39" t="s">
        <v>40</v>
      </c>
      <c r="G7" s="39" t="s">
        <v>40</v>
      </c>
      <c r="H7" s="39" t="s">
        <v>40</v>
      </c>
      <c r="I7" s="39" t="s">
        <v>40</v>
      </c>
      <c r="J7" s="44" t="s">
        <v>16</v>
      </c>
      <c r="K7" s="44" t="s">
        <v>16</v>
      </c>
      <c r="L7" s="44" t="s">
        <v>16</v>
      </c>
      <c r="M7" s="44" t="s">
        <v>16</v>
      </c>
      <c r="N7" s="44" t="s">
        <v>16</v>
      </c>
      <c r="O7" s="39" t="s">
        <v>40</v>
      </c>
      <c r="P7" s="39" t="s">
        <v>40</v>
      </c>
      <c r="Q7" s="44" t="s">
        <v>16</v>
      </c>
      <c r="R7" s="44" t="s">
        <v>16</v>
      </c>
      <c r="S7" s="44" t="s">
        <v>16</v>
      </c>
      <c r="T7" s="44" t="s">
        <v>16</v>
      </c>
      <c r="U7" s="44" t="s">
        <v>16</v>
      </c>
      <c r="V7" s="39" t="s">
        <v>40</v>
      </c>
      <c r="W7" s="39" t="s">
        <v>40</v>
      </c>
      <c r="X7" s="44" t="s">
        <v>16</v>
      </c>
      <c r="Y7" s="44" t="s">
        <v>16</v>
      </c>
      <c r="Z7" s="44" t="s">
        <v>16</v>
      </c>
      <c r="AA7" s="44" t="s">
        <v>16</v>
      </c>
      <c r="AB7" s="44" t="s">
        <v>16</v>
      </c>
      <c r="AC7" s="39" t="s">
        <v>40</v>
      </c>
      <c r="AD7" s="39" t="s">
        <v>40</v>
      </c>
      <c r="AE7" s="44" t="s">
        <v>16</v>
      </c>
      <c r="AF7" s="44" t="s">
        <v>16</v>
      </c>
      <c r="AG7" s="41"/>
      <c r="AH7" s="42">
        <f t="shared" si="3"/>
        <v>17</v>
      </c>
      <c r="AI7" s="42">
        <f t="shared" si="4"/>
        <v>0</v>
      </c>
      <c r="AJ7" s="42">
        <f t="shared" si="5"/>
        <v>0</v>
      </c>
      <c r="AK7" s="42">
        <f t="shared" si="6"/>
        <v>0</v>
      </c>
      <c r="AL7" s="42">
        <f t="shared" si="7"/>
        <v>0</v>
      </c>
      <c r="AM7" s="42">
        <f t="shared" si="8"/>
        <v>14</v>
      </c>
      <c r="AN7" s="42">
        <f t="shared" si="9"/>
        <v>0</v>
      </c>
      <c r="AO7" s="42">
        <f t="shared" si="10"/>
        <v>0</v>
      </c>
      <c r="AP7" s="42">
        <f t="shared" si="11"/>
        <v>0</v>
      </c>
      <c r="AQ7" s="42">
        <f t="shared" si="12"/>
        <v>0</v>
      </c>
      <c r="AR7" s="26">
        <f>SUMIF('Spiffs &amp; Deductions'!A$3:A1005,A7,'Spiffs &amp; Deductions'!B$3:B1005)</f>
        <v>0</v>
      </c>
      <c r="AS7" s="26">
        <f>SUMIFs('Spiffs &amp; Deductions'!B$3:B1005,'Spiffs &amp; Deductions'!A$3:A1005,A7,'Spiffs &amp; Deductions'!C$3:C1005,$AS$3)</f>
        <v>0</v>
      </c>
      <c r="AT7" s="26">
        <f>SUMIF('Spiffs &amp; Deductions'!H$4:H1005,A7,'Spiffs &amp; Deductions'!I$4:I1005)</f>
        <v>0</v>
      </c>
      <c r="AU7" s="42"/>
    </row>
    <row r="8">
      <c r="A8" s="38" t="str">
        <f>Workforce!A6</f>
        <v>Mohamed </v>
      </c>
      <c r="B8" s="39" t="s">
        <v>40</v>
      </c>
      <c r="C8" s="39" t="s">
        <v>40</v>
      </c>
      <c r="D8" s="39" t="s">
        <v>40</v>
      </c>
      <c r="E8" s="39" t="s">
        <v>40</v>
      </c>
      <c r="F8" s="39" t="s">
        <v>40</v>
      </c>
      <c r="G8" s="39" t="s">
        <v>40</v>
      </c>
      <c r="H8" s="39" t="s">
        <v>40</v>
      </c>
      <c r="I8" s="39" t="s">
        <v>40</v>
      </c>
      <c r="J8" s="40" t="s">
        <v>16</v>
      </c>
      <c r="K8" s="40" t="s">
        <v>16</v>
      </c>
      <c r="L8" s="40" t="s">
        <v>16</v>
      </c>
      <c r="M8" s="40" t="s">
        <v>16</v>
      </c>
      <c r="N8" s="40" t="s">
        <v>16</v>
      </c>
      <c r="O8" s="39" t="s">
        <v>40</v>
      </c>
      <c r="P8" s="39" t="s">
        <v>40</v>
      </c>
      <c r="Q8" s="40" t="s">
        <v>16</v>
      </c>
      <c r="R8" s="40" t="s">
        <v>16</v>
      </c>
      <c r="S8" s="40" t="s">
        <v>16</v>
      </c>
      <c r="T8" s="40" t="s">
        <v>16</v>
      </c>
      <c r="U8" s="40" t="s">
        <v>16</v>
      </c>
      <c r="V8" s="39" t="s">
        <v>40</v>
      </c>
      <c r="W8" s="39" t="s">
        <v>40</v>
      </c>
      <c r="X8" s="40" t="s">
        <v>16</v>
      </c>
      <c r="Y8" s="40" t="s">
        <v>16</v>
      </c>
      <c r="Z8" s="40" t="s">
        <v>16</v>
      </c>
      <c r="AA8" s="40" t="s">
        <v>16</v>
      </c>
      <c r="AB8" s="40" t="s">
        <v>16</v>
      </c>
      <c r="AC8" s="39" t="s">
        <v>40</v>
      </c>
      <c r="AD8" s="39" t="s">
        <v>40</v>
      </c>
      <c r="AE8" s="40" t="s">
        <v>16</v>
      </c>
      <c r="AF8" s="40" t="s">
        <v>16</v>
      </c>
      <c r="AG8" s="41"/>
      <c r="AH8" s="42">
        <f t="shared" si="3"/>
        <v>17</v>
      </c>
      <c r="AI8" s="42">
        <f t="shared" si="4"/>
        <v>0</v>
      </c>
      <c r="AJ8" s="42">
        <f t="shared" si="5"/>
        <v>0</v>
      </c>
      <c r="AK8" s="42">
        <f t="shared" si="6"/>
        <v>0</v>
      </c>
      <c r="AL8" s="42">
        <f t="shared" si="7"/>
        <v>0</v>
      </c>
      <c r="AM8" s="42">
        <f t="shared" si="8"/>
        <v>14</v>
      </c>
      <c r="AN8" s="42">
        <f t="shared" si="9"/>
        <v>0</v>
      </c>
      <c r="AO8" s="42">
        <f t="shared" si="10"/>
        <v>0</v>
      </c>
      <c r="AP8" s="42">
        <f t="shared" si="11"/>
        <v>0</v>
      </c>
      <c r="AQ8" s="42">
        <f t="shared" si="12"/>
        <v>0</v>
      </c>
      <c r="AR8" s="31">
        <v>200.0</v>
      </c>
      <c r="AS8" s="26">
        <f>SUMIFs('Spiffs &amp; Deductions'!B$3:B1005,'Spiffs &amp; Deductions'!A$3:A1005,A8,'Spiffs &amp; Deductions'!C$3:C1005,$AS$3)</f>
        <v>0</v>
      </c>
      <c r="AT8" s="26">
        <f>SUMIF('Spiffs &amp; Deductions'!H$4:H1005,A8,'Spiffs &amp; Deductions'!I$4:I1005)</f>
        <v>0</v>
      </c>
      <c r="AU8" s="42"/>
    </row>
    <row r="9">
      <c r="A9" s="43" t="str">
        <f>Workforce!A7</f>
        <v>Malak El Khateeb</v>
      </c>
      <c r="B9" s="45" t="s">
        <v>40</v>
      </c>
      <c r="C9" s="45" t="s">
        <v>40</v>
      </c>
      <c r="D9" s="45" t="s">
        <v>40</v>
      </c>
      <c r="E9" s="45" t="s">
        <v>40</v>
      </c>
      <c r="F9" s="45" t="s">
        <v>40</v>
      </c>
      <c r="G9" s="45" t="s">
        <v>40</v>
      </c>
      <c r="H9" s="45" t="s">
        <v>40</v>
      </c>
      <c r="I9" s="45" t="s">
        <v>40</v>
      </c>
      <c r="J9" s="44" t="s">
        <v>16</v>
      </c>
      <c r="K9" s="44" t="s">
        <v>16</v>
      </c>
      <c r="L9" s="44" t="s">
        <v>16</v>
      </c>
      <c r="M9" s="44" t="s">
        <v>16</v>
      </c>
      <c r="N9" s="44" t="s">
        <v>16</v>
      </c>
      <c r="O9" s="39" t="s">
        <v>40</v>
      </c>
      <c r="P9" s="39" t="s">
        <v>40</v>
      </c>
      <c r="Q9" s="44" t="s">
        <v>16</v>
      </c>
      <c r="R9" s="44" t="s">
        <v>16</v>
      </c>
      <c r="S9" s="44" t="s">
        <v>16</v>
      </c>
      <c r="T9" s="44" t="s">
        <v>16</v>
      </c>
      <c r="U9" s="44" t="s">
        <v>16</v>
      </c>
      <c r="V9" s="39" t="s">
        <v>40</v>
      </c>
      <c r="W9" s="39" t="s">
        <v>40</v>
      </c>
      <c r="X9" s="44" t="s">
        <v>16</v>
      </c>
      <c r="Y9" s="44" t="s">
        <v>16</v>
      </c>
      <c r="Z9" s="44" t="s">
        <v>16</v>
      </c>
      <c r="AA9" s="44" t="s">
        <v>16</v>
      </c>
      <c r="AB9" s="44" t="s">
        <v>16</v>
      </c>
      <c r="AC9" s="39" t="s">
        <v>40</v>
      </c>
      <c r="AD9" s="39" t="s">
        <v>40</v>
      </c>
      <c r="AE9" s="44" t="s">
        <v>16</v>
      </c>
      <c r="AF9" s="44" t="s">
        <v>16</v>
      </c>
      <c r="AG9" s="41"/>
      <c r="AH9" s="42">
        <f t="shared" si="3"/>
        <v>17</v>
      </c>
      <c r="AI9" s="42">
        <f t="shared" si="4"/>
        <v>0</v>
      </c>
      <c r="AJ9" s="42">
        <f t="shared" si="5"/>
        <v>0</v>
      </c>
      <c r="AK9" s="42">
        <f t="shared" si="6"/>
        <v>0</v>
      </c>
      <c r="AL9" s="42">
        <f t="shared" si="7"/>
        <v>0</v>
      </c>
      <c r="AM9" s="42">
        <f t="shared" si="8"/>
        <v>14</v>
      </c>
      <c r="AN9" s="42">
        <f t="shared" si="9"/>
        <v>0</v>
      </c>
      <c r="AO9" s="42">
        <f t="shared" si="10"/>
        <v>0</v>
      </c>
      <c r="AP9" s="42">
        <f t="shared" si="11"/>
        <v>0</v>
      </c>
      <c r="AQ9" s="42">
        <f t="shared" si="12"/>
        <v>0</v>
      </c>
      <c r="AR9" s="31">
        <v>100.0</v>
      </c>
      <c r="AS9" s="26">
        <f>SUMIFs('Spiffs &amp; Deductions'!B$3:B1005,'Spiffs &amp; Deductions'!A$3:A1005,A9,'Spiffs &amp; Deductions'!C$3:C1005,$AS$3)</f>
        <v>0</v>
      </c>
      <c r="AT9" s="26">
        <f>SUMIF('Spiffs &amp; Deductions'!H$4:H1005,A9,'Spiffs &amp; Deductions'!I$4:I1005)</f>
        <v>0</v>
      </c>
      <c r="AU9" s="42"/>
    </row>
    <row r="10">
      <c r="A10" s="46" t="str">
        <f>Workforce!A8</f>
        <v>Caroline Richards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1"/>
      <c r="AH10" s="48">
        <f t="shared" si="3"/>
        <v>0</v>
      </c>
      <c r="AI10" s="48">
        <f t="shared" si="4"/>
        <v>0</v>
      </c>
      <c r="AJ10" s="48">
        <f t="shared" si="5"/>
        <v>0</v>
      </c>
      <c r="AK10" s="48">
        <f t="shared" si="6"/>
        <v>0</v>
      </c>
      <c r="AL10" s="48">
        <f t="shared" si="7"/>
        <v>0</v>
      </c>
      <c r="AM10" s="48">
        <f t="shared" si="8"/>
        <v>0</v>
      </c>
      <c r="AN10" s="48">
        <f t="shared" si="9"/>
        <v>0</v>
      </c>
      <c r="AO10" s="48">
        <f t="shared" si="10"/>
        <v>0</v>
      </c>
      <c r="AP10" s="48">
        <f t="shared" si="11"/>
        <v>0</v>
      </c>
      <c r="AQ10" s="48">
        <f t="shared" si="12"/>
        <v>0</v>
      </c>
      <c r="AR10" s="49">
        <f>SUMIF('Spiffs &amp; Deductions'!A$3:A1005,A10,'Spiffs &amp; Deductions'!B$3:B1005)</f>
        <v>0</v>
      </c>
      <c r="AS10" s="49">
        <f>SUMIFs('Spiffs &amp; Deductions'!B$3:B1005,'Spiffs &amp; Deductions'!A$3:A1005,A10,'Spiffs &amp; Deductions'!C$3:C1005,$AS$3)</f>
        <v>0</v>
      </c>
      <c r="AT10" s="49">
        <f>SUMIF('Spiffs &amp; Deductions'!H$4:H1005,A10,'Spiffs &amp; Deductions'!I$4:I1005)</f>
        <v>0</v>
      </c>
      <c r="AU10" s="48"/>
    </row>
    <row r="11">
      <c r="A11" s="22" t="s">
        <v>28</v>
      </c>
      <c r="B11" s="23" t="str">
        <f>iferror(concatenate("
  Enter ", 'Attendance key'!$B$6, " for ",'Attendance key'!$C$6, ", ", 'Attendance key'!$B$7, " for ", 'Attendance key'!$C$7, ", ", 'Attendance key'!$B$8, " for ", 'Attendance key'!$C$8, ", and ", 'Attendance key'!$B$9, " for ", 'Attendance key'!$C$9, ". Use the 'Attendance key' tab to customize. 
"),"")</f>
        <v/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25"/>
      <c r="AG11" s="41"/>
      <c r="AH11" s="48">
        <f t="shared" si="3"/>
        <v>0</v>
      </c>
      <c r="AI11" s="48">
        <f t="shared" si="4"/>
        <v>0</v>
      </c>
      <c r="AJ11" s="48">
        <f t="shared" si="5"/>
        <v>0</v>
      </c>
      <c r="AK11" s="48">
        <f t="shared" si="6"/>
        <v>0</v>
      </c>
      <c r="AL11" s="48">
        <f t="shared" si="7"/>
        <v>0</v>
      </c>
      <c r="AM11" s="48">
        <f t="shared" si="8"/>
        <v>0</v>
      </c>
      <c r="AN11" s="48">
        <f t="shared" si="9"/>
        <v>0</v>
      </c>
      <c r="AO11" s="48">
        <f t="shared" si="10"/>
        <v>0</v>
      </c>
      <c r="AP11" s="48">
        <f t="shared" si="11"/>
        <v>0</v>
      </c>
      <c r="AQ11" s="48">
        <f t="shared" si="12"/>
        <v>0</v>
      </c>
      <c r="AR11" s="49">
        <f>SUMIF('Spiffs &amp; Deductions'!A$3:A1005,A11,'Spiffs &amp; Deductions'!B$3:B1005)</f>
        <v>0</v>
      </c>
      <c r="AS11" s="49">
        <f>SUMIFs('Spiffs &amp; Deductions'!B$3:B1005,'Spiffs &amp; Deductions'!A$3:A1005,A11,'Spiffs &amp; Deductions'!C$3:C1005,$AS$3)</f>
        <v>0</v>
      </c>
      <c r="AT11" s="49">
        <f>SUMIF('Spiffs &amp; Deductions'!H$4:H1005,A11,'Spiffs &amp; Deductions'!I$4:I1005)</f>
        <v>0</v>
      </c>
      <c r="AU11" s="48"/>
    </row>
    <row r="12">
      <c r="A12" s="29" t="s">
        <v>45</v>
      </c>
      <c r="B12" s="51">
        <v>46050.0</v>
      </c>
      <c r="C12" s="51">
        <f t="shared" ref="C12:AF12" si="13">B12+1</f>
        <v>46051</v>
      </c>
      <c r="D12" s="51">
        <f t="shared" si="13"/>
        <v>46052</v>
      </c>
      <c r="E12" s="51">
        <f t="shared" si="13"/>
        <v>46053</v>
      </c>
      <c r="F12" s="51">
        <f t="shared" si="13"/>
        <v>46054</v>
      </c>
      <c r="G12" s="51">
        <f t="shared" si="13"/>
        <v>46055</v>
      </c>
      <c r="H12" s="51">
        <f t="shared" si="13"/>
        <v>46056</v>
      </c>
      <c r="I12" s="51">
        <f t="shared" si="13"/>
        <v>46057</v>
      </c>
      <c r="J12" s="51">
        <f t="shared" si="13"/>
        <v>46058</v>
      </c>
      <c r="K12" s="51">
        <f t="shared" si="13"/>
        <v>46059</v>
      </c>
      <c r="L12" s="51">
        <f t="shared" si="13"/>
        <v>46060</v>
      </c>
      <c r="M12" s="51">
        <f t="shared" si="13"/>
        <v>46061</v>
      </c>
      <c r="N12" s="51">
        <f t="shared" si="13"/>
        <v>46062</v>
      </c>
      <c r="O12" s="51">
        <f t="shared" si="13"/>
        <v>46063</v>
      </c>
      <c r="P12" s="51">
        <f t="shared" si="13"/>
        <v>46064</v>
      </c>
      <c r="Q12" s="51">
        <f t="shared" si="13"/>
        <v>46065</v>
      </c>
      <c r="R12" s="51">
        <f t="shared" si="13"/>
        <v>46066</v>
      </c>
      <c r="S12" s="51">
        <f t="shared" si="13"/>
        <v>46067</v>
      </c>
      <c r="T12" s="51">
        <f t="shared" si="13"/>
        <v>46068</v>
      </c>
      <c r="U12" s="51">
        <f t="shared" si="13"/>
        <v>46069</v>
      </c>
      <c r="V12" s="51">
        <f t="shared" si="13"/>
        <v>46070</v>
      </c>
      <c r="W12" s="51">
        <f t="shared" si="13"/>
        <v>46071</v>
      </c>
      <c r="X12" s="51">
        <f t="shared" si="13"/>
        <v>46072</v>
      </c>
      <c r="Y12" s="51">
        <f t="shared" si="13"/>
        <v>46073</v>
      </c>
      <c r="Z12" s="51">
        <f t="shared" si="13"/>
        <v>46074</v>
      </c>
      <c r="AA12" s="51">
        <f t="shared" si="13"/>
        <v>46075</v>
      </c>
      <c r="AB12" s="51">
        <f t="shared" si="13"/>
        <v>46076</v>
      </c>
      <c r="AC12" s="51">
        <f t="shared" si="13"/>
        <v>46077</v>
      </c>
      <c r="AD12" s="51">
        <f t="shared" si="13"/>
        <v>46078</v>
      </c>
      <c r="AE12" s="51">
        <f t="shared" si="13"/>
        <v>46079</v>
      </c>
      <c r="AF12" s="51">
        <f t="shared" si="13"/>
        <v>46080</v>
      </c>
      <c r="AG12" s="28"/>
      <c r="AH12" s="29" t="s">
        <v>46</v>
      </c>
      <c r="AI12" s="29" t="s">
        <v>47</v>
      </c>
      <c r="AK12" s="30" t="s">
        <v>40</v>
      </c>
      <c r="AN12" s="29" t="s">
        <v>33</v>
      </c>
      <c r="AO12" s="30" t="s">
        <v>48</v>
      </c>
      <c r="AP12" s="30" t="s">
        <v>49</v>
      </c>
      <c r="AQ12" s="29" t="s">
        <v>36</v>
      </c>
      <c r="AR12" s="31" t="s">
        <v>27</v>
      </c>
      <c r="AT12" s="31" t="s">
        <v>35</v>
      </c>
      <c r="AU12" s="29"/>
    </row>
    <row r="13">
      <c r="A13" s="52" t="s">
        <v>50</v>
      </c>
      <c r="B13" s="53">
        <f t="shared" ref="B13:AF13" si="14">B12</f>
        <v>46050</v>
      </c>
      <c r="C13" s="53">
        <f t="shared" si="14"/>
        <v>46051</v>
      </c>
      <c r="D13" s="53">
        <f t="shared" si="14"/>
        <v>46052</v>
      </c>
      <c r="E13" s="53">
        <f t="shared" si="14"/>
        <v>46053</v>
      </c>
      <c r="F13" s="53">
        <f t="shared" si="14"/>
        <v>46054</v>
      </c>
      <c r="G13" s="53">
        <f t="shared" si="14"/>
        <v>46055</v>
      </c>
      <c r="H13" s="53">
        <f t="shared" si="14"/>
        <v>46056</v>
      </c>
      <c r="I13" s="53">
        <f t="shared" si="14"/>
        <v>46057</v>
      </c>
      <c r="J13" s="53">
        <f t="shared" si="14"/>
        <v>46058</v>
      </c>
      <c r="K13" s="53">
        <f t="shared" si="14"/>
        <v>46059</v>
      </c>
      <c r="L13" s="53">
        <f t="shared" si="14"/>
        <v>46060</v>
      </c>
      <c r="M13" s="53">
        <f t="shared" si="14"/>
        <v>46061</v>
      </c>
      <c r="N13" s="53">
        <f t="shared" si="14"/>
        <v>46062</v>
      </c>
      <c r="O13" s="53">
        <f t="shared" si="14"/>
        <v>46063</v>
      </c>
      <c r="P13" s="53">
        <f t="shared" si="14"/>
        <v>46064</v>
      </c>
      <c r="Q13" s="53">
        <f t="shared" si="14"/>
        <v>46065</v>
      </c>
      <c r="R13" s="53">
        <f t="shared" si="14"/>
        <v>46066</v>
      </c>
      <c r="S13" s="53">
        <f t="shared" si="14"/>
        <v>46067</v>
      </c>
      <c r="T13" s="53">
        <f t="shared" si="14"/>
        <v>46068</v>
      </c>
      <c r="U13" s="53">
        <f t="shared" si="14"/>
        <v>46069</v>
      </c>
      <c r="V13" s="53">
        <f t="shared" si="14"/>
        <v>46070</v>
      </c>
      <c r="W13" s="53">
        <f t="shared" si="14"/>
        <v>46071</v>
      </c>
      <c r="X13" s="53">
        <f t="shared" si="14"/>
        <v>46072</v>
      </c>
      <c r="Y13" s="53">
        <f t="shared" si="14"/>
        <v>46073</v>
      </c>
      <c r="Z13" s="53">
        <f t="shared" si="14"/>
        <v>46074</v>
      </c>
      <c r="AA13" s="53">
        <f t="shared" si="14"/>
        <v>46075</v>
      </c>
      <c r="AB13" s="53">
        <f t="shared" si="14"/>
        <v>46076</v>
      </c>
      <c r="AC13" s="53">
        <f t="shared" si="14"/>
        <v>46077</v>
      </c>
      <c r="AD13" s="53">
        <f t="shared" si="14"/>
        <v>46078</v>
      </c>
      <c r="AE13" s="53">
        <f t="shared" si="14"/>
        <v>46079</v>
      </c>
      <c r="AF13" s="53">
        <f t="shared" si="14"/>
        <v>46080</v>
      </c>
      <c r="AG13" s="28"/>
      <c r="AH13" s="54" t="s">
        <v>16</v>
      </c>
      <c r="AI13" s="55" t="s">
        <v>18</v>
      </c>
      <c r="AJ13" s="54" t="s">
        <v>20</v>
      </c>
      <c r="AK13" s="54" t="s">
        <v>22</v>
      </c>
      <c r="AL13" s="54" t="s">
        <v>24</v>
      </c>
      <c r="AM13" s="55" t="s">
        <v>40</v>
      </c>
      <c r="AN13" s="54" t="s">
        <v>32</v>
      </c>
      <c r="AO13" s="55" t="s">
        <v>26</v>
      </c>
      <c r="AP13" s="54" t="s">
        <v>30</v>
      </c>
      <c r="AQ13" s="55" t="s">
        <v>34</v>
      </c>
      <c r="AR13" s="56" t="s">
        <v>51</v>
      </c>
      <c r="AS13" s="56" t="s">
        <v>52</v>
      </c>
      <c r="AU13" s="54"/>
    </row>
    <row r="14">
      <c r="A14" s="57" t="s">
        <v>3</v>
      </c>
      <c r="B14" s="40" t="s">
        <v>16</v>
      </c>
      <c r="C14" s="40" t="s">
        <v>16</v>
      </c>
      <c r="D14" s="40" t="s">
        <v>16</v>
      </c>
      <c r="E14" s="39" t="s">
        <v>40</v>
      </c>
      <c r="F14" s="39" t="s">
        <v>40</v>
      </c>
      <c r="G14" s="40" t="s">
        <v>16</v>
      </c>
      <c r="H14" s="40" t="s">
        <v>16</v>
      </c>
      <c r="I14" s="40" t="s">
        <v>16</v>
      </c>
      <c r="J14" s="40" t="s">
        <v>16</v>
      </c>
      <c r="K14" s="40" t="s">
        <v>16</v>
      </c>
      <c r="L14" s="39" t="s">
        <v>40</v>
      </c>
      <c r="M14" s="39" t="s">
        <v>40</v>
      </c>
      <c r="N14" s="40" t="s">
        <v>16</v>
      </c>
      <c r="O14" s="40" t="s">
        <v>16</v>
      </c>
      <c r="P14" s="40" t="s">
        <v>26</v>
      </c>
      <c r="Q14" s="40" t="s">
        <v>16</v>
      </c>
      <c r="R14" s="40" t="s">
        <v>16</v>
      </c>
      <c r="S14" s="39" t="s">
        <v>40</v>
      </c>
      <c r="T14" s="39" t="s">
        <v>40</v>
      </c>
      <c r="U14" s="40" t="s">
        <v>16</v>
      </c>
      <c r="V14" s="40" t="s">
        <v>18</v>
      </c>
      <c r="W14" s="40" t="s">
        <v>16</v>
      </c>
      <c r="X14" s="40" t="s">
        <v>40</v>
      </c>
      <c r="Y14" s="40" t="s">
        <v>16</v>
      </c>
      <c r="Z14" s="39" t="s">
        <v>40</v>
      </c>
      <c r="AA14" s="39" t="s">
        <v>40</v>
      </c>
      <c r="AB14" s="40" t="s">
        <v>26</v>
      </c>
      <c r="AC14" s="40" t="s">
        <v>16</v>
      </c>
      <c r="AD14" s="40" t="s">
        <v>16</v>
      </c>
      <c r="AE14" s="40" t="s">
        <v>16</v>
      </c>
      <c r="AF14" s="40" t="s">
        <v>16</v>
      </c>
      <c r="AG14" s="41"/>
      <c r="AH14" s="42">
        <f t="shared" ref="AH14:AH20" si="15">(countif(B14:AG14,AH$3))+AI14+AJ14+(AL14*0.5)+(AK14*0.75)</f>
        <v>20</v>
      </c>
      <c r="AI14" s="42">
        <f t="shared" ref="AI14:AI20" si="16">countif(B14:AG14,$AI$3)</f>
        <v>1</v>
      </c>
      <c r="AJ14" s="42">
        <f t="shared" ref="AJ14:AJ20" si="17">countif(B14:AG14,AJ$3)</f>
        <v>0</v>
      </c>
      <c r="AK14" s="42">
        <f t="shared" ref="AK14:AK20" si="18">countif(B14:AG14,AK$3)</f>
        <v>0</v>
      </c>
      <c r="AL14" s="42">
        <f t="shared" ref="AL14:AL20" si="19">countif(B14:AG14,AL$3)</f>
        <v>0</v>
      </c>
      <c r="AM14" s="42">
        <f t="shared" ref="AM14:AM20" si="20">countif(B14:AG14,$AM$3)</f>
        <v>9</v>
      </c>
      <c r="AN14" s="42">
        <f t="shared" ref="AN14:AN20" si="21">countif(B14:AG14,AN$3)</f>
        <v>0</v>
      </c>
      <c r="AO14" s="42">
        <f t="shared" ref="AO14:AO20" si="22">(countif(B14:AL14,"A"))</f>
        <v>2</v>
      </c>
      <c r="AP14" s="42">
        <f t="shared" ref="AP14:AP20" si="23">countif(B14:AO14,AP$3)</f>
        <v>0</v>
      </c>
      <c r="AQ14" s="42">
        <f t="shared" ref="AQ14:AQ20" si="24">countif(B14:AP14,AQ$3)</f>
        <v>0</v>
      </c>
      <c r="AR14" s="26">
        <f>SUMIF('Spiffs &amp; Deductions'!A$3:A1005,A14,'Spiffs &amp; Deductions'!B$3:B1005)</f>
        <v>0</v>
      </c>
      <c r="AS14" s="26">
        <f>SUMIFs('Spiffs &amp; Deductions'!B$3:B1005,'Spiffs &amp; Deductions'!A$3:A1005,A14,'Spiffs &amp; Deductions'!C$3:C1005,$AS$3)</f>
        <v>0</v>
      </c>
      <c r="AT14" s="26">
        <f>SUMIF('Spiffs &amp; Deductions'!H$4:H1005,A14,'Spiffs &amp; Deductions'!I$4:I1005)</f>
        <v>0</v>
      </c>
      <c r="AU14" s="42"/>
    </row>
    <row r="15">
      <c r="A15" s="58" t="s">
        <v>5</v>
      </c>
      <c r="B15" s="44" t="s">
        <v>16</v>
      </c>
      <c r="C15" s="44" t="s">
        <v>16</v>
      </c>
      <c r="D15" s="44" t="s">
        <v>16</v>
      </c>
      <c r="E15" s="39" t="s">
        <v>40</v>
      </c>
      <c r="F15" s="39" t="s">
        <v>40</v>
      </c>
      <c r="G15" s="44" t="s">
        <v>16</v>
      </c>
      <c r="H15" s="44" t="s">
        <v>16</v>
      </c>
      <c r="I15" s="44" t="s">
        <v>16</v>
      </c>
      <c r="J15" s="44" t="s">
        <v>16</v>
      </c>
      <c r="K15" s="44" t="s">
        <v>16</v>
      </c>
      <c r="L15" s="39" t="s">
        <v>40</v>
      </c>
      <c r="M15" s="39" t="s">
        <v>40</v>
      </c>
      <c r="N15" s="44" t="s">
        <v>16</v>
      </c>
      <c r="O15" s="44" t="s">
        <v>16</v>
      </c>
      <c r="P15" s="44" t="s">
        <v>16</v>
      </c>
      <c r="Q15" s="44" t="s">
        <v>16</v>
      </c>
      <c r="R15" s="44" t="s">
        <v>16</v>
      </c>
      <c r="S15" s="39" t="s">
        <v>40</v>
      </c>
      <c r="T15" s="39" t="s">
        <v>40</v>
      </c>
      <c r="U15" s="44" t="s">
        <v>16</v>
      </c>
      <c r="V15" s="44" t="s">
        <v>16</v>
      </c>
      <c r="W15" s="44" t="s">
        <v>16</v>
      </c>
      <c r="X15" s="44" t="s">
        <v>40</v>
      </c>
      <c r="Y15" s="44" t="s">
        <v>16</v>
      </c>
      <c r="Z15" s="39" t="s">
        <v>40</v>
      </c>
      <c r="AA15" s="39" t="s">
        <v>40</v>
      </c>
      <c r="AB15" s="44" t="s">
        <v>16</v>
      </c>
      <c r="AC15" s="44" t="s">
        <v>16</v>
      </c>
      <c r="AD15" s="44" t="s">
        <v>16</v>
      </c>
      <c r="AE15" s="44" t="s">
        <v>20</v>
      </c>
      <c r="AF15" s="44" t="s">
        <v>16</v>
      </c>
      <c r="AG15" s="41"/>
      <c r="AH15" s="42">
        <f t="shared" si="15"/>
        <v>22</v>
      </c>
      <c r="AI15" s="42">
        <f t="shared" si="16"/>
        <v>0</v>
      </c>
      <c r="AJ15" s="42">
        <f t="shared" si="17"/>
        <v>1</v>
      </c>
      <c r="AK15" s="42">
        <f t="shared" si="18"/>
        <v>0</v>
      </c>
      <c r="AL15" s="42">
        <f t="shared" si="19"/>
        <v>0</v>
      </c>
      <c r="AM15" s="42">
        <f t="shared" si="20"/>
        <v>9</v>
      </c>
      <c r="AN15" s="42">
        <f t="shared" si="21"/>
        <v>0</v>
      </c>
      <c r="AO15" s="42">
        <f t="shared" si="22"/>
        <v>0</v>
      </c>
      <c r="AP15" s="42">
        <f t="shared" si="23"/>
        <v>0</v>
      </c>
      <c r="AQ15" s="42">
        <f t="shared" si="24"/>
        <v>0</v>
      </c>
      <c r="AR15" s="26">
        <f>SUMIF('Spiffs &amp; Deductions'!A$3:A1005,A15,'Spiffs &amp; Deductions'!B$3:B1005)</f>
        <v>0</v>
      </c>
      <c r="AS15" s="26">
        <f>SUMIFs('Spiffs &amp; Deductions'!B$3:B1005,'Spiffs &amp; Deductions'!A$3:A1005,A15,'Spiffs &amp; Deductions'!C$3:C1005,$AS$3)</f>
        <v>0</v>
      </c>
      <c r="AT15" s="26">
        <f>SUMIF('Spiffs &amp; Deductions'!H$4:H1005,A15,'Spiffs &amp; Deductions'!I$4:I1005)</f>
        <v>0</v>
      </c>
      <c r="AU15" s="42"/>
    </row>
    <row r="16">
      <c r="A16" s="59" t="s">
        <v>6</v>
      </c>
      <c r="B16" s="31" t="s">
        <v>16</v>
      </c>
      <c r="C16" s="31" t="s">
        <v>16</v>
      </c>
      <c r="D16" s="31" t="s">
        <v>16</v>
      </c>
      <c r="E16" s="39" t="s">
        <v>40</v>
      </c>
      <c r="F16" s="39" t="s">
        <v>40</v>
      </c>
      <c r="G16" s="31" t="s">
        <v>16</v>
      </c>
      <c r="H16" s="31" t="s">
        <v>16</v>
      </c>
      <c r="I16" s="31" t="s">
        <v>16</v>
      </c>
      <c r="J16" s="31" t="s">
        <v>16</v>
      </c>
      <c r="K16" s="31" t="s">
        <v>16</v>
      </c>
      <c r="L16" s="39" t="s">
        <v>40</v>
      </c>
      <c r="M16" s="39" t="s">
        <v>40</v>
      </c>
      <c r="N16" s="31" t="s">
        <v>16</v>
      </c>
      <c r="O16" s="31" t="s">
        <v>16</v>
      </c>
      <c r="P16" s="31" t="s">
        <v>16</v>
      </c>
      <c r="Q16" s="31" t="s">
        <v>16</v>
      </c>
      <c r="R16" s="31" t="s">
        <v>16</v>
      </c>
      <c r="S16" s="39" t="s">
        <v>40</v>
      </c>
      <c r="T16" s="39" t="s">
        <v>40</v>
      </c>
      <c r="U16" s="31" t="s">
        <v>26</v>
      </c>
      <c r="V16" s="31" t="s">
        <v>26</v>
      </c>
      <c r="W16" s="31" t="s">
        <v>16</v>
      </c>
      <c r="X16" s="31" t="s">
        <v>40</v>
      </c>
      <c r="Y16" s="31" t="s">
        <v>16</v>
      </c>
      <c r="Z16" s="39" t="s">
        <v>40</v>
      </c>
      <c r="AA16" s="39" t="s">
        <v>40</v>
      </c>
      <c r="AB16" s="31" t="s">
        <v>16</v>
      </c>
      <c r="AC16" s="31" t="s">
        <v>16</v>
      </c>
      <c r="AD16" s="31" t="s">
        <v>16</v>
      </c>
      <c r="AE16" s="31" t="s">
        <v>16</v>
      </c>
      <c r="AF16" s="31" t="s">
        <v>16</v>
      </c>
      <c r="AG16" s="19"/>
      <c r="AH16" s="42">
        <f t="shared" si="15"/>
        <v>20</v>
      </c>
      <c r="AI16" s="42">
        <f t="shared" si="16"/>
        <v>0</v>
      </c>
      <c r="AJ16" s="42">
        <f t="shared" si="17"/>
        <v>0</v>
      </c>
      <c r="AK16" s="42">
        <f t="shared" si="18"/>
        <v>0</v>
      </c>
      <c r="AL16" s="42">
        <f t="shared" si="19"/>
        <v>0</v>
      </c>
      <c r="AM16" s="42">
        <f t="shared" si="20"/>
        <v>9</v>
      </c>
      <c r="AN16" s="42">
        <f t="shared" si="21"/>
        <v>0</v>
      </c>
      <c r="AO16" s="42">
        <f t="shared" si="22"/>
        <v>2</v>
      </c>
      <c r="AP16" s="42">
        <f t="shared" si="23"/>
        <v>0</v>
      </c>
      <c r="AQ16" s="42">
        <f t="shared" si="24"/>
        <v>0</v>
      </c>
      <c r="AR16" s="26">
        <f>SUMIF('Spiffs &amp; Deductions'!A$3:A1005,A16,'Spiffs &amp; Deductions'!B$3:B1005)</f>
        <v>0</v>
      </c>
      <c r="AS16" s="26">
        <f>SUMIFs('Spiffs &amp; Deductions'!B$3:B1005,'Spiffs &amp; Deductions'!A$3:A1005,A16,'Spiffs &amp; Deductions'!C$3:C1005,$AS$3)</f>
        <v>0</v>
      </c>
      <c r="AT16" s="26">
        <f>SUMIF('Spiffs &amp; Deductions'!H$4:H1005,A16,'Spiffs &amp; Deductions'!I$4:I1005)</f>
        <v>0</v>
      </c>
      <c r="AU16" s="42"/>
    </row>
    <row r="17">
      <c r="A17" s="60" t="s">
        <v>8</v>
      </c>
      <c r="B17" s="61" t="s">
        <v>16</v>
      </c>
      <c r="C17" s="61" t="s">
        <v>16</v>
      </c>
      <c r="D17" s="61" t="s">
        <v>16</v>
      </c>
      <c r="E17" s="39" t="s">
        <v>40</v>
      </c>
      <c r="F17" s="39" t="s">
        <v>40</v>
      </c>
      <c r="G17" s="61" t="s">
        <v>16</v>
      </c>
      <c r="H17" s="61" t="s">
        <v>16</v>
      </c>
      <c r="I17" s="61" t="s">
        <v>16</v>
      </c>
      <c r="J17" s="61" t="s">
        <v>16</v>
      </c>
      <c r="K17" s="61" t="s">
        <v>16</v>
      </c>
      <c r="L17" s="39" t="s">
        <v>40</v>
      </c>
      <c r="M17" s="39" t="s">
        <v>40</v>
      </c>
      <c r="N17" s="61" t="s">
        <v>16</v>
      </c>
      <c r="O17" s="61" t="s">
        <v>16</v>
      </c>
      <c r="P17" s="61" t="s">
        <v>16</v>
      </c>
      <c r="Q17" s="61" t="s">
        <v>16</v>
      </c>
      <c r="R17" s="61" t="s">
        <v>16</v>
      </c>
      <c r="S17" s="39" t="s">
        <v>40</v>
      </c>
      <c r="T17" s="39" t="s">
        <v>40</v>
      </c>
      <c r="U17" s="61" t="s">
        <v>26</v>
      </c>
      <c r="V17" s="61" t="s">
        <v>26</v>
      </c>
      <c r="W17" s="61" t="s">
        <v>16</v>
      </c>
      <c r="X17" s="61" t="s">
        <v>40</v>
      </c>
      <c r="Y17" s="61" t="s">
        <v>16</v>
      </c>
      <c r="Z17" s="39" t="s">
        <v>40</v>
      </c>
      <c r="AA17" s="39" t="s">
        <v>40</v>
      </c>
      <c r="AB17" s="61" t="s">
        <v>16</v>
      </c>
      <c r="AC17" s="61" t="s">
        <v>16</v>
      </c>
      <c r="AD17" s="61" t="s">
        <v>16</v>
      </c>
      <c r="AE17" s="61" t="s">
        <v>16</v>
      </c>
      <c r="AF17" s="61" t="s">
        <v>16</v>
      </c>
      <c r="AG17" s="19"/>
      <c r="AH17" s="42">
        <f t="shared" si="15"/>
        <v>20</v>
      </c>
      <c r="AI17" s="42">
        <f t="shared" si="16"/>
        <v>0</v>
      </c>
      <c r="AJ17" s="42">
        <f t="shared" si="17"/>
        <v>0</v>
      </c>
      <c r="AK17" s="42">
        <f t="shared" si="18"/>
        <v>0</v>
      </c>
      <c r="AL17" s="42">
        <f t="shared" si="19"/>
        <v>0</v>
      </c>
      <c r="AM17" s="42">
        <f t="shared" si="20"/>
        <v>9</v>
      </c>
      <c r="AN17" s="42">
        <f t="shared" si="21"/>
        <v>0</v>
      </c>
      <c r="AO17" s="42">
        <f t="shared" si="22"/>
        <v>2</v>
      </c>
      <c r="AP17" s="42">
        <f t="shared" si="23"/>
        <v>0</v>
      </c>
      <c r="AQ17" s="42">
        <f t="shared" si="24"/>
        <v>0</v>
      </c>
      <c r="AR17" s="26">
        <f>SUMIF('Spiffs &amp; Deductions'!A$3:A1005,A17,'Spiffs &amp; Deductions'!B$3:B1005)</f>
        <v>0</v>
      </c>
      <c r="AS17" s="26">
        <f>SUMIFs('Spiffs &amp; Deductions'!B$3:B1005,'Spiffs &amp; Deductions'!A$3:A1005,A17,'Spiffs &amp; Deductions'!C$3:C1005,$AS$3)</f>
        <v>0</v>
      </c>
      <c r="AT17" s="26">
        <f>SUMIF('Spiffs &amp; Deductions'!H$4:H1005,A17,'Spiffs &amp; Deductions'!I$4:I1005)</f>
        <v>0</v>
      </c>
      <c r="AU17" s="42"/>
    </row>
    <row r="18">
      <c r="A18" s="57" t="s">
        <v>9</v>
      </c>
      <c r="B18" s="31" t="s">
        <v>16</v>
      </c>
      <c r="C18" s="31" t="s">
        <v>16</v>
      </c>
      <c r="D18" s="31" t="s">
        <v>16</v>
      </c>
      <c r="E18" s="39" t="s">
        <v>40</v>
      </c>
      <c r="F18" s="39" t="s">
        <v>40</v>
      </c>
      <c r="G18" s="31" t="s">
        <v>16</v>
      </c>
      <c r="H18" s="31" t="s">
        <v>16</v>
      </c>
      <c r="I18" s="31" t="s">
        <v>16</v>
      </c>
      <c r="J18" s="31" t="s">
        <v>16</v>
      </c>
      <c r="K18" s="31" t="s">
        <v>16</v>
      </c>
      <c r="L18" s="39" t="s">
        <v>40</v>
      </c>
      <c r="M18" s="39" t="s">
        <v>40</v>
      </c>
      <c r="N18" s="31" t="s">
        <v>16</v>
      </c>
      <c r="O18" s="31" t="s">
        <v>16</v>
      </c>
      <c r="P18" s="31" t="s">
        <v>16</v>
      </c>
      <c r="Q18" s="31" t="s">
        <v>16</v>
      </c>
      <c r="R18" s="31" t="s">
        <v>16</v>
      </c>
      <c r="S18" s="39" t="s">
        <v>40</v>
      </c>
      <c r="T18" s="39" t="s">
        <v>40</v>
      </c>
      <c r="U18" s="31" t="s">
        <v>16</v>
      </c>
      <c r="V18" s="31" t="s">
        <v>16</v>
      </c>
      <c r="W18" s="31" t="s">
        <v>16</v>
      </c>
      <c r="X18" s="31" t="s">
        <v>16</v>
      </c>
      <c r="Y18" s="31" t="s">
        <v>16</v>
      </c>
      <c r="Z18" s="39" t="s">
        <v>40</v>
      </c>
      <c r="AA18" s="39" t="s">
        <v>40</v>
      </c>
      <c r="AB18" s="31" t="s">
        <v>16</v>
      </c>
      <c r="AC18" s="31" t="s">
        <v>16</v>
      </c>
      <c r="AD18" s="31" t="s">
        <v>16</v>
      </c>
      <c r="AE18" s="31" t="s">
        <v>16</v>
      </c>
      <c r="AF18" s="31" t="s">
        <v>16</v>
      </c>
      <c r="AG18" s="19"/>
      <c r="AH18" s="42">
        <f t="shared" si="15"/>
        <v>23</v>
      </c>
      <c r="AI18" s="42">
        <f t="shared" si="16"/>
        <v>0</v>
      </c>
      <c r="AJ18" s="42">
        <f t="shared" si="17"/>
        <v>0</v>
      </c>
      <c r="AK18" s="42">
        <f t="shared" si="18"/>
        <v>0</v>
      </c>
      <c r="AL18" s="42">
        <f t="shared" si="19"/>
        <v>0</v>
      </c>
      <c r="AM18" s="42">
        <f t="shared" si="20"/>
        <v>8</v>
      </c>
      <c r="AN18" s="42">
        <f t="shared" si="21"/>
        <v>0</v>
      </c>
      <c r="AO18" s="42">
        <f t="shared" si="22"/>
        <v>0</v>
      </c>
      <c r="AP18" s="42">
        <f t="shared" si="23"/>
        <v>0</v>
      </c>
      <c r="AQ18" s="42">
        <f t="shared" si="24"/>
        <v>0</v>
      </c>
      <c r="AR18" s="26">
        <f>SUMIF('Spiffs &amp; Deductions'!A$3:A1005,A18,'Spiffs &amp; Deductions'!B$3:B1005)</f>
        <v>0</v>
      </c>
      <c r="AS18" s="26">
        <f>SUMIFs('Spiffs &amp; Deductions'!B$3:B1005,'Spiffs &amp; Deductions'!A$3:A1005,A18,'Spiffs &amp; Deductions'!C$3:C1005,$AS$3)</f>
        <v>0</v>
      </c>
      <c r="AT18" s="26">
        <f>SUMIF('Spiffs &amp; Deductions'!H$4:H1005,A18,'Spiffs &amp; Deductions'!I$4:I1005)</f>
        <v>0</v>
      </c>
      <c r="AU18" s="42"/>
    </row>
    <row r="19">
      <c r="A19" s="58" t="s">
        <v>10</v>
      </c>
      <c r="B19" s="61" t="s">
        <v>16</v>
      </c>
      <c r="C19" s="61" t="s">
        <v>16</v>
      </c>
      <c r="D19" s="61" t="s">
        <v>16</v>
      </c>
      <c r="E19" s="39" t="s">
        <v>40</v>
      </c>
      <c r="F19" s="39" t="s">
        <v>40</v>
      </c>
      <c r="G19" s="61" t="s">
        <v>16</v>
      </c>
      <c r="H19" s="61" t="s">
        <v>16</v>
      </c>
      <c r="I19" s="61" t="s">
        <v>16</v>
      </c>
      <c r="J19" s="61" t="s">
        <v>16</v>
      </c>
      <c r="K19" s="61" t="s">
        <v>16</v>
      </c>
      <c r="L19" s="39" t="s">
        <v>40</v>
      </c>
      <c r="M19" s="39" t="s">
        <v>40</v>
      </c>
      <c r="N19" s="61" t="s">
        <v>37</v>
      </c>
      <c r="O19" s="61" t="s">
        <v>37</v>
      </c>
      <c r="P19" s="61" t="s">
        <v>37</v>
      </c>
      <c r="Q19" s="61" t="s">
        <v>37</v>
      </c>
      <c r="R19" s="61" t="s">
        <v>37</v>
      </c>
      <c r="S19" s="39" t="s">
        <v>40</v>
      </c>
      <c r="T19" s="39" t="s">
        <v>40</v>
      </c>
      <c r="U19" s="61" t="s">
        <v>37</v>
      </c>
      <c r="V19" s="61" t="s">
        <v>37</v>
      </c>
      <c r="W19" s="61" t="s">
        <v>37</v>
      </c>
      <c r="X19" s="61" t="s">
        <v>37</v>
      </c>
      <c r="Y19" s="61" t="s">
        <v>37</v>
      </c>
      <c r="Z19" s="39" t="s">
        <v>40</v>
      </c>
      <c r="AA19" s="39" t="s">
        <v>40</v>
      </c>
      <c r="AB19" s="61" t="s">
        <v>37</v>
      </c>
      <c r="AC19" s="61" t="s">
        <v>37</v>
      </c>
      <c r="AD19" s="61" t="s">
        <v>37</v>
      </c>
      <c r="AE19" s="61" t="s">
        <v>37</v>
      </c>
      <c r="AF19" s="61" t="s">
        <v>37</v>
      </c>
      <c r="AG19" s="19"/>
      <c r="AH19" s="42">
        <f t="shared" si="15"/>
        <v>8</v>
      </c>
      <c r="AI19" s="42">
        <f t="shared" si="16"/>
        <v>0</v>
      </c>
      <c r="AJ19" s="42">
        <f t="shared" si="17"/>
        <v>0</v>
      </c>
      <c r="AK19" s="42">
        <f t="shared" si="18"/>
        <v>0</v>
      </c>
      <c r="AL19" s="42">
        <f t="shared" si="19"/>
        <v>0</v>
      </c>
      <c r="AM19" s="42">
        <f t="shared" si="20"/>
        <v>8</v>
      </c>
      <c r="AN19" s="42">
        <f t="shared" si="21"/>
        <v>0</v>
      </c>
      <c r="AO19" s="42">
        <f t="shared" si="22"/>
        <v>0</v>
      </c>
      <c r="AP19" s="42">
        <f t="shared" si="23"/>
        <v>0</v>
      </c>
      <c r="AQ19" s="42">
        <f t="shared" si="24"/>
        <v>0</v>
      </c>
      <c r="AR19" s="26">
        <f>SUMIF('Spiffs &amp; Deductions'!A$3:A1005,A19,'Spiffs &amp; Deductions'!B$3:B1005)</f>
        <v>0</v>
      </c>
      <c r="AS19" s="26">
        <f>SUMIFs('Spiffs &amp; Deductions'!B$3:B1005,'Spiffs &amp; Deductions'!A$3:A1005,A19,'Spiffs &amp; Deductions'!C$3:C1005,$AS$3)</f>
        <v>0</v>
      </c>
      <c r="AT19" s="26">
        <f>SUMIF('Spiffs &amp; Deductions'!H$4:H1005,A19,'Spiffs &amp; Deductions'!I$4:I1005)</f>
        <v>0</v>
      </c>
      <c r="AU19" s="42"/>
    </row>
    <row r="20">
      <c r="A20" s="59" t="s">
        <v>53</v>
      </c>
      <c r="B20" s="62" t="s">
        <v>37</v>
      </c>
      <c r="C20" s="62" t="s">
        <v>37</v>
      </c>
      <c r="D20" s="62" t="s">
        <v>37</v>
      </c>
      <c r="E20" s="63" t="s">
        <v>37</v>
      </c>
      <c r="F20" s="63" t="s">
        <v>37</v>
      </c>
      <c r="G20" s="62" t="s">
        <v>37</v>
      </c>
      <c r="H20" s="62" t="s">
        <v>37</v>
      </c>
      <c r="I20" s="62" t="s">
        <v>37</v>
      </c>
      <c r="J20" s="62" t="s">
        <v>37</v>
      </c>
      <c r="K20" s="62" t="s">
        <v>37</v>
      </c>
      <c r="L20" s="63" t="s">
        <v>37</v>
      </c>
      <c r="M20" s="63" t="s">
        <v>37</v>
      </c>
      <c r="N20" s="62" t="s">
        <v>37</v>
      </c>
      <c r="O20" s="62" t="s">
        <v>37</v>
      </c>
      <c r="P20" s="62" t="s">
        <v>37</v>
      </c>
      <c r="Q20" s="62" t="s">
        <v>37</v>
      </c>
      <c r="R20" s="62" t="s">
        <v>37</v>
      </c>
      <c r="S20" s="63" t="s">
        <v>37</v>
      </c>
      <c r="T20" s="63" t="s">
        <v>37</v>
      </c>
      <c r="U20" s="31" t="s">
        <v>34</v>
      </c>
      <c r="V20" s="31" t="s">
        <v>16</v>
      </c>
      <c r="W20" s="31" t="s">
        <v>16</v>
      </c>
      <c r="X20" s="31" t="s">
        <v>16</v>
      </c>
      <c r="Y20" s="31" t="s">
        <v>16</v>
      </c>
      <c r="Z20" s="39" t="s">
        <v>40</v>
      </c>
      <c r="AA20" s="39" t="s">
        <v>40</v>
      </c>
      <c r="AB20" s="62" t="s">
        <v>37</v>
      </c>
      <c r="AC20" s="62" t="s">
        <v>37</v>
      </c>
      <c r="AD20" s="62" t="s">
        <v>37</v>
      </c>
      <c r="AE20" s="62" t="s">
        <v>37</v>
      </c>
      <c r="AF20" s="62" t="s">
        <v>37</v>
      </c>
      <c r="AG20" s="19"/>
      <c r="AH20" s="42">
        <f t="shared" si="15"/>
        <v>4</v>
      </c>
      <c r="AI20" s="42">
        <f t="shared" si="16"/>
        <v>0</v>
      </c>
      <c r="AJ20" s="42">
        <f t="shared" si="17"/>
        <v>0</v>
      </c>
      <c r="AK20" s="42">
        <f t="shared" si="18"/>
        <v>0</v>
      </c>
      <c r="AL20" s="42">
        <f t="shared" si="19"/>
        <v>0</v>
      </c>
      <c r="AM20" s="42">
        <f t="shared" si="20"/>
        <v>2</v>
      </c>
      <c r="AN20" s="42">
        <f t="shared" si="21"/>
        <v>0</v>
      </c>
      <c r="AO20" s="42">
        <f t="shared" si="22"/>
        <v>0</v>
      </c>
      <c r="AP20" s="42">
        <f t="shared" si="23"/>
        <v>0</v>
      </c>
      <c r="AQ20" s="42">
        <f t="shared" si="24"/>
        <v>1</v>
      </c>
      <c r="AR20" s="26">
        <f>SUMIF('Spiffs &amp; Deductions'!A$3:A1005,A20,'Spiffs &amp; Deductions'!B$3:B1005)</f>
        <v>0</v>
      </c>
      <c r="AS20" s="26">
        <f>SUMIFs('Spiffs &amp; Deductions'!B$3:B1005,'Spiffs &amp; Deductions'!A$3:A1005,A20,'Spiffs &amp; Deductions'!C$3:C1005,$AS$3)</f>
        <v>0</v>
      </c>
      <c r="AT20" s="26">
        <f>SUMIF('Spiffs &amp; Deductions'!H$4:H1005,A20,'Spiffs &amp; Deductions'!I$4:I1005)</f>
        <v>0</v>
      </c>
      <c r="AU20" s="42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</row>
    <row r="22">
      <c r="A22" s="64" t="s">
        <v>28</v>
      </c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</row>
    <row r="23">
      <c r="A23" s="67" t="s">
        <v>45</v>
      </c>
      <c r="B23" s="68">
        <v>46081.0</v>
      </c>
      <c r="C23" s="68">
        <v>46082.0</v>
      </c>
      <c r="D23" s="68">
        <v>46083.0</v>
      </c>
      <c r="E23" s="68">
        <v>46084.0</v>
      </c>
      <c r="F23" s="68">
        <v>46085.0</v>
      </c>
      <c r="G23" s="68">
        <v>46086.0</v>
      </c>
      <c r="H23" s="68">
        <v>46087.0</v>
      </c>
      <c r="I23" s="68">
        <v>46088.0</v>
      </c>
      <c r="J23" s="68">
        <v>46089.0</v>
      </c>
      <c r="K23" s="68">
        <v>46090.0</v>
      </c>
      <c r="L23" s="68">
        <v>46091.0</v>
      </c>
      <c r="M23" s="68">
        <v>46092.0</v>
      </c>
      <c r="N23" s="68">
        <v>46093.0</v>
      </c>
      <c r="O23" s="68">
        <v>46094.0</v>
      </c>
      <c r="P23" s="68">
        <v>46095.0</v>
      </c>
      <c r="Q23" s="68">
        <v>46096.0</v>
      </c>
      <c r="R23" s="68">
        <v>46097.0</v>
      </c>
      <c r="S23" s="68">
        <v>46098.0</v>
      </c>
      <c r="T23" s="68">
        <v>46099.0</v>
      </c>
      <c r="U23" s="68">
        <v>46100.0</v>
      </c>
      <c r="V23" s="68">
        <v>46101.0</v>
      </c>
      <c r="W23" s="68">
        <v>46102.0</v>
      </c>
      <c r="X23" s="68">
        <v>46103.0</v>
      </c>
      <c r="Y23" s="68">
        <v>46104.0</v>
      </c>
      <c r="Z23" s="68">
        <v>46105.0</v>
      </c>
      <c r="AA23" s="68">
        <v>46106.0</v>
      </c>
      <c r="AB23" s="68">
        <v>46107.0</v>
      </c>
      <c r="AC23" s="68">
        <v>46108.0</v>
      </c>
      <c r="AD23" s="68"/>
      <c r="AE23" s="68"/>
      <c r="AF23" s="68"/>
      <c r="AG23" s="19"/>
      <c r="AH23" s="29" t="s">
        <v>46</v>
      </c>
      <c r="AI23" s="29" t="s">
        <v>47</v>
      </c>
      <c r="AK23" s="30" t="s">
        <v>40</v>
      </c>
      <c r="AN23" s="29" t="s">
        <v>33</v>
      </c>
      <c r="AO23" s="30" t="s">
        <v>48</v>
      </c>
      <c r="AP23" s="30" t="s">
        <v>49</v>
      </c>
      <c r="AQ23" s="29" t="s">
        <v>36</v>
      </c>
      <c r="AR23" s="31" t="s">
        <v>27</v>
      </c>
      <c r="AT23" s="31" t="s">
        <v>35</v>
      </c>
      <c r="AU23" s="20"/>
    </row>
    <row r="24">
      <c r="A24" s="52" t="s">
        <v>50</v>
      </c>
      <c r="B24" s="53">
        <f t="shared" ref="B24:AC24" si="25">B23</f>
        <v>46081</v>
      </c>
      <c r="C24" s="53">
        <f t="shared" si="25"/>
        <v>46082</v>
      </c>
      <c r="D24" s="53">
        <f t="shared" si="25"/>
        <v>46083</v>
      </c>
      <c r="E24" s="53">
        <f t="shared" si="25"/>
        <v>46084</v>
      </c>
      <c r="F24" s="53">
        <f t="shared" si="25"/>
        <v>46085</v>
      </c>
      <c r="G24" s="53">
        <f t="shared" si="25"/>
        <v>46086</v>
      </c>
      <c r="H24" s="53">
        <f t="shared" si="25"/>
        <v>46087</v>
      </c>
      <c r="I24" s="53">
        <f t="shared" si="25"/>
        <v>46088</v>
      </c>
      <c r="J24" s="53">
        <f t="shared" si="25"/>
        <v>46089</v>
      </c>
      <c r="K24" s="53">
        <f t="shared" si="25"/>
        <v>46090</v>
      </c>
      <c r="L24" s="53">
        <f t="shared" si="25"/>
        <v>46091</v>
      </c>
      <c r="M24" s="53">
        <f t="shared" si="25"/>
        <v>46092</v>
      </c>
      <c r="N24" s="53">
        <f t="shared" si="25"/>
        <v>46093</v>
      </c>
      <c r="O24" s="53">
        <f t="shared" si="25"/>
        <v>46094</v>
      </c>
      <c r="P24" s="53">
        <f t="shared" si="25"/>
        <v>46095</v>
      </c>
      <c r="Q24" s="53">
        <f t="shared" si="25"/>
        <v>46096</v>
      </c>
      <c r="R24" s="53">
        <f t="shared" si="25"/>
        <v>46097</v>
      </c>
      <c r="S24" s="53">
        <f t="shared" si="25"/>
        <v>46098</v>
      </c>
      <c r="T24" s="53">
        <f t="shared" si="25"/>
        <v>46099</v>
      </c>
      <c r="U24" s="53">
        <f t="shared" si="25"/>
        <v>46100</v>
      </c>
      <c r="V24" s="53">
        <f t="shared" si="25"/>
        <v>46101</v>
      </c>
      <c r="W24" s="53">
        <f t="shared" si="25"/>
        <v>46102</v>
      </c>
      <c r="X24" s="53">
        <f t="shared" si="25"/>
        <v>46103</v>
      </c>
      <c r="Y24" s="53">
        <f t="shared" si="25"/>
        <v>46104</v>
      </c>
      <c r="Z24" s="53">
        <f t="shared" si="25"/>
        <v>46105</v>
      </c>
      <c r="AA24" s="53">
        <f t="shared" si="25"/>
        <v>46106</v>
      </c>
      <c r="AB24" s="53">
        <f t="shared" si="25"/>
        <v>46107</v>
      </c>
      <c r="AC24" s="53">
        <f t="shared" si="25"/>
        <v>46108</v>
      </c>
      <c r="AD24" s="69"/>
      <c r="AE24" s="69"/>
      <c r="AF24" s="69"/>
      <c r="AG24" s="69"/>
      <c r="AH24" s="54" t="s">
        <v>16</v>
      </c>
      <c r="AI24" s="55" t="s">
        <v>18</v>
      </c>
      <c r="AJ24" s="54" t="s">
        <v>20</v>
      </c>
      <c r="AK24" s="54" t="s">
        <v>22</v>
      </c>
      <c r="AL24" s="54" t="s">
        <v>24</v>
      </c>
      <c r="AM24" s="55" t="s">
        <v>40</v>
      </c>
      <c r="AN24" s="54" t="s">
        <v>32</v>
      </c>
      <c r="AO24" s="55" t="s">
        <v>26</v>
      </c>
      <c r="AP24" s="54" t="s">
        <v>30</v>
      </c>
      <c r="AQ24" s="55" t="s">
        <v>34</v>
      </c>
      <c r="AR24" s="56" t="s">
        <v>51</v>
      </c>
      <c r="AS24" s="56" t="s">
        <v>52</v>
      </c>
      <c r="AU24" s="69"/>
    </row>
    <row r="25">
      <c r="A25" s="58" t="s">
        <v>3</v>
      </c>
      <c r="B25" s="61" t="s">
        <v>40</v>
      </c>
      <c r="C25" s="61" t="s">
        <v>40</v>
      </c>
      <c r="D25" s="61" t="s">
        <v>20</v>
      </c>
      <c r="E25" s="61" t="s">
        <v>16</v>
      </c>
      <c r="F25" s="61" t="s">
        <v>16</v>
      </c>
      <c r="G25" s="61" t="s">
        <v>16</v>
      </c>
      <c r="H25" s="61" t="s">
        <v>16</v>
      </c>
      <c r="I25" s="61" t="s">
        <v>40</v>
      </c>
      <c r="J25" s="61" t="s">
        <v>40</v>
      </c>
      <c r="K25" s="61" t="s">
        <v>16</v>
      </c>
      <c r="L25" s="61" t="s">
        <v>18</v>
      </c>
      <c r="M25" s="61" t="s">
        <v>16</v>
      </c>
      <c r="N25" s="61" t="s">
        <v>16</v>
      </c>
      <c r="O25" s="61" t="s">
        <v>16</v>
      </c>
      <c r="P25" s="61" t="s">
        <v>40</v>
      </c>
      <c r="Q25" s="61" t="s">
        <v>40</v>
      </c>
      <c r="R25" s="61" t="s">
        <v>16</v>
      </c>
      <c r="S25" s="61" t="s">
        <v>18</v>
      </c>
      <c r="T25" s="61" t="s">
        <v>26</v>
      </c>
      <c r="U25" s="61" t="s">
        <v>16</v>
      </c>
      <c r="V25" s="61" t="s">
        <v>40</v>
      </c>
      <c r="W25" s="61" t="s">
        <v>40</v>
      </c>
      <c r="X25" s="61" t="s">
        <v>40</v>
      </c>
      <c r="Y25" s="61" t="s">
        <v>16</v>
      </c>
      <c r="Z25" s="61" t="s">
        <v>16</v>
      </c>
      <c r="AA25" s="61" t="s">
        <v>16</v>
      </c>
      <c r="AB25" s="61" t="s">
        <v>16</v>
      </c>
      <c r="AC25" s="61" t="s">
        <v>16</v>
      </c>
      <c r="AD25" s="70"/>
      <c r="AE25" s="70"/>
      <c r="AF25" s="70"/>
      <c r="AG25" s="19"/>
      <c r="AH25" s="42">
        <f t="shared" ref="AH25:AH31" si="26">(countif(B25:AG25,AH$3))+AI25+AJ25+(AL25*0.5)+(AK25*0.75)</f>
        <v>18</v>
      </c>
      <c r="AI25" s="42">
        <f t="shared" ref="AI25:AI31" si="27">countif(B25:AG25,$AI$3)</f>
        <v>2</v>
      </c>
      <c r="AJ25" s="42">
        <f t="shared" ref="AJ25:AJ31" si="28">countif(B25:AG25,AJ$3)</f>
        <v>1</v>
      </c>
      <c r="AK25" s="42">
        <f t="shared" ref="AK25:AK31" si="29">countif(B25:AG25,AK$3)</f>
        <v>0</v>
      </c>
      <c r="AL25" s="42">
        <f t="shared" ref="AL25:AL31" si="30">countif(B25:AG25,AL$3)</f>
        <v>0</v>
      </c>
      <c r="AM25" s="42">
        <f t="shared" ref="AM25:AM31" si="31">countif(B25:AG25,$AM$3)</f>
        <v>9</v>
      </c>
      <c r="AN25" s="42">
        <f t="shared" ref="AN25:AN31" si="32">countif(B25:AG25,AN$3)</f>
        <v>0</v>
      </c>
      <c r="AO25" s="42">
        <f t="shared" ref="AO25:AO31" si="33">(countif(B25:AL25,"A"))</f>
        <v>1</v>
      </c>
      <c r="AP25" s="42">
        <f t="shared" ref="AP25:AP31" si="34">countif(B25:AO25,AP$3)</f>
        <v>0</v>
      </c>
      <c r="AQ25" s="42">
        <f t="shared" ref="AQ25:AQ31" si="35">countif(B25:AP25,AQ$3)</f>
        <v>0</v>
      </c>
      <c r="AR25" s="26">
        <f>SUMIF('Spiffs &amp; Deductions'!A$3:A1005,A25,'Spiffs &amp; Deductions'!B$3:B1005)</f>
        <v>0</v>
      </c>
      <c r="AS25" s="26">
        <f>SUMIFs('Spiffs &amp; Deductions'!B$3:B1005,'Spiffs &amp; Deductions'!A$3:A1005,A25,'Spiffs &amp; Deductions'!C$3:C1005,$AS$3)</f>
        <v>0</v>
      </c>
      <c r="AT25" s="26">
        <f>SUMIF('Spiffs &amp; Deductions'!H$4:H1005,A25,'Spiffs &amp; Deductions'!I$4:I1005)</f>
        <v>0</v>
      </c>
      <c r="AU25" s="20"/>
    </row>
    <row r="26">
      <c r="A26" s="57" t="s">
        <v>5</v>
      </c>
      <c r="B26" s="31" t="s">
        <v>40</v>
      </c>
      <c r="C26" s="31" t="s">
        <v>40</v>
      </c>
      <c r="D26" s="31" t="s">
        <v>16</v>
      </c>
      <c r="E26" s="31" t="s">
        <v>16</v>
      </c>
      <c r="F26" s="31" t="s">
        <v>16</v>
      </c>
      <c r="G26" s="31" t="s">
        <v>16</v>
      </c>
      <c r="H26" s="31" t="s">
        <v>26</v>
      </c>
      <c r="I26" s="31" t="s">
        <v>40</v>
      </c>
      <c r="J26" s="31" t="s">
        <v>40</v>
      </c>
      <c r="K26" s="31" t="s">
        <v>16</v>
      </c>
      <c r="L26" s="31" t="s">
        <v>16</v>
      </c>
      <c r="M26" s="31" t="s">
        <v>16</v>
      </c>
      <c r="N26" s="31" t="s">
        <v>16</v>
      </c>
      <c r="O26" s="31" t="s">
        <v>16</v>
      </c>
      <c r="P26" s="31" t="s">
        <v>40</v>
      </c>
      <c r="Q26" s="31" t="s">
        <v>40</v>
      </c>
      <c r="R26" s="31" t="s">
        <v>16</v>
      </c>
      <c r="S26" s="31" t="s">
        <v>20</v>
      </c>
      <c r="T26" s="31" t="s">
        <v>16</v>
      </c>
      <c r="U26" s="31" t="s">
        <v>16</v>
      </c>
      <c r="V26" s="31" t="s">
        <v>40</v>
      </c>
      <c r="W26" s="31" t="s">
        <v>40</v>
      </c>
      <c r="X26" s="31" t="s">
        <v>40</v>
      </c>
      <c r="Y26" s="31" t="s">
        <v>18</v>
      </c>
      <c r="Z26" s="31" t="s">
        <v>16</v>
      </c>
      <c r="AA26" s="31" t="s">
        <v>20</v>
      </c>
      <c r="AB26" s="31" t="s">
        <v>16</v>
      </c>
      <c r="AC26" s="31" t="s">
        <v>16</v>
      </c>
      <c r="AD26" s="26"/>
      <c r="AE26" s="26"/>
      <c r="AF26" s="26"/>
      <c r="AG26" s="19"/>
      <c r="AH26" s="42">
        <f t="shared" si="26"/>
        <v>18</v>
      </c>
      <c r="AI26" s="42">
        <f t="shared" si="27"/>
        <v>1</v>
      </c>
      <c r="AJ26" s="42">
        <f t="shared" si="28"/>
        <v>2</v>
      </c>
      <c r="AK26" s="42">
        <f t="shared" si="29"/>
        <v>0</v>
      </c>
      <c r="AL26" s="42">
        <f t="shared" si="30"/>
        <v>0</v>
      </c>
      <c r="AM26" s="42">
        <f t="shared" si="31"/>
        <v>9</v>
      </c>
      <c r="AN26" s="42">
        <f t="shared" si="32"/>
        <v>0</v>
      </c>
      <c r="AO26" s="42">
        <f t="shared" si="33"/>
        <v>1</v>
      </c>
      <c r="AP26" s="42">
        <f t="shared" si="34"/>
        <v>0</v>
      </c>
      <c r="AQ26" s="42">
        <f t="shared" si="35"/>
        <v>0</v>
      </c>
      <c r="AR26" s="26">
        <f>SUMIF('Spiffs &amp; Deductions'!A$3:A1005,A26,'Spiffs &amp; Deductions'!B$3:B1005)</f>
        <v>0</v>
      </c>
      <c r="AS26" s="26">
        <f>SUMIFs('Spiffs &amp; Deductions'!B$3:B1005,'Spiffs &amp; Deductions'!A$3:A1005,A26,'Spiffs &amp; Deductions'!C$3:C1005,$AS$3)</f>
        <v>0</v>
      </c>
      <c r="AT26" s="26">
        <f>SUMIF('Spiffs &amp; Deductions'!H$4:H1005,A26,'Spiffs &amp; Deductions'!I$4:I1005)</f>
        <v>0</v>
      </c>
      <c r="AU26" s="20"/>
    </row>
    <row r="27">
      <c r="A27" s="60" t="s">
        <v>6</v>
      </c>
      <c r="B27" s="61" t="s">
        <v>40</v>
      </c>
      <c r="C27" s="61" t="s">
        <v>40</v>
      </c>
      <c r="D27" s="61" t="s">
        <v>16</v>
      </c>
      <c r="E27" s="61" t="s">
        <v>16</v>
      </c>
      <c r="F27" s="61" t="s">
        <v>16</v>
      </c>
      <c r="G27" s="61" t="s">
        <v>16</v>
      </c>
      <c r="H27" s="61" t="s">
        <v>16</v>
      </c>
      <c r="I27" s="61" t="s">
        <v>40</v>
      </c>
      <c r="J27" s="61" t="s">
        <v>40</v>
      </c>
      <c r="K27" s="61" t="s">
        <v>16</v>
      </c>
      <c r="L27" s="61" t="s">
        <v>16</v>
      </c>
      <c r="M27" s="61" t="s">
        <v>16</v>
      </c>
      <c r="N27" s="61" t="s">
        <v>16</v>
      </c>
      <c r="O27" s="61" t="s">
        <v>24</v>
      </c>
      <c r="P27" s="61" t="s">
        <v>40</v>
      </c>
      <c r="Q27" s="61" t="s">
        <v>40</v>
      </c>
      <c r="R27" s="61" t="s">
        <v>16</v>
      </c>
      <c r="S27" s="61" t="s">
        <v>16</v>
      </c>
      <c r="T27" s="61" t="s">
        <v>16</v>
      </c>
      <c r="U27" s="61" t="s">
        <v>16</v>
      </c>
      <c r="V27" s="61" t="s">
        <v>40</v>
      </c>
      <c r="W27" s="61" t="s">
        <v>40</v>
      </c>
      <c r="X27" s="61" t="s">
        <v>40</v>
      </c>
      <c r="Y27" s="61" t="s">
        <v>16</v>
      </c>
      <c r="Z27" s="61" t="s">
        <v>16</v>
      </c>
      <c r="AA27" s="61" t="s">
        <v>26</v>
      </c>
      <c r="AB27" s="61" t="s">
        <v>16</v>
      </c>
      <c r="AC27" s="61" t="s">
        <v>16</v>
      </c>
      <c r="AD27" s="70"/>
      <c r="AE27" s="70"/>
      <c r="AF27" s="70"/>
      <c r="AG27" s="19"/>
      <c r="AH27" s="42">
        <f t="shared" si="26"/>
        <v>17.5</v>
      </c>
      <c r="AI27" s="42">
        <f t="shared" si="27"/>
        <v>0</v>
      </c>
      <c r="AJ27" s="42">
        <f t="shared" si="28"/>
        <v>0</v>
      </c>
      <c r="AK27" s="42">
        <f t="shared" si="29"/>
        <v>0</v>
      </c>
      <c r="AL27" s="42">
        <f t="shared" si="30"/>
        <v>1</v>
      </c>
      <c r="AM27" s="42">
        <f t="shared" si="31"/>
        <v>9</v>
      </c>
      <c r="AN27" s="42">
        <f t="shared" si="32"/>
        <v>0</v>
      </c>
      <c r="AO27" s="42">
        <f t="shared" si="33"/>
        <v>1</v>
      </c>
      <c r="AP27" s="42">
        <f t="shared" si="34"/>
        <v>0</v>
      </c>
      <c r="AQ27" s="42">
        <f t="shared" si="35"/>
        <v>0</v>
      </c>
      <c r="AR27" s="26">
        <f>SUMIF('Spiffs &amp; Deductions'!A$3:A1005,A27,'Spiffs &amp; Deductions'!B$3:B1005)</f>
        <v>0</v>
      </c>
      <c r="AS27" s="26">
        <f>SUMIFs('Spiffs &amp; Deductions'!B$3:B1005,'Spiffs &amp; Deductions'!A$3:A1005,A27,'Spiffs &amp; Deductions'!C$3:C1005,$AS$3)</f>
        <v>0</v>
      </c>
      <c r="AT27" s="26">
        <f>SUMIF('Spiffs &amp; Deductions'!H$4:H1005,A27,'Spiffs &amp; Deductions'!I$4:I1005)</f>
        <v>0</v>
      </c>
      <c r="AU27" s="20"/>
    </row>
    <row r="28">
      <c r="A28" s="59" t="s">
        <v>8</v>
      </c>
      <c r="B28" s="31" t="s">
        <v>40</v>
      </c>
      <c r="C28" s="31" t="s">
        <v>40</v>
      </c>
      <c r="D28" s="31" t="s">
        <v>16</v>
      </c>
      <c r="E28" s="31" t="s">
        <v>16</v>
      </c>
      <c r="F28" s="31" t="s">
        <v>16</v>
      </c>
      <c r="G28" s="31" t="s">
        <v>16</v>
      </c>
      <c r="H28" s="31" t="s">
        <v>16</v>
      </c>
      <c r="I28" s="31" t="s">
        <v>40</v>
      </c>
      <c r="J28" s="31" t="s">
        <v>40</v>
      </c>
      <c r="K28" s="31" t="s">
        <v>16</v>
      </c>
      <c r="L28" s="31" t="s">
        <v>16</v>
      </c>
      <c r="M28" s="31" t="s">
        <v>16</v>
      </c>
      <c r="N28" s="31" t="s">
        <v>16</v>
      </c>
      <c r="O28" s="31" t="s">
        <v>24</v>
      </c>
      <c r="P28" s="31" t="s">
        <v>40</v>
      </c>
      <c r="Q28" s="31" t="s">
        <v>40</v>
      </c>
      <c r="R28" s="31" t="s">
        <v>16</v>
      </c>
      <c r="S28" s="31" t="s">
        <v>16</v>
      </c>
      <c r="T28" s="31" t="s">
        <v>16</v>
      </c>
      <c r="U28" s="31" t="s">
        <v>16</v>
      </c>
      <c r="V28" s="31" t="s">
        <v>40</v>
      </c>
      <c r="W28" s="31" t="s">
        <v>40</v>
      </c>
      <c r="X28" s="31" t="s">
        <v>40</v>
      </c>
      <c r="Y28" s="31" t="s">
        <v>16</v>
      </c>
      <c r="Z28" s="31" t="s">
        <v>16</v>
      </c>
      <c r="AA28" s="31" t="s">
        <v>26</v>
      </c>
      <c r="AB28" s="31" t="s">
        <v>26</v>
      </c>
      <c r="AC28" s="31" t="s">
        <v>16</v>
      </c>
      <c r="AD28" s="26"/>
      <c r="AE28" s="26"/>
      <c r="AF28" s="26"/>
      <c r="AG28" s="19"/>
      <c r="AH28" s="42">
        <f t="shared" si="26"/>
        <v>16.5</v>
      </c>
      <c r="AI28" s="42">
        <f t="shared" si="27"/>
        <v>0</v>
      </c>
      <c r="AJ28" s="42">
        <f t="shared" si="28"/>
        <v>0</v>
      </c>
      <c r="AK28" s="42">
        <f t="shared" si="29"/>
        <v>0</v>
      </c>
      <c r="AL28" s="42">
        <f t="shared" si="30"/>
        <v>1</v>
      </c>
      <c r="AM28" s="42">
        <f t="shared" si="31"/>
        <v>9</v>
      </c>
      <c r="AN28" s="42">
        <f t="shared" si="32"/>
        <v>0</v>
      </c>
      <c r="AO28" s="42">
        <f t="shared" si="33"/>
        <v>2</v>
      </c>
      <c r="AP28" s="42">
        <f t="shared" si="34"/>
        <v>0</v>
      </c>
      <c r="AQ28" s="42">
        <f t="shared" si="35"/>
        <v>0</v>
      </c>
      <c r="AR28" s="26">
        <f>SUMIF('Spiffs &amp; Deductions'!A$3:A1005,A28,'Spiffs &amp; Deductions'!B$3:B1005)</f>
        <v>0</v>
      </c>
      <c r="AS28" s="26">
        <f>SUMIFs('Spiffs &amp; Deductions'!B$3:B1005,'Spiffs &amp; Deductions'!A$3:A1005,A28,'Spiffs &amp; Deductions'!C$3:C1005,$AS$3)</f>
        <v>0</v>
      </c>
      <c r="AT28" s="26">
        <f>SUMIF('Spiffs &amp; Deductions'!H$4:H1005,A28,'Spiffs &amp; Deductions'!I$4:I1005)</f>
        <v>0</v>
      </c>
      <c r="AU28" s="20"/>
    </row>
    <row r="29">
      <c r="A29" s="58" t="s">
        <v>9</v>
      </c>
      <c r="B29" s="61" t="s">
        <v>40</v>
      </c>
      <c r="C29" s="61" t="s">
        <v>40</v>
      </c>
      <c r="D29" s="70"/>
      <c r="E29" s="70"/>
      <c r="F29" s="70"/>
      <c r="G29" s="70"/>
      <c r="H29" s="70"/>
      <c r="I29" s="61" t="s">
        <v>40</v>
      </c>
      <c r="J29" s="61" t="s">
        <v>40</v>
      </c>
      <c r="K29" s="70"/>
      <c r="L29" s="70"/>
      <c r="M29" s="70"/>
      <c r="N29" s="70"/>
      <c r="O29" s="70"/>
      <c r="P29" s="61" t="s">
        <v>40</v>
      </c>
      <c r="Q29" s="61" t="s">
        <v>40</v>
      </c>
      <c r="R29" s="70"/>
      <c r="S29" s="70"/>
      <c r="T29" s="70"/>
      <c r="U29" s="70"/>
      <c r="V29" s="70"/>
      <c r="W29" s="61" t="s">
        <v>40</v>
      </c>
      <c r="X29" s="61" t="s">
        <v>40</v>
      </c>
      <c r="Y29" s="70"/>
      <c r="Z29" s="70"/>
      <c r="AA29" s="70"/>
      <c r="AB29" s="70"/>
      <c r="AC29" s="70"/>
      <c r="AD29" s="70"/>
      <c r="AE29" s="70"/>
      <c r="AF29" s="70"/>
      <c r="AG29" s="19"/>
      <c r="AH29" s="42">
        <f t="shared" si="26"/>
        <v>0</v>
      </c>
      <c r="AI29" s="42">
        <f t="shared" si="27"/>
        <v>0</v>
      </c>
      <c r="AJ29" s="42">
        <f t="shared" si="28"/>
        <v>0</v>
      </c>
      <c r="AK29" s="42">
        <f t="shared" si="29"/>
        <v>0</v>
      </c>
      <c r="AL29" s="42">
        <f t="shared" si="30"/>
        <v>0</v>
      </c>
      <c r="AM29" s="42">
        <f t="shared" si="31"/>
        <v>8</v>
      </c>
      <c r="AN29" s="42">
        <f t="shared" si="32"/>
        <v>0</v>
      </c>
      <c r="AO29" s="42">
        <f t="shared" si="33"/>
        <v>0</v>
      </c>
      <c r="AP29" s="42">
        <f t="shared" si="34"/>
        <v>0</v>
      </c>
      <c r="AQ29" s="42">
        <f t="shared" si="35"/>
        <v>0</v>
      </c>
      <c r="AR29" s="26">
        <f>SUMIF('Spiffs &amp; Deductions'!A$3:A1005,A29,'Spiffs &amp; Deductions'!B$3:B1005)</f>
        <v>0</v>
      </c>
      <c r="AS29" s="26">
        <f>SUMIFs('Spiffs &amp; Deductions'!B$3:B1005,'Spiffs &amp; Deductions'!A$3:A1005,A29,'Spiffs &amp; Deductions'!C$3:C1005,$AS$3)</f>
        <v>0</v>
      </c>
      <c r="AT29" s="26">
        <f>SUMIF('Spiffs &amp; Deductions'!H$4:H1005,A29,'Spiffs &amp; Deductions'!I$4:I1005)</f>
        <v>0</v>
      </c>
      <c r="AU29" s="20"/>
    </row>
    <row r="30">
      <c r="A30" s="71" t="s">
        <v>10</v>
      </c>
      <c r="B30" s="72" t="s">
        <v>40</v>
      </c>
      <c r="C30" s="72" t="s">
        <v>40</v>
      </c>
      <c r="D30" s="73"/>
      <c r="E30" s="73"/>
      <c r="F30" s="73"/>
      <c r="G30" s="73"/>
      <c r="H30" s="73"/>
      <c r="I30" s="72" t="s">
        <v>40</v>
      </c>
      <c r="J30" s="72" t="s">
        <v>40</v>
      </c>
      <c r="K30" s="73"/>
      <c r="L30" s="73"/>
      <c r="M30" s="73"/>
      <c r="N30" s="73"/>
      <c r="O30" s="73"/>
      <c r="P30" s="72" t="s">
        <v>40</v>
      </c>
      <c r="Q30" s="72" t="s">
        <v>40</v>
      </c>
      <c r="R30" s="73"/>
      <c r="S30" s="73"/>
      <c r="T30" s="73"/>
      <c r="U30" s="73"/>
      <c r="V30" s="73"/>
      <c r="W30" s="72" t="s">
        <v>40</v>
      </c>
      <c r="X30" s="72" t="s">
        <v>40</v>
      </c>
      <c r="Y30" s="73"/>
      <c r="Z30" s="73"/>
      <c r="AA30" s="73"/>
      <c r="AB30" s="73"/>
      <c r="AC30" s="73"/>
      <c r="AD30" s="73"/>
      <c r="AE30" s="73"/>
      <c r="AF30" s="73"/>
      <c r="AG30" s="73"/>
      <c r="AH30" s="42">
        <f t="shared" si="26"/>
        <v>0</v>
      </c>
      <c r="AI30" s="42">
        <f t="shared" si="27"/>
        <v>0</v>
      </c>
      <c r="AJ30" s="42">
        <f t="shared" si="28"/>
        <v>0</v>
      </c>
      <c r="AK30" s="42">
        <f t="shared" si="29"/>
        <v>0</v>
      </c>
      <c r="AL30" s="42">
        <f t="shared" si="30"/>
        <v>0</v>
      </c>
      <c r="AM30" s="42">
        <f t="shared" si="31"/>
        <v>8</v>
      </c>
      <c r="AN30" s="42">
        <f t="shared" si="32"/>
        <v>0</v>
      </c>
      <c r="AO30" s="42">
        <f t="shared" si="33"/>
        <v>0</v>
      </c>
      <c r="AP30" s="42">
        <f t="shared" si="34"/>
        <v>0</v>
      </c>
      <c r="AQ30" s="42">
        <f t="shared" si="35"/>
        <v>0</v>
      </c>
      <c r="AR30" s="26">
        <f>SUMIF('Spiffs &amp; Deductions'!A$3:A1005,A30,'Spiffs &amp; Deductions'!B$3:B1005)</f>
        <v>0</v>
      </c>
      <c r="AS30" s="26">
        <f>SUMIFs('Spiffs &amp; Deductions'!B$3:B1005,'Spiffs &amp; Deductions'!A$3:A1005,A30,'Spiffs &amp; Deductions'!C$3:C1005,$AS$3)</f>
        <v>0</v>
      </c>
      <c r="AT30" s="26">
        <f>SUMIF('Spiffs &amp; Deductions'!H$4:H1005,A30,'Spiffs &amp; Deductions'!I$4:I1005)</f>
        <v>0</v>
      </c>
      <c r="AU30" s="73"/>
    </row>
    <row r="31">
      <c r="A31" s="74" t="s">
        <v>53</v>
      </c>
      <c r="B31" s="72" t="s">
        <v>40</v>
      </c>
      <c r="C31" s="72" t="s">
        <v>40</v>
      </c>
      <c r="D31" s="73"/>
      <c r="E31" s="73"/>
      <c r="F31" s="73"/>
      <c r="G31" s="73"/>
      <c r="H31" s="73"/>
      <c r="I31" s="72" t="s">
        <v>40</v>
      </c>
      <c r="J31" s="72" t="s">
        <v>40</v>
      </c>
      <c r="K31" s="73"/>
      <c r="L31" s="73"/>
      <c r="M31" s="73"/>
      <c r="N31" s="73"/>
      <c r="O31" s="73"/>
      <c r="P31" s="72" t="s">
        <v>40</v>
      </c>
      <c r="Q31" s="72" t="s">
        <v>40</v>
      </c>
      <c r="R31" s="73"/>
      <c r="S31" s="73"/>
      <c r="T31" s="73"/>
      <c r="U31" s="73"/>
      <c r="V31" s="73"/>
      <c r="W31" s="72" t="s">
        <v>40</v>
      </c>
      <c r="X31" s="72" t="s">
        <v>40</v>
      </c>
      <c r="Y31" s="73"/>
      <c r="Z31" s="73"/>
      <c r="AA31" s="73"/>
      <c r="AB31" s="73"/>
      <c r="AC31" s="73"/>
      <c r="AD31" s="73"/>
      <c r="AE31" s="73"/>
      <c r="AF31" s="73"/>
      <c r="AG31" s="73"/>
      <c r="AH31" s="42">
        <f t="shared" si="26"/>
        <v>0</v>
      </c>
      <c r="AI31" s="42">
        <f t="shared" si="27"/>
        <v>0</v>
      </c>
      <c r="AJ31" s="42">
        <f t="shared" si="28"/>
        <v>0</v>
      </c>
      <c r="AK31" s="42">
        <f t="shared" si="29"/>
        <v>0</v>
      </c>
      <c r="AL31" s="42">
        <f t="shared" si="30"/>
        <v>0</v>
      </c>
      <c r="AM31" s="42">
        <f t="shared" si="31"/>
        <v>8</v>
      </c>
      <c r="AN31" s="42">
        <f t="shared" si="32"/>
        <v>0</v>
      </c>
      <c r="AO31" s="42">
        <f t="shared" si="33"/>
        <v>0</v>
      </c>
      <c r="AP31" s="42">
        <f t="shared" si="34"/>
        <v>0</v>
      </c>
      <c r="AQ31" s="42">
        <f t="shared" si="35"/>
        <v>0</v>
      </c>
      <c r="AR31" s="26">
        <f>SUMIF('Spiffs &amp; Deductions'!A$3:A1005,A31,'Spiffs &amp; Deductions'!B$3:B1005)</f>
        <v>0</v>
      </c>
      <c r="AS31" s="26">
        <f>SUMIFs('Spiffs &amp; Deductions'!B$3:B1005,'Spiffs &amp; Deductions'!A$3:A1005,A31,'Spiffs &amp; Deductions'!C$3:C1005,$AS$3)</f>
        <v>0</v>
      </c>
      <c r="AT31" s="26">
        <f>SUMIF('Spiffs &amp; Deductions'!H$4:H1005,A31,'Spiffs &amp; Deductions'!I$4:I1005)</f>
        <v>0</v>
      </c>
      <c r="AU31" s="73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</row>
    <row r="33">
      <c r="A33" s="64" t="s">
        <v>28</v>
      </c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</row>
    <row r="34">
      <c r="A34" s="29" t="s">
        <v>45</v>
      </c>
      <c r="B34" s="51">
        <v>46109.0</v>
      </c>
      <c r="C34" s="51">
        <v>46110.0</v>
      </c>
      <c r="D34" s="51">
        <v>46111.0</v>
      </c>
      <c r="E34" s="51">
        <v>46112.0</v>
      </c>
      <c r="F34" s="51">
        <v>46113.0</v>
      </c>
      <c r="G34" s="51">
        <v>46114.0</v>
      </c>
      <c r="H34" s="51">
        <v>46115.0</v>
      </c>
      <c r="I34" s="51">
        <v>46116.0</v>
      </c>
      <c r="J34" s="51">
        <v>46117.0</v>
      </c>
      <c r="K34" s="51">
        <v>46118.0</v>
      </c>
      <c r="L34" s="51">
        <v>46119.0</v>
      </c>
      <c r="M34" s="51">
        <v>46120.0</v>
      </c>
      <c r="N34" s="51">
        <v>46121.0</v>
      </c>
      <c r="O34" s="51">
        <v>46122.0</v>
      </c>
      <c r="P34" s="51">
        <v>46123.0</v>
      </c>
      <c r="Q34" s="51">
        <v>46124.0</v>
      </c>
      <c r="R34" s="51">
        <v>46125.0</v>
      </c>
      <c r="S34" s="51">
        <v>46126.0</v>
      </c>
      <c r="T34" s="51">
        <v>46127.0</v>
      </c>
      <c r="U34" s="51">
        <v>46128.0</v>
      </c>
      <c r="V34" s="51">
        <v>46129.0</v>
      </c>
      <c r="W34" s="51">
        <v>46130.0</v>
      </c>
      <c r="X34" s="51">
        <v>46131.0</v>
      </c>
      <c r="Y34" s="51">
        <v>46132.0</v>
      </c>
      <c r="Z34" s="51">
        <v>46133.0</v>
      </c>
      <c r="AA34" s="51">
        <v>46134.0</v>
      </c>
      <c r="AB34" s="51">
        <v>46135.0</v>
      </c>
      <c r="AC34" s="51">
        <v>46136.0</v>
      </c>
      <c r="AD34" s="51">
        <v>46137.0</v>
      </c>
      <c r="AE34" s="51">
        <v>46138.0</v>
      </c>
      <c r="AF34" s="51">
        <v>46139.0</v>
      </c>
      <c r="AG34" s="19"/>
      <c r="AH34" s="29" t="s">
        <v>46</v>
      </c>
      <c r="AI34" s="29" t="s">
        <v>47</v>
      </c>
      <c r="AK34" s="30" t="s">
        <v>40</v>
      </c>
      <c r="AN34" s="29" t="s">
        <v>33</v>
      </c>
      <c r="AO34" s="30" t="s">
        <v>48</v>
      </c>
      <c r="AP34" s="30" t="s">
        <v>49</v>
      </c>
      <c r="AQ34" s="29" t="s">
        <v>36</v>
      </c>
      <c r="AR34" s="31" t="s">
        <v>27</v>
      </c>
      <c r="AT34" s="31" t="s">
        <v>35</v>
      </c>
      <c r="AU34" s="20"/>
    </row>
    <row r="35">
      <c r="A35" s="52" t="s">
        <v>50</v>
      </c>
      <c r="B35" s="53">
        <f t="shared" ref="B35:AF35" si="36">B34</f>
        <v>46109</v>
      </c>
      <c r="C35" s="53">
        <f t="shared" si="36"/>
        <v>46110</v>
      </c>
      <c r="D35" s="53">
        <f t="shared" si="36"/>
        <v>46111</v>
      </c>
      <c r="E35" s="53">
        <f t="shared" si="36"/>
        <v>46112</v>
      </c>
      <c r="F35" s="53">
        <f t="shared" si="36"/>
        <v>46113</v>
      </c>
      <c r="G35" s="53">
        <f t="shared" si="36"/>
        <v>46114</v>
      </c>
      <c r="H35" s="53">
        <f t="shared" si="36"/>
        <v>46115</v>
      </c>
      <c r="I35" s="53">
        <f t="shared" si="36"/>
        <v>46116</v>
      </c>
      <c r="J35" s="53">
        <f t="shared" si="36"/>
        <v>46117</v>
      </c>
      <c r="K35" s="53">
        <f t="shared" si="36"/>
        <v>46118</v>
      </c>
      <c r="L35" s="53">
        <f t="shared" si="36"/>
        <v>46119</v>
      </c>
      <c r="M35" s="53">
        <f t="shared" si="36"/>
        <v>46120</v>
      </c>
      <c r="N35" s="53">
        <f t="shared" si="36"/>
        <v>46121</v>
      </c>
      <c r="O35" s="53">
        <f t="shared" si="36"/>
        <v>46122</v>
      </c>
      <c r="P35" s="53">
        <f t="shared" si="36"/>
        <v>46123</v>
      </c>
      <c r="Q35" s="53">
        <f t="shared" si="36"/>
        <v>46124</v>
      </c>
      <c r="R35" s="53">
        <f t="shared" si="36"/>
        <v>46125</v>
      </c>
      <c r="S35" s="53">
        <f t="shared" si="36"/>
        <v>46126</v>
      </c>
      <c r="T35" s="53">
        <f t="shared" si="36"/>
        <v>46127</v>
      </c>
      <c r="U35" s="53">
        <f t="shared" si="36"/>
        <v>46128</v>
      </c>
      <c r="V35" s="53">
        <f t="shared" si="36"/>
        <v>46129</v>
      </c>
      <c r="W35" s="53">
        <f t="shared" si="36"/>
        <v>46130</v>
      </c>
      <c r="X35" s="53">
        <f t="shared" si="36"/>
        <v>46131</v>
      </c>
      <c r="Y35" s="53">
        <f t="shared" si="36"/>
        <v>46132</v>
      </c>
      <c r="Z35" s="53">
        <f t="shared" si="36"/>
        <v>46133</v>
      </c>
      <c r="AA35" s="53">
        <f t="shared" si="36"/>
        <v>46134</v>
      </c>
      <c r="AB35" s="53">
        <f t="shared" si="36"/>
        <v>46135</v>
      </c>
      <c r="AC35" s="53">
        <f t="shared" si="36"/>
        <v>46136</v>
      </c>
      <c r="AD35" s="53">
        <f t="shared" si="36"/>
        <v>46137</v>
      </c>
      <c r="AE35" s="53">
        <f t="shared" si="36"/>
        <v>46138</v>
      </c>
      <c r="AF35" s="53">
        <f t="shared" si="36"/>
        <v>46139</v>
      </c>
      <c r="AG35" s="69"/>
      <c r="AH35" s="54" t="s">
        <v>16</v>
      </c>
      <c r="AI35" s="55" t="s">
        <v>18</v>
      </c>
      <c r="AJ35" s="54" t="s">
        <v>20</v>
      </c>
      <c r="AK35" s="54" t="s">
        <v>22</v>
      </c>
      <c r="AL35" s="54" t="s">
        <v>24</v>
      </c>
      <c r="AM35" s="55" t="s">
        <v>40</v>
      </c>
      <c r="AN35" s="54" t="s">
        <v>32</v>
      </c>
      <c r="AO35" s="55" t="s">
        <v>26</v>
      </c>
      <c r="AP35" s="54" t="s">
        <v>30</v>
      </c>
      <c r="AQ35" s="55" t="s">
        <v>34</v>
      </c>
      <c r="AR35" s="56" t="s">
        <v>51</v>
      </c>
      <c r="AS35" s="56" t="s">
        <v>52</v>
      </c>
      <c r="AU35" s="69"/>
    </row>
    <row r="36">
      <c r="A36" s="57" t="s">
        <v>3</v>
      </c>
      <c r="B36" s="31" t="s">
        <v>40</v>
      </c>
      <c r="C36" s="31" t="s">
        <v>40</v>
      </c>
      <c r="D36" s="31" t="s">
        <v>16</v>
      </c>
      <c r="E36" s="31" t="s">
        <v>24</v>
      </c>
      <c r="F36" s="31" t="s">
        <v>16</v>
      </c>
      <c r="G36" s="31" t="s">
        <v>22</v>
      </c>
      <c r="H36" s="31" t="s">
        <v>16</v>
      </c>
      <c r="I36" s="31" t="s">
        <v>40</v>
      </c>
      <c r="J36" s="31" t="s">
        <v>40</v>
      </c>
      <c r="K36" s="31" t="s">
        <v>16</v>
      </c>
      <c r="L36" s="31" t="s">
        <v>16</v>
      </c>
      <c r="M36" s="31" t="s">
        <v>16</v>
      </c>
      <c r="N36" s="31" t="s">
        <v>24</v>
      </c>
      <c r="O36" s="31" t="s">
        <v>16</v>
      </c>
      <c r="P36" s="31" t="s">
        <v>40</v>
      </c>
      <c r="Q36" s="31" t="s">
        <v>40</v>
      </c>
      <c r="R36" s="31" t="s">
        <v>16</v>
      </c>
      <c r="S36" s="31" t="s">
        <v>16</v>
      </c>
      <c r="T36" s="31" t="s">
        <v>16</v>
      </c>
      <c r="U36" s="31" t="s">
        <v>16</v>
      </c>
      <c r="V36" s="31" t="s">
        <v>16</v>
      </c>
      <c r="W36" s="31" t="s">
        <v>40</v>
      </c>
      <c r="X36" s="31" t="s">
        <v>40</v>
      </c>
      <c r="Y36" s="31" t="s">
        <v>16</v>
      </c>
      <c r="Z36" s="31" t="s">
        <v>16</v>
      </c>
      <c r="AA36" s="31" t="s">
        <v>16</v>
      </c>
      <c r="AB36" s="31" t="s">
        <v>24</v>
      </c>
      <c r="AC36" s="31" t="s">
        <v>16</v>
      </c>
      <c r="AD36" s="31" t="s">
        <v>40</v>
      </c>
      <c r="AE36" s="31" t="s">
        <v>40</v>
      </c>
      <c r="AF36" s="31" t="s">
        <v>20</v>
      </c>
      <c r="AG36" s="19"/>
      <c r="AH36" s="42">
        <f t="shared" ref="AH36:AH39" si="37">(countif(B36:AG36,AH$3))+AI36+AJ36+(AL36*0.5)+(AK36*0.75)</f>
        <v>19.25</v>
      </c>
      <c r="AI36" s="42">
        <f t="shared" ref="AI36:AI39" si="38">countif(B36:AG36,$AI$3)</f>
        <v>0</v>
      </c>
      <c r="AJ36" s="42">
        <f t="shared" ref="AJ36:AJ39" si="39">countif(B36:AG36,AJ$3)</f>
        <v>1</v>
      </c>
      <c r="AK36" s="42">
        <f t="shared" ref="AK36:AK39" si="40">countif(B36:AG36,AK$3)</f>
        <v>1</v>
      </c>
      <c r="AL36" s="42">
        <f t="shared" ref="AL36:AL39" si="41">countif(B36:AG36,AL$3)</f>
        <v>3</v>
      </c>
      <c r="AM36" s="42">
        <f t="shared" ref="AM36:AM39" si="42">countif(B36:AG36,$AM$3)</f>
        <v>10</v>
      </c>
      <c r="AN36" s="42">
        <f t="shared" ref="AN36:AN39" si="43">countif(B36:AG36,AN$3)</f>
        <v>0</v>
      </c>
      <c r="AO36" s="42">
        <f t="shared" ref="AO36:AO39" si="44">(countif(B36:AL36,"A"))</f>
        <v>0</v>
      </c>
      <c r="AP36" s="42">
        <f t="shared" ref="AP36:AP39" si="45">countif(B36:AO36,AP$3)</f>
        <v>0</v>
      </c>
      <c r="AQ36" s="42">
        <f t="shared" ref="AQ36:AQ39" si="46">countif(B36:AP36,AQ$3)</f>
        <v>0</v>
      </c>
      <c r="AR36" s="26">
        <f>SUMIF('Spiffs &amp; Deductions'!A$3:A1005,A36,'Spiffs &amp; Deductions'!B$3:B1005)</f>
        <v>0</v>
      </c>
      <c r="AS36" s="26">
        <f>SUMIFs('Spiffs &amp; Deductions'!B$3:B1005,'Spiffs &amp; Deductions'!A$3:A1005,A36,'Spiffs &amp; Deductions'!C$3:C1005,$AS$3)</f>
        <v>0</v>
      </c>
      <c r="AT36" s="26">
        <f>SUMIF('Spiffs &amp; Deductions'!H$4:H1005,A36,'Spiffs &amp; Deductions'!I$4:I1005)</f>
        <v>0</v>
      </c>
      <c r="AU36" s="20"/>
    </row>
    <row r="37">
      <c r="A37" s="58" t="s">
        <v>5</v>
      </c>
      <c r="B37" s="61" t="s">
        <v>40</v>
      </c>
      <c r="C37" s="61" t="s">
        <v>40</v>
      </c>
      <c r="D37" s="61" t="s">
        <v>16</v>
      </c>
      <c r="E37" s="61" t="s">
        <v>16</v>
      </c>
      <c r="F37" s="61" t="s">
        <v>16</v>
      </c>
      <c r="G37" s="61" t="s">
        <v>20</v>
      </c>
      <c r="H37" s="61" t="s">
        <v>16</v>
      </c>
      <c r="I37" s="61" t="s">
        <v>40</v>
      </c>
      <c r="J37" s="61" t="s">
        <v>40</v>
      </c>
      <c r="K37" s="61" t="s">
        <v>16</v>
      </c>
      <c r="L37" s="61" t="s">
        <v>16</v>
      </c>
      <c r="M37" s="61" t="s">
        <v>20</v>
      </c>
      <c r="N37" s="61" t="s">
        <v>16</v>
      </c>
      <c r="O37" s="61" t="s">
        <v>16</v>
      </c>
      <c r="P37" s="61" t="s">
        <v>40</v>
      </c>
      <c r="Q37" s="61" t="s">
        <v>40</v>
      </c>
      <c r="R37" s="61" t="s">
        <v>16</v>
      </c>
      <c r="S37" s="61" t="s">
        <v>16</v>
      </c>
      <c r="T37" s="61" t="s">
        <v>16</v>
      </c>
      <c r="U37" s="61" t="s">
        <v>16</v>
      </c>
      <c r="V37" s="61" t="s">
        <v>18</v>
      </c>
      <c r="W37" s="61" t="s">
        <v>40</v>
      </c>
      <c r="X37" s="61" t="s">
        <v>40</v>
      </c>
      <c r="Y37" s="61" t="s">
        <v>16</v>
      </c>
      <c r="Z37" s="61" t="s">
        <v>16</v>
      </c>
      <c r="AA37" s="61" t="s">
        <v>16</v>
      </c>
      <c r="AB37" s="61" t="s">
        <v>18</v>
      </c>
      <c r="AC37" s="61" t="s">
        <v>16</v>
      </c>
      <c r="AD37" s="61" t="s">
        <v>40</v>
      </c>
      <c r="AE37" s="61" t="s">
        <v>40</v>
      </c>
      <c r="AF37" s="61" t="s">
        <v>16</v>
      </c>
      <c r="AG37" s="19"/>
      <c r="AH37" s="42">
        <f t="shared" si="37"/>
        <v>21</v>
      </c>
      <c r="AI37" s="42">
        <f t="shared" si="38"/>
        <v>2</v>
      </c>
      <c r="AJ37" s="42">
        <f t="shared" si="39"/>
        <v>2</v>
      </c>
      <c r="AK37" s="42">
        <f t="shared" si="40"/>
        <v>0</v>
      </c>
      <c r="AL37" s="42">
        <f t="shared" si="41"/>
        <v>0</v>
      </c>
      <c r="AM37" s="42">
        <f t="shared" si="42"/>
        <v>10</v>
      </c>
      <c r="AN37" s="42">
        <f t="shared" si="43"/>
        <v>0</v>
      </c>
      <c r="AO37" s="42">
        <f t="shared" si="44"/>
        <v>0</v>
      </c>
      <c r="AP37" s="42">
        <f t="shared" si="45"/>
        <v>0</v>
      </c>
      <c r="AQ37" s="42">
        <f t="shared" si="46"/>
        <v>0</v>
      </c>
      <c r="AR37" s="26">
        <f>SUMIF('Spiffs &amp; Deductions'!A$3:A1005,A37,'Spiffs &amp; Deductions'!B$3:B1005)</f>
        <v>0</v>
      </c>
      <c r="AS37" s="26">
        <f>SUMIFs('Spiffs &amp; Deductions'!B$3:B1005,'Spiffs &amp; Deductions'!A$3:A1005,A37,'Spiffs &amp; Deductions'!C$3:C1005,$AS$3)</f>
        <v>0</v>
      </c>
      <c r="AT37" s="26">
        <f>SUMIF('Spiffs &amp; Deductions'!H$4:H1005,A37,'Spiffs &amp; Deductions'!I$4:I1005)</f>
        <v>0</v>
      </c>
      <c r="AU37" s="20"/>
    </row>
    <row r="38">
      <c r="A38" s="59" t="s">
        <v>6</v>
      </c>
      <c r="B38" s="31" t="s">
        <v>40</v>
      </c>
      <c r="C38" s="31" t="s">
        <v>40</v>
      </c>
      <c r="D38" s="31" t="s">
        <v>20</v>
      </c>
      <c r="E38" s="31" t="s">
        <v>26</v>
      </c>
      <c r="F38" s="31" t="s">
        <v>16</v>
      </c>
      <c r="G38" s="31" t="s">
        <v>16</v>
      </c>
      <c r="H38" s="31" t="s">
        <v>16</v>
      </c>
      <c r="I38" s="31" t="s">
        <v>40</v>
      </c>
      <c r="J38" s="31" t="s">
        <v>40</v>
      </c>
      <c r="K38" s="31" t="s">
        <v>16</v>
      </c>
      <c r="L38" s="31" t="s">
        <v>16</v>
      </c>
      <c r="M38" s="31" t="s">
        <v>16</v>
      </c>
      <c r="N38" s="31" t="s">
        <v>16</v>
      </c>
      <c r="O38" s="31" t="s">
        <v>16</v>
      </c>
      <c r="P38" s="31" t="s">
        <v>40</v>
      </c>
      <c r="Q38" s="31" t="s">
        <v>40</v>
      </c>
      <c r="R38" s="31" t="s">
        <v>16</v>
      </c>
      <c r="S38" s="31" t="s">
        <v>16</v>
      </c>
      <c r="T38" s="31" t="s">
        <v>20</v>
      </c>
      <c r="U38" s="31" t="s">
        <v>16</v>
      </c>
      <c r="V38" s="31" t="s">
        <v>16</v>
      </c>
      <c r="W38" s="31" t="s">
        <v>40</v>
      </c>
      <c r="X38" s="31" t="s">
        <v>40</v>
      </c>
      <c r="Y38" s="31" t="s">
        <v>24</v>
      </c>
      <c r="Z38" s="31" t="s">
        <v>16</v>
      </c>
      <c r="AA38" s="31" t="s">
        <v>16</v>
      </c>
      <c r="AB38" s="31" t="s">
        <v>16</v>
      </c>
      <c r="AC38" s="31" t="s">
        <v>24</v>
      </c>
      <c r="AD38" s="31" t="s">
        <v>40</v>
      </c>
      <c r="AE38" s="31" t="s">
        <v>40</v>
      </c>
      <c r="AF38" s="31" t="s">
        <v>16</v>
      </c>
      <c r="AG38" s="19"/>
      <c r="AH38" s="42">
        <f t="shared" si="37"/>
        <v>19</v>
      </c>
      <c r="AI38" s="42">
        <f t="shared" si="38"/>
        <v>0</v>
      </c>
      <c r="AJ38" s="42">
        <f t="shared" si="39"/>
        <v>2</v>
      </c>
      <c r="AK38" s="42">
        <f t="shared" si="40"/>
        <v>0</v>
      </c>
      <c r="AL38" s="42">
        <f t="shared" si="41"/>
        <v>2</v>
      </c>
      <c r="AM38" s="42">
        <f t="shared" si="42"/>
        <v>10</v>
      </c>
      <c r="AN38" s="42">
        <f t="shared" si="43"/>
        <v>0</v>
      </c>
      <c r="AO38" s="42">
        <f t="shared" si="44"/>
        <v>1</v>
      </c>
      <c r="AP38" s="42">
        <f t="shared" si="45"/>
        <v>0</v>
      </c>
      <c r="AQ38" s="42">
        <f t="shared" si="46"/>
        <v>0</v>
      </c>
      <c r="AR38" s="26">
        <f>SUMIF('Spiffs &amp; Deductions'!A$3:A1005,A38,'Spiffs &amp; Deductions'!B$3:B1005)</f>
        <v>0</v>
      </c>
      <c r="AS38" s="26">
        <f>SUMIFs('Spiffs &amp; Deductions'!B$3:B1005,'Spiffs &amp; Deductions'!A$3:A1005,A38,'Spiffs &amp; Deductions'!C$3:C1005,$AS$3)</f>
        <v>0</v>
      </c>
      <c r="AT38" s="26">
        <f>SUMIF('Spiffs &amp; Deductions'!H$4:H1005,A38,'Spiffs &amp; Deductions'!I$4:I1005)</f>
        <v>0</v>
      </c>
      <c r="AU38" s="20"/>
    </row>
    <row r="39">
      <c r="A39" s="60" t="s">
        <v>8</v>
      </c>
      <c r="B39" s="61" t="s">
        <v>40</v>
      </c>
      <c r="C39" s="61" t="s">
        <v>40</v>
      </c>
      <c r="D39" s="61" t="s">
        <v>24</v>
      </c>
      <c r="E39" s="61" t="s">
        <v>26</v>
      </c>
      <c r="F39" s="61" t="s">
        <v>26</v>
      </c>
      <c r="G39" s="61" t="s">
        <v>16</v>
      </c>
      <c r="H39" s="61" t="s">
        <v>16</v>
      </c>
      <c r="I39" s="61" t="s">
        <v>40</v>
      </c>
      <c r="J39" s="61" t="s">
        <v>40</v>
      </c>
      <c r="K39" s="61" t="s">
        <v>16</v>
      </c>
      <c r="L39" s="61" t="s">
        <v>16</v>
      </c>
      <c r="M39" s="61" t="s">
        <v>16</v>
      </c>
      <c r="N39" s="61" t="s">
        <v>16</v>
      </c>
      <c r="O39" s="61" t="s">
        <v>16</v>
      </c>
      <c r="P39" s="61" t="s">
        <v>40</v>
      </c>
      <c r="Q39" s="61" t="s">
        <v>40</v>
      </c>
      <c r="R39" s="61" t="s">
        <v>16</v>
      </c>
      <c r="S39" s="61" t="s">
        <v>16</v>
      </c>
      <c r="T39" s="61" t="s">
        <v>16</v>
      </c>
      <c r="U39" s="61" t="s">
        <v>16</v>
      </c>
      <c r="V39" s="61" t="s">
        <v>16</v>
      </c>
      <c r="W39" s="61" t="s">
        <v>40</v>
      </c>
      <c r="X39" s="61" t="s">
        <v>40</v>
      </c>
      <c r="Y39" s="61" t="s">
        <v>26</v>
      </c>
      <c r="Z39" s="61" t="s">
        <v>16</v>
      </c>
      <c r="AA39" s="61" t="s">
        <v>16</v>
      </c>
      <c r="AB39" s="61" t="s">
        <v>16</v>
      </c>
      <c r="AC39" s="61" t="s">
        <v>16</v>
      </c>
      <c r="AD39" s="61" t="s">
        <v>40</v>
      </c>
      <c r="AE39" s="61" t="s">
        <v>40</v>
      </c>
      <c r="AF39" s="61" t="s">
        <v>16</v>
      </c>
      <c r="AG39" s="19"/>
      <c r="AH39" s="42">
        <f t="shared" si="37"/>
        <v>17.5</v>
      </c>
      <c r="AI39" s="42">
        <f t="shared" si="38"/>
        <v>0</v>
      </c>
      <c r="AJ39" s="42">
        <f t="shared" si="39"/>
        <v>0</v>
      </c>
      <c r="AK39" s="42">
        <f t="shared" si="40"/>
        <v>0</v>
      </c>
      <c r="AL39" s="42">
        <f t="shared" si="41"/>
        <v>1</v>
      </c>
      <c r="AM39" s="42">
        <f t="shared" si="42"/>
        <v>10</v>
      </c>
      <c r="AN39" s="42">
        <f t="shared" si="43"/>
        <v>0</v>
      </c>
      <c r="AO39" s="42">
        <f t="shared" si="44"/>
        <v>3</v>
      </c>
      <c r="AP39" s="42">
        <f t="shared" si="45"/>
        <v>0</v>
      </c>
      <c r="AQ39" s="42">
        <f t="shared" si="46"/>
        <v>0</v>
      </c>
      <c r="AR39" s="26">
        <f>SUMIF('Spiffs &amp; Deductions'!A$3:A1005,A39,'Spiffs &amp; Deductions'!B$3:B1005)</f>
        <v>0</v>
      </c>
      <c r="AS39" s="26">
        <f>SUMIFs('Spiffs &amp; Deductions'!B$3:B1005,'Spiffs &amp; Deductions'!A$3:A1005,A39,'Spiffs &amp; Deductions'!C$3:C1005,$AS$3)</f>
        <v>0</v>
      </c>
      <c r="AT39" s="26">
        <f>SUMIF('Spiffs &amp; Deductions'!H$4:H1005,A39,'Spiffs &amp; Deductions'!I$4:I1005)</f>
        <v>0</v>
      </c>
      <c r="AU39" s="20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</row>
    <row r="41">
      <c r="A41" s="64" t="s">
        <v>28</v>
      </c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</row>
    <row r="42">
      <c r="A42" s="29" t="s">
        <v>45</v>
      </c>
      <c r="B42" s="51">
        <v>46140.0</v>
      </c>
      <c r="C42" s="51">
        <v>46141.0</v>
      </c>
      <c r="D42" s="51">
        <v>46142.0</v>
      </c>
      <c r="E42" s="51">
        <v>46143.0</v>
      </c>
      <c r="F42" s="51">
        <v>46144.0</v>
      </c>
      <c r="G42" s="51">
        <v>46145.0</v>
      </c>
      <c r="H42" s="51">
        <v>46146.0</v>
      </c>
      <c r="I42" s="51">
        <v>46147.0</v>
      </c>
      <c r="J42" s="51">
        <v>46148.0</v>
      </c>
      <c r="K42" s="51">
        <v>46149.0</v>
      </c>
      <c r="L42" s="51">
        <v>46150.0</v>
      </c>
      <c r="M42" s="51">
        <v>46151.0</v>
      </c>
      <c r="N42" s="51">
        <v>46152.0</v>
      </c>
      <c r="O42" s="51">
        <v>46153.0</v>
      </c>
      <c r="P42" s="51">
        <v>46154.0</v>
      </c>
      <c r="Q42" s="51">
        <v>46155.0</v>
      </c>
      <c r="R42" s="51">
        <v>46156.0</v>
      </c>
      <c r="S42" s="51">
        <v>46157.0</v>
      </c>
      <c r="T42" s="51">
        <v>46158.0</v>
      </c>
      <c r="U42" s="51">
        <v>46159.0</v>
      </c>
      <c r="V42" s="51">
        <v>46160.0</v>
      </c>
      <c r="W42" s="51">
        <v>46161.0</v>
      </c>
      <c r="X42" s="51">
        <v>46162.0</v>
      </c>
      <c r="Y42" s="51">
        <v>46163.0</v>
      </c>
      <c r="Z42" s="51">
        <v>46164.0</v>
      </c>
      <c r="AA42" s="51">
        <v>46165.0</v>
      </c>
      <c r="AB42" s="51">
        <v>46166.0</v>
      </c>
      <c r="AC42" s="51">
        <v>46167.0</v>
      </c>
      <c r="AD42" s="51">
        <v>46168.0</v>
      </c>
      <c r="AE42" s="51">
        <v>46169.0</v>
      </c>
      <c r="AF42" s="51">
        <v>46170.0</v>
      </c>
      <c r="AG42" s="19"/>
      <c r="AH42" s="29" t="s">
        <v>46</v>
      </c>
      <c r="AI42" s="29" t="s">
        <v>47</v>
      </c>
      <c r="AK42" s="30" t="s">
        <v>40</v>
      </c>
      <c r="AN42" s="29" t="s">
        <v>33</v>
      </c>
      <c r="AO42" s="30" t="s">
        <v>48</v>
      </c>
      <c r="AP42" s="30" t="s">
        <v>49</v>
      </c>
      <c r="AQ42" s="29" t="s">
        <v>36</v>
      </c>
      <c r="AR42" s="31" t="s">
        <v>27</v>
      </c>
      <c r="AT42" s="31" t="s">
        <v>35</v>
      </c>
      <c r="AU42" s="20"/>
    </row>
    <row r="43">
      <c r="A43" s="52" t="s">
        <v>50</v>
      </c>
      <c r="B43" s="53">
        <f t="shared" ref="B43:AF43" si="47">B42</f>
        <v>46140</v>
      </c>
      <c r="C43" s="53">
        <f t="shared" si="47"/>
        <v>46141</v>
      </c>
      <c r="D43" s="53">
        <f t="shared" si="47"/>
        <v>46142</v>
      </c>
      <c r="E43" s="53">
        <f t="shared" si="47"/>
        <v>46143</v>
      </c>
      <c r="F43" s="53">
        <f t="shared" si="47"/>
        <v>46144</v>
      </c>
      <c r="G43" s="53">
        <f t="shared" si="47"/>
        <v>46145</v>
      </c>
      <c r="H43" s="53">
        <f t="shared" si="47"/>
        <v>46146</v>
      </c>
      <c r="I43" s="53">
        <f t="shared" si="47"/>
        <v>46147</v>
      </c>
      <c r="J43" s="53">
        <f t="shared" si="47"/>
        <v>46148</v>
      </c>
      <c r="K43" s="53">
        <f t="shared" si="47"/>
        <v>46149</v>
      </c>
      <c r="L43" s="53">
        <f t="shared" si="47"/>
        <v>46150</v>
      </c>
      <c r="M43" s="53">
        <f t="shared" si="47"/>
        <v>46151</v>
      </c>
      <c r="N43" s="53">
        <f t="shared" si="47"/>
        <v>46152</v>
      </c>
      <c r="O43" s="53">
        <f t="shared" si="47"/>
        <v>46153</v>
      </c>
      <c r="P43" s="53">
        <f t="shared" si="47"/>
        <v>46154</v>
      </c>
      <c r="Q43" s="53">
        <f t="shared" si="47"/>
        <v>46155</v>
      </c>
      <c r="R43" s="53">
        <f t="shared" si="47"/>
        <v>46156</v>
      </c>
      <c r="S43" s="53">
        <f t="shared" si="47"/>
        <v>46157</v>
      </c>
      <c r="T43" s="53">
        <f t="shared" si="47"/>
        <v>46158</v>
      </c>
      <c r="U43" s="53">
        <f t="shared" si="47"/>
        <v>46159</v>
      </c>
      <c r="V43" s="53">
        <f t="shared" si="47"/>
        <v>46160</v>
      </c>
      <c r="W43" s="53">
        <f t="shared" si="47"/>
        <v>46161</v>
      </c>
      <c r="X43" s="53">
        <f t="shared" si="47"/>
        <v>46162</v>
      </c>
      <c r="Y43" s="53">
        <f t="shared" si="47"/>
        <v>46163</v>
      </c>
      <c r="Z43" s="53">
        <f t="shared" si="47"/>
        <v>46164</v>
      </c>
      <c r="AA43" s="53">
        <f t="shared" si="47"/>
        <v>46165</v>
      </c>
      <c r="AB43" s="53">
        <f t="shared" si="47"/>
        <v>46166</v>
      </c>
      <c r="AC43" s="53">
        <f t="shared" si="47"/>
        <v>46167</v>
      </c>
      <c r="AD43" s="53">
        <f t="shared" si="47"/>
        <v>46168</v>
      </c>
      <c r="AE43" s="53">
        <f t="shared" si="47"/>
        <v>46169</v>
      </c>
      <c r="AF43" s="53">
        <f t="shared" si="47"/>
        <v>46170</v>
      </c>
      <c r="AG43" s="69"/>
      <c r="AH43" s="54" t="s">
        <v>16</v>
      </c>
      <c r="AI43" s="55" t="s">
        <v>18</v>
      </c>
      <c r="AJ43" s="54" t="s">
        <v>20</v>
      </c>
      <c r="AK43" s="54" t="s">
        <v>22</v>
      </c>
      <c r="AL43" s="54" t="s">
        <v>24</v>
      </c>
      <c r="AM43" s="55" t="s">
        <v>40</v>
      </c>
      <c r="AN43" s="54" t="s">
        <v>32</v>
      </c>
      <c r="AO43" s="55" t="s">
        <v>26</v>
      </c>
      <c r="AP43" s="54" t="s">
        <v>30</v>
      </c>
      <c r="AQ43" s="55" t="s">
        <v>34</v>
      </c>
      <c r="AR43" s="56" t="s">
        <v>51</v>
      </c>
      <c r="AS43" s="56" t="s">
        <v>52</v>
      </c>
      <c r="AU43" s="69"/>
    </row>
    <row r="44">
      <c r="A44" s="57" t="s">
        <v>3</v>
      </c>
      <c r="B44" s="31" t="s">
        <v>16</v>
      </c>
      <c r="C44" s="31" t="s">
        <v>16</v>
      </c>
      <c r="D44" s="31" t="s">
        <v>16</v>
      </c>
      <c r="E44" s="31" t="s">
        <v>16</v>
      </c>
      <c r="F44" s="31" t="s">
        <v>40</v>
      </c>
      <c r="G44" s="31" t="s">
        <v>40</v>
      </c>
      <c r="H44" s="31" t="s">
        <v>16</v>
      </c>
      <c r="I44" s="31" t="s">
        <v>24</v>
      </c>
      <c r="J44" s="31" t="s">
        <v>24</v>
      </c>
      <c r="K44" s="31" t="s">
        <v>16</v>
      </c>
      <c r="L44" s="31" t="s">
        <v>16</v>
      </c>
      <c r="M44" s="31" t="s">
        <v>40</v>
      </c>
      <c r="N44" s="31" t="s">
        <v>40</v>
      </c>
      <c r="O44" s="31" t="s">
        <v>20</v>
      </c>
      <c r="P44" s="31" t="s">
        <v>16</v>
      </c>
      <c r="Q44" s="31" t="s">
        <v>24</v>
      </c>
      <c r="R44" s="31" t="s">
        <v>20</v>
      </c>
      <c r="S44" s="31" t="s">
        <v>16</v>
      </c>
      <c r="T44" s="31" t="s">
        <v>40</v>
      </c>
      <c r="U44" s="31" t="s">
        <v>40</v>
      </c>
      <c r="V44" s="31" t="s">
        <v>16</v>
      </c>
      <c r="W44" s="31" t="s">
        <v>16</v>
      </c>
      <c r="X44" s="31" t="s">
        <v>24</v>
      </c>
      <c r="Y44" s="31" t="s">
        <v>16</v>
      </c>
      <c r="Z44" s="31" t="s">
        <v>16</v>
      </c>
      <c r="AA44" s="31" t="s">
        <v>40</v>
      </c>
      <c r="AB44" s="31" t="s">
        <v>40</v>
      </c>
      <c r="AC44" s="31" t="s">
        <v>40</v>
      </c>
      <c r="AD44" s="31" t="s">
        <v>32</v>
      </c>
      <c r="AE44" s="31" t="s">
        <v>40</v>
      </c>
      <c r="AF44" s="31" t="s">
        <v>40</v>
      </c>
      <c r="AG44" s="19"/>
      <c r="AH44" s="42">
        <f t="shared" ref="AH44:AH47" si="48">(countif(B44:AG44,AH$3))+AI44+AJ44+(AL44*0.5)+(AK44*0.75)</f>
        <v>17</v>
      </c>
      <c r="AI44" s="42">
        <f t="shared" ref="AI44:AI47" si="49">countif(B44:AG44,$AI$3)</f>
        <v>0</v>
      </c>
      <c r="AJ44" s="42">
        <f t="shared" ref="AJ44:AJ47" si="50">countif(B44:AG44,AJ$3)</f>
        <v>2</v>
      </c>
      <c r="AK44" s="42">
        <f t="shared" ref="AK44:AK47" si="51">countif(B44:AG44,AK$3)</f>
        <v>0</v>
      </c>
      <c r="AL44" s="42">
        <f t="shared" ref="AL44:AL47" si="52">countif(B44:AG44,AL$3)</f>
        <v>4</v>
      </c>
      <c r="AM44" s="42">
        <f t="shared" ref="AM44:AM47" si="53">countif(B44:AG44,$AM$3)</f>
        <v>11</v>
      </c>
      <c r="AN44" s="42">
        <f t="shared" ref="AN44:AN47" si="54">countif(B44:AG44,AN$3)</f>
        <v>1</v>
      </c>
      <c r="AO44" s="42">
        <f t="shared" ref="AO44:AO47" si="55">(countif(B44:AL44,"A"))</f>
        <v>0</v>
      </c>
      <c r="AP44" s="42">
        <f t="shared" ref="AP44:AP47" si="56">countif(B44:AO44,AP$3)</f>
        <v>0</v>
      </c>
      <c r="AQ44" s="42">
        <f t="shared" ref="AQ44:AQ47" si="57">countif(B44:AP44,AQ$3)</f>
        <v>0</v>
      </c>
      <c r="AR44" s="26">
        <f>SUMIF('Spiffs &amp; Deductions'!A$3:A1005,A44,'Spiffs &amp; Deductions'!B$3:B1005)</f>
        <v>0</v>
      </c>
      <c r="AS44" s="26">
        <f>SUMIFs('Spiffs &amp; Deductions'!B$3:B1005,'Spiffs &amp; Deductions'!A$3:A1005,A44,'Spiffs &amp; Deductions'!C$3:C1005,$AS$3)</f>
        <v>0</v>
      </c>
      <c r="AT44" s="26">
        <f t="shared" ref="AT44:AT47" si="58">AK44*0.25+AL44*0.5</f>
        <v>2</v>
      </c>
      <c r="AU44" s="20">
        <f t="shared" ref="AU44:AU47" si="59">AI44*25+AJ44*50</f>
        <v>100</v>
      </c>
    </row>
    <row r="45">
      <c r="A45" s="58" t="s">
        <v>5</v>
      </c>
      <c r="B45" s="61" t="s">
        <v>16</v>
      </c>
      <c r="C45" s="61" t="s">
        <v>16</v>
      </c>
      <c r="D45" s="61" t="s">
        <v>16</v>
      </c>
      <c r="E45" s="61" t="s">
        <v>16</v>
      </c>
      <c r="F45" s="61" t="s">
        <v>40</v>
      </c>
      <c r="G45" s="61" t="s">
        <v>40</v>
      </c>
      <c r="H45" s="61" t="s">
        <v>16</v>
      </c>
      <c r="I45" s="61" t="s">
        <v>16</v>
      </c>
      <c r="J45" s="61" t="s">
        <v>16</v>
      </c>
      <c r="K45" s="61" t="s">
        <v>16</v>
      </c>
      <c r="L45" s="61" t="s">
        <v>16</v>
      </c>
      <c r="M45" s="61" t="s">
        <v>40</v>
      </c>
      <c r="N45" s="61" t="s">
        <v>40</v>
      </c>
      <c r="O45" s="61" t="s">
        <v>16</v>
      </c>
      <c r="P45" s="61" t="s">
        <v>16</v>
      </c>
      <c r="Q45" s="61" t="s">
        <v>20</v>
      </c>
      <c r="R45" s="61" t="s">
        <v>16</v>
      </c>
      <c r="S45" s="61" t="s">
        <v>16</v>
      </c>
      <c r="T45" s="61" t="s">
        <v>40</v>
      </c>
      <c r="U45" s="61" t="s">
        <v>40</v>
      </c>
      <c r="V45" s="61" t="s">
        <v>16</v>
      </c>
      <c r="W45" s="61" t="s">
        <v>20</v>
      </c>
      <c r="X45" s="61" t="s">
        <v>16</v>
      </c>
      <c r="Y45" s="61" t="s">
        <v>22</v>
      </c>
      <c r="Z45" s="61" t="s">
        <v>16</v>
      </c>
      <c r="AA45" s="61" t="s">
        <v>40</v>
      </c>
      <c r="AB45" s="61" t="s">
        <v>40</v>
      </c>
      <c r="AC45" s="61" t="s">
        <v>40</v>
      </c>
      <c r="AD45" s="61" t="s">
        <v>32</v>
      </c>
      <c r="AE45" s="61" t="s">
        <v>40</v>
      </c>
      <c r="AF45" s="61" t="s">
        <v>40</v>
      </c>
      <c r="AG45" s="19"/>
      <c r="AH45" s="42">
        <f t="shared" si="48"/>
        <v>18.75</v>
      </c>
      <c r="AI45" s="42">
        <f t="shared" si="49"/>
        <v>0</v>
      </c>
      <c r="AJ45" s="42">
        <f t="shared" si="50"/>
        <v>2</v>
      </c>
      <c r="AK45" s="42">
        <f t="shared" si="51"/>
        <v>1</v>
      </c>
      <c r="AL45" s="42">
        <f t="shared" si="52"/>
        <v>0</v>
      </c>
      <c r="AM45" s="42">
        <f t="shared" si="53"/>
        <v>11</v>
      </c>
      <c r="AN45" s="42">
        <f t="shared" si="54"/>
        <v>1</v>
      </c>
      <c r="AO45" s="42">
        <f t="shared" si="55"/>
        <v>0</v>
      </c>
      <c r="AP45" s="42">
        <f t="shared" si="56"/>
        <v>0</v>
      </c>
      <c r="AQ45" s="42">
        <f t="shared" si="57"/>
        <v>0</v>
      </c>
      <c r="AR45" s="26">
        <f>SUMIF('Spiffs &amp; Deductions'!A$3:A1005,A45,'Spiffs &amp; Deductions'!B$3:B1005)</f>
        <v>0</v>
      </c>
      <c r="AS45" s="26">
        <f>SUMIFs('Spiffs &amp; Deductions'!B$3:B1005,'Spiffs &amp; Deductions'!A$3:A1005,A45,'Spiffs &amp; Deductions'!C$3:C1005,$AS$3)</f>
        <v>0</v>
      </c>
      <c r="AT45" s="26">
        <f t="shared" si="58"/>
        <v>0.25</v>
      </c>
      <c r="AU45" s="20">
        <f t="shared" si="59"/>
        <v>100</v>
      </c>
    </row>
    <row r="46">
      <c r="A46" s="59" t="s">
        <v>6</v>
      </c>
      <c r="B46" s="31" t="s">
        <v>16</v>
      </c>
      <c r="C46" s="31" t="s">
        <v>16</v>
      </c>
      <c r="D46" s="31" t="s">
        <v>16</v>
      </c>
      <c r="E46" s="31" t="s">
        <v>16</v>
      </c>
      <c r="F46" s="31" t="s">
        <v>40</v>
      </c>
      <c r="G46" s="31" t="s">
        <v>40</v>
      </c>
      <c r="H46" s="31" t="s">
        <v>16</v>
      </c>
      <c r="I46" s="31" t="s">
        <v>16</v>
      </c>
      <c r="J46" s="31" t="s">
        <v>16</v>
      </c>
      <c r="K46" s="31" t="s">
        <v>16</v>
      </c>
      <c r="L46" s="31" t="s">
        <v>16</v>
      </c>
      <c r="M46" s="31" t="s">
        <v>40</v>
      </c>
      <c r="N46" s="31" t="s">
        <v>40</v>
      </c>
      <c r="O46" s="31" t="s">
        <v>16</v>
      </c>
      <c r="P46" s="31" t="s">
        <v>16</v>
      </c>
      <c r="Q46" s="31" t="s">
        <v>16</v>
      </c>
      <c r="R46" s="31" t="s">
        <v>16</v>
      </c>
      <c r="S46" s="31" t="s">
        <v>26</v>
      </c>
      <c r="T46" s="31" t="s">
        <v>40</v>
      </c>
      <c r="U46" s="31" t="s">
        <v>40</v>
      </c>
      <c r="V46" s="31" t="s">
        <v>16</v>
      </c>
      <c r="W46" s="31" t="s">
        <v>16</v>
      </c>
      <c r="X46" s="31" t="s">
        <v>16</v>
      </c>
      <c r="Y46" s="31" t="s">
        <v>16</v>
      </c>
      <c r="Z46" s="31" t="s">
        <v>16</v>
      </c>
      <c r="AA46" s="31" t="s">
        <v>40</v>
      </c>
      <c r="AB46" s="31" t="s">
        <v>40</v>
      </c>
      <c r="AC46" s="31" t="s">
        <v>40</v>
      </c>
      <c r="AD46" s="31" t="s">
        <v>32</v>
      </c>
      <c r="AE46" s="31" t="s">
        <v>40</v>
      </c>
      <c r="AF46" s="31" t="s">
        <v>40</v>
      </c>
      <c r="AG46" s="19"/>
      <c r="AH46" s="42">
        <f t="shared" si="48"/>
        <v>18</v>
      </c>
      <c r="AI46" s="42">
        <f t="shared" si="49"/>
        <v>0</v>
      </c>
      <c r="AJ46" s="42">
        <f t="shared" si="50"/>
        <v>0</v>
      </c>
      <c r="AK46" s="42">
        <f t="shared" si="51"/>
        <v>0</v>
      </c>
      <c r="AL46" s="42">
        <f t="shared" si="52"/>
        <v>0</v>
      </c>
      <c r="AM46" s="42">
        <f t="shared" si="53"/>
        <v>11</v>
      </c>
      <c r="AN46" s="42">
        <f t="shared" si="54"/>
        <v>1</v>
      </c>
      <c r="AO46" s="42">
        <f t="shared" si="55"/>
        <v>1</v>
      </c>
      <c r="AP46" s="42">
        <f t="shared" si="56"/>
        <v>0</v>
      </c>
      <c r="AQ46" s="42">
        <f t="shared" si="57"/>
        <v>0</v>
      </c>
      <c r="AR46" s="26">
        <f>SUMIF('Spiffs &amp; Deductions'!A$3:A1005,A46,'Spiffs &amp; Deductions'!B$3:B1005)</f>
        <v>0</v>
      </c>
      <c r="AS46" s="26">
        <f>SUMIFs('Spiffs &amp; Deductions'!B$3:B1005,'Spiffs &amp; Deductions'!A$3:A1005,A46,'Spiffs &amp; Deductions'!C$3:C1005,$AS$3)</f>
        <v>0</v>
      </c>
      <c r="AT46" s="26">
        <f t="shared" si="58"/>
        <v>0</v>
      </c>
      <c r="AU46" s="20">
        <f t="shared" si="59"/>
        <v>0</v>
      </c>
    </row>
    <row r="47">
      <c r="A47" s="60" t="s">
        <v>8</v>
      </c>
      <c r="B47" s="61" t="s">
        <v>16</v>
      </c>
      <c r="C47" s="61" t="s">
        <v>16</v>
      </c>
      <c r="D47" s="61" t="s">
        <v>16</v>
      </c>
      <c r="E47" s="61" t="s">
        <v>16</v>
      </c>
      <c r="F47" s="61" t="s">
        <v>40</v>
      </c>
      <c r="G47" s="61" t="s">
        <v>40</v>
      </c>
      <c r="H47" s="61" t="s">
        <v>16</v>
      </c>
      <c r="I47" s="61" t="s">
        <v>16</v>
      </c>
      <c r="J47" s="61" t="s">
        <v>16</v>
      </c>
      <c r="K47" s="61" t="s">
        <v>16</v>
      </c>
      <c r="L47" s="61" t="s">
        <v>16</v>
      </c>
      <c r="M47" s="61" t="s">
        <v>40</v>
      </c>
      <c r="N47" s="61" t="s">
        <v>40</v>
      </c>
      <c r="O47" s="61" t="s">
        <v>16</v>
      </c>
      <c r="P47" s="61" t="s">
        <v>16</v>
      </c>
      <c r="Q47" s="61" t="s">
        <v>16</v>
      </c>
      <c r="R47" s="61" t="s">
        <v>16</v>
      </c>
      <c r="S47" s="61" t="s">
        <v>16</v>
      </c>
      <c r="T47" s="61" t="s">
        <v>40</v>
      </c>
      <c r="U47" s="61" t="s">
        <v>40</v>
      </c>
      <c r="V47" s="61" t="s">
        <v>16</v>
      </c>
      <c r="W47" s="61" t="s">
        <v>16</v>
      </c>
      <c r="X47" s="61" t="s">
        <v>16</v>
      </c>
      <c r="Y47" s="61" t="s">
        <v>16</v>
      </c>
      <c r="Z47" s="61" t="s">
        <v>16</v>
      </c>
      <c r="AA47" s="61" t="s">
        <v>40</v>
      </c>
      <c r="AB47" s="61" t="s">
        <v>40</v>
      </c>
      <c r="AC47" s="61" t="s">
        <v>40</v>
      </c>
      <c r="AD47" s="61" t="s">
        <v>32</v>
      </c>
      <c r="AE47" s="61" t="s">
        <v>40</v>
      </c>
      <c r="AF47" s="61" t="s">
        <v>40</v>
      </c>
      <c r="AG47" s="19"/>
      <c r="AH47" s="42">
        <f t="shared" si="48"/>
        <v>19</v>
      </c>
      <c r="AI47" s="42">
        <f t="shared" si="49"/>
        <v>0</v>
      </c>
      <c r="AJ47" s="42">
        <f t="shared" si="50"/>
        <v>0</v>
      </c>
      <c r="AK47" s="42">
        <f t="shared" si="51"/>
        <v>0</v>
      </c>
      <c r="AL47" s="42">
        <f t="shared" si="52"/>
        <v>0</v>
      </c>
      <c r="AM47" s="42">
        <f t="shared" si="53"/>
        <v>11</v>
      </c>
      <c r="AN47" s="42">
        <f t="shared" si="54"/>
        <v>1</v>
      </c>
      <c r="AO47" s="42">
        <f t="shared" si="55"/>
        <v>0</v>
      </c>
      <c r="AP47" s="42">
        <f t="shared" si="56"/>
        <v>0</v>
      </c>
      <c r="AQ47" s="42">
        <f t="shared" si="57"/>
        <v>0</v>
      </c>
      <c r="AR47" s="26">
        <f>SUMIF('Spiffs &amp; Deductions'!A$3:A1005,A47,'Spiffs &amp; Deductions'!B$3:B1005)</f>
        <v>0</v>
      </c>
      <c r="AS47" s="26">
        <f>SUMIFs('Spiffs &amp; Deductions'!B$3:B1005,'Spiffs &amp; Deductions'!A$3:A1005,A47,'Spiffs &amp; Deductions'!C$3:C1005,$AS$3)</f>
        <v>0</v>
      </c>
      <c r="AT47" s="26">
        <f t="shared" si="58"/>
        <v>0</v>
      </c>
      <c r="AU47" s="20">
        <f t="shared" si="59"/>
        <v>0</v>
      </c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</row>
    <row r="49">
      <c r="A49" s="64" t="s">
        <v>28</v>
      </c>
      <c r="B49" s="65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</row>
    <row r="50">
      <c r="A50" s="29" t="s">
        <v>45</v>
      </c>
      <c r="B50" s="51">
        <v>46171.0</v>
      </c>
      <c r="C50" s="51">
        <v>46172.0</v>
      </c>
      <c r="D50" s="51">
        <v>46173.0</v>
      </c>
      <c r="E50" s="51">
        <v>46174.0</v>
      </c>
      <c r="F50" s="51">
        <v>46175.0</v>
      </c>
      <c r="G50" s="51">
        <v>46176.0</v>
      </c>
      <c r="H50" s="51">
        <v>46177.0</v>
      </c>
      <c r="I50" s="51">
        <v>46178.0</v>
      </c>
      <c r="J50" s="51">
        <v>46179.0</v>
      </c>
      <c r="K50" s="51">
        <v>46180.0</v>
      </c>
      <c r="L50" s="51">
        <v>46181.0</v>
      </c>
      <c r="M50" s="51">
        <v>46182.0</v>
      </c>
      <c r="N50" s="51">
        <v>46183.0</v>
      </c>
      <c r="O50" s="51">
        <v>46184.0</v>
      </c>
      <c r="P50" s="51">
        <v>46185.0</v>
      </c>
      <c r="Q50" s="51">
        <v>46186.0</v>
      </c>
      <c r="R50" s="51">
        <v>46187.0</v>
      </c>
      <c r="S50" s="51">
        <v>46188.0</v>
      </c>
      <c r="T50" s="51">
        <v>46189.0</v>
      </c>
      <c r="U50" s="51">
        <v>46190.0</v>
      </c>
      <c r="V50" s="51">
        <v>46191.0</v>
      </c>
      <c r="W50" s="51">
        <v>46192.0</v>
      </c>
      <c r="X50" s="51">
        <v>46193.0</v>
      </c>
      <c r="Y50" s="51">
        <v>46194.0</v>
      </c>
      <c r="Z50" s="51">
        <v>46195.0</v>
      </c>
      <c r="AA50" s="51">
        <v>46196.0</v>
      </c>
      <c r="AB50" s="51">
        <v>46197.0</v>
      </c>
      <c r="AC50" s="51">
        <v>46198.0</v>
      </c>
      <c r="AD50" s="51">
        <v>46199.0</v>
      </c>
      <c r="AE50" s="51">
        <v>46200.0</v>
      </c>
      <c r="AF50" s="51">
        <v>46201.0</v>
      </c>
      <c r="AG50" s="19"/>
      <c r="AH50" s="29" t="s">
        <v>46</v>
      </c>
      <c r="AI50" s="29" t="s">
        <v>47</v>
      </c>
      <c r="AK50" s="30" t="s">
        <v>40</v>
      </c>
      <c r="AN50" s="29" t="s">
        <v>33</v>
      </c>
      <c r="AO50" s="30" t="s">
        <v>48</v>
      </c>
      <c r="AP50" s="30" t="s">
        <v>49</v>
      </c>
      <c r="AQ50" s="29" t="s">
        <v>36</v>
      </c>
      <c r="AR50" s="31" t="s">
        <v>27</v>
      </c>
      <c r="AT50" s="31" t="s">
        <v>35</v>
      </c>
      <c r="AU50" s="20"/>
    </row>
    <row r="51">
      <c r="A51" s="52" t="s">
        <v>50</v>
      </c>
      <c r="B51" s="53">
        <f t="shared" ref="B51:AF51" si="60">B50</f>
        <v>46171</v>
      </c>
      <c r="C51" s="53">
        <f t="shared" si="60"/>
        <v>46172</v>
      </c>
      <c r="D51" s="53">
        <f t="shared" si="60"/>
        <v>46173</v>
      </c>
      <c r="E51" s="53">
        <f t="shared" si="60"/>
        <v>46174</v>
      </c>
      <c r="F51" s="53">
        <f t="shared" si="60"/>
        <v>46175</v>
      </c>
      <c r="G51" s="53">
        <f t="shared" si="60"/>
        <v>46176</v>
      </c>
      <c r="H51" s="53">
        <f t="shared" si="60"/>
        <v>46177</v>
      </c>
      <c r="I51" s="53">
        <f t="shared" si="60"/>
        <v>46178</v>
      </c>
      <c r="J51" s="53">
        <f t="shared" si="60"/>
        <v>46179</v>
      </c>
      <c r="K51" s="53">
        <f t="shared" si="60"/>
        <v>46180</v>
      </c>
      <c r="L51" s="53">
        <f t="shared" si="60"/>
        <v>46181</v>
      </c>
      <c r="M51" s="53">
        <f t="shared" si="60"/>
        <v>46182</v>
      </c>
      <c r="N51" s="53">
        <f t="shared" si="60"/>
        <v>46183</v>
      </c>
      <c r="O51" s="53">
        <f t="shared" si="60"/>
        <v>46184</v>
      </c>
      <c r="P51" s="53">
        <f t="shared" si="60"/>
        <v>46185</v>
      </c>
      <c r="Q51" s="53">
        <f t="shared" si="60"/>
        <v>46186</v>
      </c>
      <c r="R51" s="53">
        <f t="shared" si="60"/>
        <v>46187</v>
      </c>
      <c r="S51" s="53">
        <f t="shared" si="60"/>
        <v>46188</v>
      </c>
      <c r="T51" s="53">
        <f t="shared" si="60"/>
        <v>46189</v>
      </c>
      <c r="U51" s="53">
        <f t="shared" si="60"/>
        <v>46190</v>
      </c>
      <c r="V51" s="53">
        <f t="shared" si="60"/>
        <v>46191</v>
      </c>
      <c r="W51" s="53">
        <f t="shared" si="60"/>
        <v>46192</v>
      </c>
      <c r="X51" s="53">
        <f t="shared" si="60"/>
        <v>46193</v>
      </c>
      <c r="Y51" s="53">
        <f t="shared" si="60"/>
        <v>46194</v>
      </c>
      <c r="Z51" s="53">
        <f t="shared" si="60"/>
        <v>46195</v>
      </c>
      <c r="AA51" s="53">
        <f t="shared" si="60"/>
        <v>46196</v>
      </c>
      <c r="AB51" s="53">
        <f t="shared" si="60"/>
        <v>46197</v>
      </c>
      <c r="AC51" s="53">
        <f t="shared" si="60"/>
        <v>46198</v>
      </c>
      <c r="AD51" s="53">
        <f t="shared" si="60"/>
        <v>46199</v>
      </c>
      <c r="AE51" s="53">
        <f t="shared" si="60"/>
        <v>46200</v>
      </c>
      <c r="AF51" s="53">
        <f t="shared" si="60"/>
        <v>46201</v>
      </c>
      <c r="AG51" s="69"/>
      <c r="AH51" s="54" t="s">
        <v>16</v>
      </c>
      <c r="AI51" s="55" t="s">
        <v>18</v>
      </c>
      <c r="AJ51" s="54" t="s">
        <v>20</v>
      </c>
      <c r="AK51" s="54" t="s">
        <v>22</v>
      </c>
      <c r="AL51" s="54" t="s">
        <v>24</v>
      </c>
      <c r="AM51" s="55" t="s">
        <v>40</v>
      </c>
      <c r="AN51" s="54" t="s">
        <v>32</v>
      </c>
      <c r="AO51" s="55" t="s">
        <v>26</v>
      </c>
      <c r="AP51" s="54" t="s">
        <v>30</v>
      </c>
      <c r="AQ51" s="55" t="s">
        <v>34</v>
      </c>
      <c r="AR51" s="56" t="s">
        <v>51</v>
      </c>
      <c r="AS51" s="56" t="s">
        <v>52</v>
      </c>
      <c r="AU51" s="69"/>
    </row>
    <row r="52">
      <c r="A52" s="57" t="s">
        <v>3</v>
      </c>
      <c r="B52" s="31" t="s">
        <v>40</v>
      </c>
      <c r="C52" s="31" t="s">
        <v>40</v>
      </c>
      <c r="D52" s="31" t="s">
        <v>40</v>
      </c>
      <c r="E52" s="31" t="s">
        <v>24</v>
      </c>
      <c r="F52" s="31" t="s">
        <v>16</v>
      </c>
      <c r="G52" s="31" t="s">
        <v>24</v>
      </c>
      <c r="H52" s="31" t="s">
        <v>16</v>
      </c>
      <c r="I52" s="31" t="s">
        <v>16</v>
      </c>
      <c r="J52" s="31" t="s">
        <v>40</v>
      </c>
      <c r="K52" s="31" t="s">
        <v>40</v>
      </c>
      <c r="L52" s="31" t="s">
        <v>16</v>
      </c>
      <c r="M52" s="31" t="s">
        <v>16</v>
      </c>
      <c r="N52" s="31" t="s">
        <v>16</v>
      </c>
      <c r="O52" s="31" t="s">
        <v>16</v>
      </c>
      <c r="P52" s="31" t="s">
        <v>16</v>
      </c>
      <c r="Q52" s="31" t="s">
        <v>40</v>
      </c>
      <c r="R52" s="31" t="s">
        <v>40</v>
      </c>
      <c r="S52" s="31" t="s">
        <v>26</v>
      </c>
      <c r="T52" s="31" t="s">
        <v>26</v>
      </c>
      <c r="U52" s="31" t="s">
        <v>24</v>
      </c>
      <c r="V52" s="31" t="s">
        <v>16</v>
      </c>
      <c r="W52" s="31" t="s">
        <v>16</v>
      </c>
      <c r="X52" s="31" t="s">
        <v>40</v>
      </c>
      <c r="Y52" s="31" t="s">
        <v>40</v>
      </c>
      <c r="Z52" s="31" t="s">
        <v>20</v>
      </c>
      <c r="AA52" s="31" t="s">
        <v>16</v>
      </c>
      <c r="AB52" s="31" t="s">
        <v>16</v>
      </c>
      <c r="AC52" s="31" t="s">
        <v>16</v>
      </c>
      <c r="AD52" s="31" t="s">
        <v>16</v>
      </c>
      <c r="AE52" s="31" t="s">
        <v>40</v>
      </c>
      <c r="AF52" s="31" t="s">
        <v>40</v>
      </c>
      <c r="AG52" s="19"/>
      <c r="AH52" s="42">
        <f t="shared" ref="AH52:AH59" si="61">(countif(B52:AG52,AH$3))+AI52+AJ52+(AL52*0.5)+(AK52*0.75)</f>
        <v>16.5</v>
      </c>
      <c r="AI52" s="42">
        <f t="shared" ref="AI52:AI59" si="62">countif(B52:AG52,$AI$3)</f>
        <v>0</v>
      </c>
      <c r="AJ52" s="42">
        <f t="shared" ref="AJ52:AJ59" si="63">countif(B52:AG52,AJ$3)</f>
        <v>1</v>
      </c>
      <c r="AK52" s="42">
        <f t="shared" ref="AK52:AK59" si="64">countif(B52:AG52,AK$3)</f>
        <v>0</v>
      </c>
      <c r="AL52" s="42">
        <f t="shared" ref="AL52:AL59" si="65">countif(B52:AG52,AL$3)</f>
        <v>3</v>
      </c>
      <c r="AM52" s="42">
        <f t="shared" ref="AM52:AM59" si="66">countif(B52:AG52,$AM$3)</f>
        <v>11</v>
      </c>
      <c r="AN52" s="42">
        <f t="shared" ref="AN52:AN59" si="67">countif(B52:AG52,AN$3)</f>
        <v>0</v>
      </c>
      <c r="AO52" s="42">
        <f t="shared" ref="AO52:AO59" si="68">(countif(B52:AL52,"A"))</f>
        <v>2</v>
      </c>
      <c r="AP52" s="42">
        <f t="shared" ref="AP52:AP59" si="69">countif(B52:AO52,AP$3)</f>
        <v>0</v>
      </c>
      <c r="AQ52" s="42">
        <f t="shared" ref="AQ52:AQ59" si="70">countif(B52:AP52,AQ$3)</f>
        <v>0</v>
      </c>
      <c r="AR52" s="26">
        <f>SUMIF('Spiffs &amp; Deductions'!A$3:A1005,A52,'Spiffs &amp; Deductions'!B$3:B1005)</f>
        <v>0</v>
      </c>
      <c r="AS52" s="26">
        <f>SUMIFs('Spiffs &amp; Deductions'!B$3:B1005,'Spiffs &amp; Deductions'!A$3:A1005,A52,'Spiffs &amp; Deductions'!C$3:C1005,$AS$3)</f>
        <v>0</v>
      </c>
      <c r="AT52" s="26">
        <f t="shared" ref="AT52:AT59" si="71">AK52*0.25+AL52*0.5</f>
        <v>1.5</v>
      </c>
      <c r="AU52" s="20">
        <f t="shared" ref="AU52:AU59" si="72">AI52*25+AJ52*50</f>
        <v>50</v>
      </c>
    </row>
    <row r="53">
      <c r="A53" s="58" t="s">
        <v>5</v>
      </c>
      <c r="B53" s="61" t="s">
        <v>40</v>
      </c>
      <c r="C53" s="61" t="s">
        <v>40</v>
      </c>
      <c r="D53" s="61" t="s">
        <v>40</v>
      </c>
      <c r="E53" s="61" t="s">
        <v>16</v>
      </c>
      <c r="F53" s="61" t="s">
        <v>16</v>
      </c>
      <c r="G53" s="61" t="s">
        <v>16</v>
      </c>
      <c r="H53" s="61" t="s">
        <v>18</v>
      </c>
      <c r="I53" s="61" t="s">
        <v>16</v>
      </c>
      <c r="J53" s="61" t="s">
        <v>40</v>
      </c>
      <c r="K53" s="61" t="s">
        <v>40</v>
      </c>
      <c r="L53" s="61" t="s">
        <v>20</v>
      </c>
      <c r="M53" s="61" t="s">
        <v>18</v>
      </c>
      <c r="N53" s="61" t="s">
        <v>16</v>
      </c>
      <c r="O53" s="61" t="s">
        <v>16</v>
      </c>
      <c r="P53" s="61" t="s">
        <v>20</v>
      </c>
      <c r="Q53" s="61" t="s">
        <v>40</v>
      </c>
      <c r="R53" s="61" t="s">
        <v>40</v>
      </c>
      <c r="S53" s="61" t="s">
        <v>20</v>
      </c>
      <c r="T53" s="61" t="s">
        <v>16</v>
      </c>
      <c r="U53" s="61" t="s">
        <v>18</v>
      </c>
      <c r="V53" s="61" t="s">
        <v>16</v>
      </c>
      <c r="W53" s="61" t="s">
        <v>16</v>
      </c>
      <c r="X53" s="61" t="s">
        <v>40</v>
      </c>
      <c r="Y53" s="61" t="s">
        <v>40</v>
      </c>
      <c r="Z53" s="61" t="s">
        <v>16</v>
      </c>
      <c r="AA53" s="61" t="s">
        <v>16</v>
      </c>
      <c r="AB53" s="61" t="s">
        <v>16</v>
      </c>
      <c r="AC53" s="61" t="s">
        <v>16</v>
      </c>
      <c r="AD53" s="61" t="s">
        <v>24</v>
      </c>
      <c r="AE53" s="61" t="s">
        <v>40</v>
      </c>
      <c r="AF53" s="61" t="s">
        <v>40</v>
      </c>
      <c r="AG53" s="19"/>
      <c r="AH53" s="42">
        <f t="shared" si="61"/>
        <v>19.5</v>
      </c>
      <c r="AI53" s="42">
        <f t="shared" si="62"/>
        <v>3</v>
      </c>
      <c r="AJ53" s="42">
        <f t="shared" si="63"/>
        <v>3</v>
      </c>
      <c r="AK53" s="42">
        <f t="shared" si="64"/>
        <v>0</v>
      </c>
      <c r="AL53" s="42">
        <f t="shared" si="65"/>
        <v>1</v>
      </c>
      <c r="AM53" s="42">
        <f t="shared" si="66"/>
        <v>11</v>
      </c>
      <c r="AN53" s="42">
        <f t="shared" si="67"/>
        <v>0</v>
      </c>
      <c r="AO53" s="42">
        <f t="shared" si="68"/>
        <v>0</v>
      </c>
      <c r="AP53" s="42">
        <f t="shared" si="69"/>
        <v>0</v>
      </c>
      <c r="AQ53" s="42">
        <f t="shared" si="70"/>
        <v>0</v>
      </c>
      <c r="AR53" s="26">
        <f>SUMIF('Spiffs &amp; Deductions'!A$3:A1005,A53,'Spiffs &amp; Deductions'!B$3:B1005)</f>
        <v>0</v>
      </c>
      <c r="AS53" s="26">
        <f>SUMIFs('Spiffs &amp; Deductions'!B$3:B1005,'Spiffs &amp; Deductions'!A$3:A1005,A53,'Spiffs &amp; Deductions'!C$3:C1005,$AS$3)</f>
        <v>0</v>
      </c>
      <c r="AT53" s="26">
        <f t="shared" si="71"/>
        <v>0.5</v>
      </c>
      <c r="AU53" s="20">
        <f t="shared" si="72"/>
        <v>225</v>
      </c>
    </row>
    <row r="54">
      <c r="A54" s="59" t="s">
        <v>6</v>
      </c>
      <c r="B54" s="31" t="s">
        <v>40</v>
      </c>
      <c r="C54" s="31" t="s">
        <v>40</v>
      </c>
      <c r="D54" s="31" t="s">
        <v>40</v>
      </c>
      <c r="E54" s="31" t="s">
        <v>16</v>
      </c>
      <c r="F54" s="31" t="s">
        <v>16</v>
      </c>
      <c r="G54" s="31" t="s">
        <v>16</v>
      </c>
      <c r="H54" s="31" t="s">
        <v>16</v>
      </c>
      <c r="I54" s="31" t="s">
        <v>16</v>
      </c>
      <c r="J54" s="31" t="s">
        <v>40</v>
      </c>
      <c r="K54" s="31" t="s">
        <v>40</v>
      </c>
      <c r="L54" s="31" t="s">
        <v>16</v>
      </c>
      <c r="M54" s="31" t="s">
        <v>16</v>
      </c>
      <c r="N54" s="31" t="s">
        <v>16</v>
      </c>
      <c r="O54" s="31" t="s">
        <v>16</v>
      </c>
      <c r="P54" s="31" t="s">
        <v>16</v>
      </c>
      <c r="Q54" s="31" t="s">
        <v>40</v>
      </c>
      <c r="R54" s="31" t="s">
        <v>40</v>
      </c>
      <c r="S54" s="31" t="s">
        <v>16</v>
      </c>
      <c r="T54" s="31" t="s">
        <v>16</v>
      </c>
      <c r="U54" s="31" t="s">
        <v>16</v>
      </c>
      <c r="V54" s="31" t="s">
        <v>16</v>
      </c>
      <c r="W54" s="31" t="s">
        <v>16</v>
      </c>
      <c r="X54" s="31" t="s">
        <v>40</v>
      </c>
      <c r="Y54" s="31" t="s">
        <v>40</v>
      </c>
      <c r="Z54" s="31" t="s">
        <v>16</v>
      </c>
      <c r="AA54" s="31" t="s">
        <v>16</v>
      </c>
      <c r="AB54" s="31" t="s">
        <v>16</v>
      </c>
      <c r="AC54" s="31" t="s">
        <v>16</v>
      </c>
      <c r="AD54" s="31" t="s">
        <v>16</v>
      </c>
      <c r="AE54" s="31" t="s">
        <v>40</v>
      </c>
      <c r="AF54" s="31" t="s">
        <v>40</v>
      </c>
      <c r="AG54" s="19"/>
      <c r="AH54" s="42">
        <f t="shared" si="61"/>
        <v>20</v>
      </c>
      <c r="AI54" s="42">
        <f t="shared" si="62"/>
        <v>0</v>
      </c>
      <c r="AJ54" s="42">
        <f t="shared" si="63"/>
        <v>0</v>
      </c>
      <c r="AK54" s="42">
        <f t="shared" si="64"/>
        <v>0</v>
      </c>
      <c r="AL54" s="42">
        <f t="shared" si="65"/>
        <v>0</v>
      </c>
      <c r="AM54" s="42">
        <f t="shared" si="66"/>
        <v>11</v>
      </c>
      <c r="AN54" s="42">
        <f t="shared" si="67"/>
        <v>0</v>
      </c>
      <c r="AO54" s="42">
        <f t="shared" si="68"/>
        <v>0</v>
      </c>
      <c r="AP54" s="42">
        <f t="shared" si="69"/>
        <v>0</v>
      </c>
      <c r="AQ54" s="42">
        <f t="shared" si="70"/>
        <v>0</v>
      </c>
      <c r="AR54" s="26">
        <f>SUMIF('Spiffs &amp; Deductions'!A$3:A1005,A54,'Spiffs &amp; Deductions'!B$3:B1005)</f>
        <v>0</v>
      </c>
      <c r="AS54" s="26">
        <f>SUMIFs('Spiffs &amp; Deductions'!B$3:B1005,'Spiffs &amp; Deductions'!A$3:A1005,A54,'Spiffs &amp; Deductions'!C$3:C1005,$AS$3)</f>
        <v>0</v>
      </c>
      <c r="AT54" s="26">
        <f t="shared" si="71"/>
        <v>0</v>
      </c>
      <c r="AU54" s="20">
        <f t="shared" si="72"/>
        <v>0</v>
      </c>
    </row>
    <row r="55">
      <c r="A55" s="60" t="s">
        <v>8</v>
      </c>
      <c r="B55" s="61" t="s">
        <v>40</v>
      </c>
      <c r="C55" s="61" t="s">
        <v>40</v>
      </c>
      <c r="D55" s="61" t="s">
        <v>40</v>
      </c>
      <c r="E55" s="61" t="s">
        <v>16</v>
      </c>
      <c r="F55" s="61" t="s">
        <v>16</v>
      </c>
      <c r="G55" s="61" t="s">
        <v>16</v>
      </c>
      <c r="H55" s="61" t="s">
        <v>16</v>
      </c>
      <c r="I55" s="61" t="s">
        <v>16</v>
      </c>
      <c r="J55" s="61" t="s">
        <v>40</v>
      </c>
      <c r="K55" s="61" t="s">
        <v>40</v>
      </c>
      <c r="L55" s="61" t="s">
        <v>16</v>
      </c>
      <c r="M55" s="61" t="s">
        <v>16</v>
      </c>
      <c r="N55" s="61" t="s">
        <v>16</v>
      </c>
      <c r="O55" s="61" t="s">
        <v>16</v>
      </c>
      <c r="P55" s="61" t="s">
        <v>16</v>
      </c>
      <c r="Q55" s="61" t="s">
        <v>40</v>
      </c>
      <c r="R55" s="61" t="s">
        <v>40</v>
      </c>
      <c r="S55" s="61" t="s">
        <v>16</v>
      </c>
      <c r="T55" s="61" t="s">
        <v>16</v>
      </c>
      <c r="U55" s="61" t="s">
        <v>16</v>
      </c>
      <c r="V55" s="61" t="s">
        <v>16</v>
      </c>
      <c r="W55" s="61" t="s">
        <v>16</v>
      </c>
      <c r="X55" s="61" t="s">
        <v>40</v>
      </c>
      <c r="Y55" s="61" t="s">
        <v>40</v>
      </c>
      <c r="Z55" s="61" t="s">
        <v>16</v>
      </c>
      <c r="AA55" s="61" t="s">
        <v>16</v>
      </c>
      <c r="AB55" s="61" t="s">
        <v>16</v>
      </c>
      <c r="AC55" s="61" t="s">
        <v>16</v>
      </c>
      <c r="AD55" s="61" t="s">
        <v>16</v>
      </c>
      <c r="AE55" s="61" t="s">
        <v>40</v>
      </c>
      <c r="AF55" s="61" t="s">
        <v>40</v>
      </c>
      <c r="AG55" s="19"/>
      <c r="AH55" s="42">
        <f t="shared" si="61"/>
        <v>20</v>
      </c>
      <c r="AI55" s="42">
        <f t="shared" si="62"/>
        <v>0</v>
      </c>
      <c r="AJ55" s="42">
        <f t="shared" si="63"/>
        <v>0</v>
      </c>
      <c r="AK55" s="42">
        <f t="shared" si="64"/>
        <v>0</v>
      </c>
      <c r="AL55" s="42">
        <f t="shared" si="65"/>
        <v>0</v>
      </c>
      <c r="AM55" s="42">
        <f t="shared" si="66"/>
        <v>11</v>
      </c>
      <c r="AN55" s="42">
        <f t="shared" si="67"/>
        <v>0</v>
      </c>
      <c r="AO55" s="42">
        <f t="shared" si="68"/>
        <v>0</v>
      </c>
      <c r="AP55" s="42">
        <f t="shared" si="69"/>
        <v>0</v>
      </c>
      <c r="AQ55" s="42">
        <f t="shared" si="70"/>
        <v>0</v>
      </c>
      <c r="AR55" s="26">
        <f>SUMIF('Spiffs &amp; Deductions'!A$3:A1005,A55,'Spiffs &amp; Deductions'!B$3:B1005)</f>
        <v>0</v>
      </c>
      <c r="AS55" s="26">
        <f>SUMIFs('Spiffs &amp; Deductions'!B$3:B1005,'Spiffs &amp; Deductions'!A$3:A1005,A55,'Spiffs &amp; Deductions'!C$3:C1005,$AS$3)</f>
        <v>0</v>
      </c>
      <c r="AT55" s="26">
        <f t="shared" si="71"/>
        <v>0</v>
      </c>
      <c r="AU55" s="20">
        <f t="shared" si="72"/>
        <v>0</v>
      </c>
    </row>
    <row r="56">
      <c r="A56" s="75" t="s">
        <v>14</v>
      </c>
      <c r="B56" s="31" t="s">
        <v>37</v>
      </c>
      <c r="C56" s="31" t="s">
        <v>37</v>
      </c>
      <c r="D56" s="31" t="s">
        <v>37</v>
      </c>
      <c r="E56" s="31" t="s">
        <v>37</v>
      </c>
      <c r="F56" s="31" t="s">
        <v>37</v>
      </c>
      <c r="G56" s="31" t="s">
        <v>37</v>
      </c>
      <c r="H56" s="31" t="s">
        <v>37</v>
      </c>
      <c r="I56" s="31" t="s">
        <v>37</v>
      </c>
      <c r="J56" s="31" t="s">
        <v>37</v>
      </c>
      <c r="K56" s="31" t="s">
        <v>37</v>
      </c>
      <c r="L56" s="31" t="s">
        <v>37</v>
      </c>
      <c r="M56" s="31" t="s">
        <v>37</v>
      </c>
      <c r="N56" s="31" t="s">
        <v>37</v>
      </c>
      <c r="O56" s="31" t="s">
        <v>37</v>
      </c>
      <c r="P56" s="31" t="s">
        <v>16</v>
      </c>
      <c r="Q56" s="31" t="s">
        <v>40</v>
      </c>
      <c r="R56" s="31" t="s">
        <v>40</v>
      </c>
      <c r="S56" s="31" t="s">
        <v>26</v>
      </c>
      <c r="T56" s="31" t="s">
        <v>26</v>
      </c>
      <c r="U56" s="31" t="s">
        <v>16</v>
      </c>
      <c r="V56" s="31" t="s">
        <v>16</v>
      </c>
      <c r="W56" s="31" t="s">
        <v>16</v>
      </c>
      <c r="X56" s="31" t="s">
        <v>40</v>
      </c>
      <c r="Y56" s="31" t="s">
        <v>40</v>
      </c>
      <c r="Z56" s="31" t="s">
        <v>16</v>
      </c>
      <c r="AA56" s="31" t="s">
        <v>16</v>
      </c>
      <c r="AB56" s="31" t="s">
        <v>16</v>
      </c>
      <c r="AC56" s="31" t="s">
        <v>16</v>
      </c>
      <c r="AD56" s="31" t="s">
        <v>26</v>
      </c>
      <c r="AE56" s="31" t="s">
        <v>40</v>
      </c>
      <c r="AF56" s="31" t="s">
        <v>40</v>
      </c>
      <c r="AG56" s="19"/>
      <c r="AH56" s="42">
        <f t="shared" si="61"/>
        <v>8</v>
      </c>
      <c r="AI56" s="42">
        <f t="shared" si="62"/>
        <v>0</v>
      </c>
      <c r="AJ56" s="42">
        <f t="shared" si="63"/>
        <v>0</v>
      </c>
      <c r="AK56" s="42">
        <f t="shared" si="64"/>
        <v>0</v>
      </c>
      <c r="AL56" s="42">
        <f t="shared" si="65"/>
        <v>0</v>
      </c>
      <c r="AM56" s="42">
        <f t="shared" si="66"/>
        <v>6</v>
      </c>
      <c r="AN56" s="42">
        <f t="shared" si="67"/>
        <v>0</v>
      </c>
      <c r="AO56" s="42">
        <f t="shared" si="68"/>
        <v>3</v>
      </c>
      <c r="AP56" s="42">
        <f t="shared" si="69"/>
        <v>0</v>
      </c>
      <c r="AQ56" s="42">
        <f t="shared" si="70"/>
        <v>0</v>
      </c>
      <c r="AR56" s="26">
        <f>SUMIF('Spiffs &amp; Deductions'!A$3:A1005,A56,'Spiffs &amp; Deductions'!B$3:B1005)</f>
        <v>0</v>
      </c>
      <c r="AS56" s="26">
        <f>SUMIFs('Spiffs &amp; Deductions'!B$3:B1005,'Spiffs &amp; Deductions'!A$3:A1005,A56,'Spiffs &amp; Deductions'!C$3:C1005,$AS$3)</f>
        <v>0</v>
      </c>
      <c r="AT56" s="26">
        <f t="shared" si="71"/>
        <v>0</v>
      </c>
      <c r="AU56" s="20">
        <f t="shared" si="72"/>
        <v>0</v>
      </c>
    </row>
    <row r="57">
      <c r="A57" s="75" t="s">
        <v>11</v>
      </c>
      <c r="B57" s="61" t="s">
        <v>37</v>
      </c>
      <c r="C57" s="61" t="s">
        <v>37</v>
      </c>
      <c r="D57" s="61" t="s">
        <v>37</v>
      </c>
      <c r="E57" s="61" t="s">
        <v>37</v>
      </c>
      <c r="F57" s="61" t="s">
        <v>37</v>
      </c>
      <c r="G57" s="61" t="s">
        <v>37</v>
      </c>
      <c r="H57" s="61" t="s">
        <v>20</v>
      </c>
      <c r="I57" s="61" t="s">
        <v>16</v>
      </c>
      <c r="J57" s="61" t="s">
        <v>40</v>
      </c>
      <c r="K57" s="61" t="s">
        <v>40</v>
      </c>
      <c r="L57" s="61" t="s">
        <v>18</v>
      </c>
      <c r="M57" s="61" t="s">
        <v>16</v>
      </c>
      <c r="N57" s="61" t="s">
        <v>18</v>
      </c>
      <c r="O57" s="61" t="s">
        <v>16</v>
      </c>
      <c r="P57" s="61" t="s">
        <v>16</v>
      </c>
      <c r="Q57" s="61" t="s">
        <v>40</v>
      </c>
      <c r="R57" s="61" t="s">
        <v>40</v>
      </c>
      <c r="S57" s="61" t="s">
        <v>16</v>
      </c>
      <c r="T57" s="61" t="s">
        <v>20</v>
      </c>
      <c r="U57" s="61" t="s">
        <v>16</v>
      </c>
      <c r="V57" s="61" t="s">
        <v>16</v>
      </c>
      <c r="W57" s="61" t="s">
        <v>16</v>
      </c>
      <c r="X57" s="61" t="s">
        <v>40</v>
      </c>
      <c r="Y57" s="61" t="s">
        <v>40</v>
      </c>
      <c r="Z57" s="61" t="s">
        <v>16</v>
      </c>
      <c r="AA57" s="61" t="s">
        <v>16</v>
      </c>
      <c r="AB57" s="61" t="s">
        <v>20</v>
      </c>
      <c r="AC57" s="61" t="s">
        <v>16</v>
      </c>
      <c r="AD57" s="61" t="s">
        <v>26</v>
      </c>
      <c r="AE57" s="61" t="s">
        <v>40</v>
      </c>
      <c r="AF57" s="61" t="s">
        <v>40</v>
      </c>
      <c r="AG57" s="19"/>
      <c r="AH57" s="42">
        <f t="shared" si="61"/>
        <v>16</v>
      </c>
      <c r="AI57" s="42">
        <f t="shared" si="62"/>
        <v>2</v>
      </c>
      <c r="AJ57" s="42">
        <f t="shared" si="63"/>
        <v>3</v>
      </c>
      <c r="AK57" s="42">
        <f t="shared" si="64"/>
        <v>0</v>
      </c>
      <c r="AL57" s="42">
        <f t="shared" si="65"/>
        <v>0</v>
      </c>
      <c r="AM57" s="42">
        <f t="shared" si="66"/>
        <v>8</v>
      </c>
      <c r="AN57" s="42">
        <f t="shared" si="67"/>
        <v>0</v>
      </c>
      <c r="AO57" s="42">
        <f t="shared" si="68"/>
        <v>1</v>
      </c>
      <c r="AP57" s="42">
        <f t="shared" si="69"/>
        <v>0</v>
      </c>
      <c r="AQ57" s="42">
        <f t="shared" si="70"/>
        <v>0</v>
      </c>
      <c r="AR57" s="26">
        <f>SUMIF('Spiffs &amp; Deductions'!A$3:A1005,A57,'Spiffs &amp; Deductions'!B$3:B1005)</f>
        <v>0</v>
      </c>
      <c r="AS57" s="26">
        <f>SUMIFs('Spiffs &amp; Deductions'!B$3:B1005,'Spiffs &amp; Deductions'!A$3:A1005,A57,'Spiffs &amp; Deductions'!C$3:C1005,$AS$3)</f>
        <v>0</v>
      </c>
      <c r="AT57" s="26">
        <f t="shared" si="71"/>
        <v>0</v>
      </c>
      <c r="AU57" s="20">
        <f t="shared" si="72"/>
        <v>200</v>
      </c>
    </row>
    <row r="58">
      <c r="A58" s="75" t="s">
        <v>12</v>
      </c>
      <c r="B58" s="31" t="s">
        <v>37</v>
      </c>
      <c r="C58" s="31" t="s">
        <v>37</v>
      </c>
      <c r="D58" s="31" t="s">
        <v>37</v>
      </c>
      <c r="E58" s="31" t="s">
        <v>37</v>
      </c>
      <c r="F58" s="31" t="s">
        <v>37</v>
      </c>
      <c r="G58" s="31" t="s">
        <v>16</v>
      </c>
      <c r="H58" s="31" t="s">
        <v>16</v>
      </c>
      <c r="I58" s="31" t="s">
        <v>16</v>
      </c>
      <c r="J58" s="31" t="s">
        <v>40</v>
      </c>
      <c r="K58" s="31" t="s">
        <v>40</v>
      </c>
      <c r="L58" s="31" t="s">
        <v>20</v>
      </c>
      <c r="M58" s="31" t="s">
        <v>26</v>
      </c>
      <c r="N58" s="31" t="s">
        <v>16</v>
      </c>
      <c r="O58" s="31" t="s">
        <v>16</v>
      </c>
      <c r="P58" s="31" t="s">
        <v>16</v>
      </c>
      <c r="Q58" s="31" t="s">
        <v>40</v>
      </c>
      <c r="R58" s="31" t="s">
        <v>40</v>
      </c>
      <c r="S58" s="31" t="s">
        <v>16</v>
      </c>
      <c r="T58" s="31" t="s">
        <v>16</v>
      </c>
      <c r="U58" s="31" t="s">
        <v>16</v>
      </c>
      <c r="V58" s="31" t="s">
        <v>16</v>
      </c>
      <c r="W58" s="31" t="s">
        <v>24</v>
      </c>
      <c r="X58" s="31" t="s">
        <v>40</v>
      </c>
      <c r="Y58" s="31" t="s">
        <v>40</v>
      </c>
      <c r="Z58" s="31" t="s">
        <v>18</v>
      </c>
      <c r="AA58" s="31" t="s">
        <v>18</v>
      </c>
      <c r="AB58" s="31" t="s">
        <v>20</v>
      </c>
      <c r="AC58" s="31" t="s">
        <v>16</v>
      </c>
      <c r="AD58" s="31" t="s">
        <v>16</v>
      </c>
      <c r="AE58" s="31" t="s">
        <v>40</v>
      </c>
      <c r="AF58" s="31" t="s">
        <v>40</v>
      </c>
      <c r="AG58" s="19"/>
      <c r="AH58" s="42">
        <f t="shared" si="61"/>
        <v>16.5</v>
      </c>
      <c r="AI58" s="42">
        <f t="shared" si="62"/>
        <v>2</v>
      </c>
      <c r="AJ58" s="42">
        <f t="shared" si="63"/>
        <v>2</v>
      </c>
      <c r="AK58" s="42">
        <f t="shared" si="64"/>
        <v>0</v>
      </c>
      <c r="AL58" s="42">
        <f t="shared" si="65"/>
        <v>1</v>
      </c>
      <c r="AM58" s="42">
        <f t="shared" si="66"/>
        <v>8</v>
      </c>
      <c r="AN58" s="42">
        <f t="shared" si="67"/>
        <v>0</v>
      </c>
      <c r="AO58" s="42">
        <f t="shared" si="68"/>
        <v>1</v>
      </c>
      <c r="AP58" s="42">
        <f t="shared" si="69"/>
        <v>0</v>
      </c>
      <c r="AQ58" s="42">
        <f t="shared" si="70"/>
        <v>0</v>
      </c>
      <c r="AR58" s="26">
        <f>SUMIF('Spiffs &amp; Deductions'!A$3:A1005,A58,'Spiffs &amp; Deductions'!B$3:B1005)</f>
        <v>0</v>
      </c>
      <c r="AS58" s="26">
        <f>SUMIFs('Spiffs &amp; Deductions'!B$3:B1005,'Spiffs &amp; Deductions'!A$3:A1005,A58,'Spiffs &amp; Deductions'!C$3:C1005,$AS$3)</f>
        <v>0</v>
      </c>
      <c r="AT58" s="26">
        <f t="shared" si="71"/>
        <v>0.5</v>
      </c>
      <c r="AU58" s="20">
        <f t="shared" si="72"/>
        <v>150</v>
      </c>
    </row>
    <row r="59">
      <c r="A59" s="75" t="s">
        <v>13</v>
      </c>
      <c r="B59" s="61" t="s">
        <v>37</v>
      </c>
      <c r="C59" s="61" t="s">
        <v>37</v>
      </c>
      <c r="D59" s="61" t="s">
        <v>37</v>
      </c>
      <c r="E59" s="61" t="s">
        <v>37</v>
      </c>
      <c r="F59" s="61" t="s">
        <v>37</v>
      </c>
      <c r="G59" s="61" t="s">
        <v>16</v>
      </c>
      <c r="H59" s="61" t="s">
        <v>16</v>
      </c>
      <c r="I59" s="61" t="s">
        <v>16</v>
      </c>
      <c r="J59" s="61" t="s">
        <v>40</v>
      </c>
      <c r="K59" s="61" t="s">
        <v>40</v>
      </c>
      <c r="L59" s="61" t="s">
        <v>16</v>
      </c>
      <c r="M59" s="61" t="s">
        <v>16</v>
      </c>
      <c r="N59" s="61" t="s">
        <v>16</v>
      </c>
      <c r="O59" s="61" t="s">
        <v>16</v>
      </c>
      <c r="P59" s="61" t="s">
        <v>16</v>
      </c>
      <c r="Q59" s="61" t="s">
        <v>40</v>
      </c>
      <c r="R59" s="61" t="s">
        <v>40</v>
      </c>
      <c r="S59" s="61" t="s">
        <v>16</v>
      </c>
      <c r="T59" s="61" t="s">
        <v>16</v>
      </c>
      <c r="U59" s="61" t="s">
        <v>16</v>
      </c>
      <c r="V59" s="61" t="s">
        <v>16</v>
      </c>
      <c r="W59" s="61" t="s">
        <v>16</v>
      </c>
      <c r="X59" s="61" t="s">
        <v>40</v>
      </c>
      <c r="Y59" s="61" t="s">
        <v>40</v>
      </c>
      <c r="Z59" s="61" t="s">
        <v>16</v>
      </c>
      <c r="AA59" s="61" t="s">
        <v>16</v>
      </c>
      <c r="AB59" s="61" t="s">
        <v>16</v>
      </c>
      <c r="AC59" s="61" t="s">
        <v>16</v>
      </c>
      <c r="AD59" s="61" t="s">
        <v>16</v>
      </c>
      <c r="AE59" s="61" t="s">
        <v>40</v>
      </c>
      <c r="AF59" s="61" t="s">
        <v>40</v>
      </c>
      <c r="AG59" s="19"/>
      <c r="AH59" s="42">
        <f t="shared" si="61"/>
        <v>18</v>
      </c>
      <c r="AI59" s="42">
        <f t="shared" si="62"/>
        <v>0</v>
      </c>
      <c r="AJ59" s="42">
        <f t="shared" si="63"/>
        <v>0</v>
      </c>
      <c r="AK59" s="42">
        <f t="shared" si="64"/>
        <v>0</v>
      </c>
      <c r="AL59" s="42">
        <f t="shared" si="65"/>
        <v>0</v>
      </c>
      <c r="AM59" s="42">
        <f t="shared" si="66"/>
        <v>8</v>
      </c>
      <c r="AN59" s="42">
        <f t="shared" si="67"/>
        <v>0</v>
      </c>
      <c r="AO59" s="42">
        <f t="shared" si="68"/>
        <v>0</v>
      </c>
      <c r="AP59" s="42">
        <f t="shared" si="69"/>
        <v>0</v>
      </c>
      <c r="AQ59" s="42">
        <f t="shared" si="70"/>
        <v>0</v>
      </c>
      <c r="AR59" s="26">
        <f>SUMIF('Spiffs &amp; Deductions'!A$3:A1005,A59,'Spiffs &amp; Deductions'!B$3:B1005)</f>
        <v>0</v>
      </c>
      <c r="AS59" s="26">
        <f>SUMIFs('Spiffs &amp; Deductions'!B$3:B1005,'Spiffs &amp; Deductions'!A$3:A1005,A59,'Spiffs &amp; Deductions'!C$3:C1005,$AS$3)</f>
        <v>0</v>
      </c>
      <c r="AT59" s="26">
        <f t="shared" si="71"/>
        <v>0</v>
      </c>
      <c r="AU59" s="20">
        <f t="shared" si="72"/>
        <v>0</v>
      </c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</row>
    <row r="61">
      <c r="A61" s="64" t="s">
        <v>28</v>
      </c>
      <c r="B61" s="65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</row>
    <row r="62">
      <c r="A62" s="29" t="s">
        <v>45</v>
      </c>
      <c r="B62" s="51">
        <v>46202.0</v>
      </c>
      <c r="C62" s="51">
        <v>46203.0</v>
      </c>
      <c r="D62" s="51">
        <v>46204.0</v>
      </c>
      <c r="E62" s="51">
        <v>46205.0</v>
      </c>
      <c r="F62" s="51">
        <v>46206.0</v>
      </c>
      <c r="G62" s="51">
        <v>46207.0</v>
      </c>
      <c r="H62" s="51">
        <v>46208.0</v>
      </c>
      <c r="I62" s="51">
        <v>46209.0</v>
      </c>
      <c r="J62" s="51">
        <v>46210.0</v>
      </c>
      <c r="K62" s="51">
        <v>46211.0</v>
      </c>
      <c r="L62" s="51">
        <v>46212.0</v>
      </c>
      <c r="M62" s="51">
        <v>46213.0</v>
      </c>
      <c r="N62" s="51">
        <v>46214.0</v>
      </c>
      <c r="O62" s="51">
        <v>46215.0</v>
      </c>
      <c r="P62" s="51">
        <v>46216.0</v>
      </c>
      <c r="Q62" s="51">
        <v>46217.0</v>
      </c>
      <c r="R62" s="51">
        <v>46218.0</v>
      </c>
      <c r="S62" s="51">
        <v>46219.0</v>
      </c>
      <c r="T62" s="51">
        <v>46220.0</v>
      </c>
      <c r="U62" s="51">
        <v>46221.0</v>
      </c>
      <c r="V62" s="51">
        <v>46222.0</v>
      </c>
      <c r="W62" s="51">
        <v>46223.0</v>
      </c>
      <c r="X62" s="51">
        <v>46224.0</v>
      </c>
      <c r="Y62" s="51">
        <v>46225.0</v>
      </c>
      <c r="Z62" s="51">
        <v>46226.0</v>
      </c>
      <c r="AA62" s="51">
        <v>46227.0</v>
      </c>
      <c r="AB62" s="51">
        <v>46228.0</v>
      </c>
      <c r="AC62" s="51">
        <v>46229.0</v>
      </c>
      <c r="AD62" s="51">
        <v>46230.0</v>
      </c>
      <c r="AE62" s="51">
        <v>46231.0</v>
      </c>
      <c r="AF62" s="51">
        <v>46232.0</v>
      </c>
      <c r="AG62" s="19"/>
      <c r="AH62" s="29" t="s">
        <v>46</v>
      </c>
      <c r="AI62" s="29" t="s">
        <v>47</v>
      </c>
      <c r="AK62" s="30" t="s">
        <v>40</v>
      </c>
      <c r="AN62" s="29" t="s">
        <v>33</v>
      </c>
      <c r="AO62" s="30" t="s">
        <v>48</v>
      </c>
      <c r="AP62" s="30" t="s">
        <v>49</v>
      </c>
      <c r="AQ62" s="29" t="s">
        <v>36</v>
      </c>
      <c r="AR62" s="31" t="s">
        <v>27</v>
      </c>
      <c r="AT62" s="31" t="s">
        <v>35</v>
      </c>
      <c r="AU62" s="20"/>
    </row>
    <row r="63">
      <c r="A63" s="52" t="s">
        <v>50</v>
      </c>
      <c r="B63" s="53">
        <f t="shared" ref="B63:AF63" si="73">B62</f>
        <v>46202</v>
      </c>
      <c r="C63" s="53">
        <f t="shared" si="73"/>
        <v>46203</v>
      </c>
      <c r="D63" s="53">
        <f t="shared" si="73"/>
        <v>46204</v>
      </c>
      <c r="E63" s="53">
        <f t="shared" si="73"/>
        <v>46205</v>
      </c>
      <c r="F63" s="53">
        <f t="shared" si="73"/>
        <v>46206</v>
      </c>
      <c r="G63" s="53">
        <f t="shared" si="73"/>
        <v>46207</v>
      </c>
      <c r="H63" s="53">
        <f t="shared" si="73"/>
        <v>46208</v>
      </c>
      <c r="I63" s="53">
        <f t="shared" si="73"/>
        <v>46209</v>
      </c>
      <c r="J63" s="53">
        <f t="shared" si="73"/>
        <v>46210</v>
      </c>
      <c r="K63" s="53">
        <f t="shared" si="73"/>
        <v>46211</v>
      </c>
      <c r="L63" s="53">
        <f t="shared" si="73"/>
        <v>46212</v>
      </c>
      <c r="M63" s="53">
        <f t="shared" si="73"/>
        <v>46213</v>
      </c>
      <c r="N63" s="53">
        <f t="shared" si="73"/>
        <v>46214</v>
      </c>
      <c r="O63" s="53">
        <f t="shared" si="73"/>
        <v>46215</v>
      </c>
      <c r="P63" s="53">
        <f t="shared" si="73"/>
        <v>46216</v>
      </c>
      <c r="Q63" s="53">
        <f t="shared" si="73"/>
        <v>46217</v>
      </c>
      <c r="R63" s="53">
        <f t="shared" si="73"/>
        <v>46218</v>
      </c>
      <c r="S63" s="53">
        <f t="shared" si="73"/>
        <v>46219</v>
      </c>
      <c r="T63" s="53">
        <f t="shared" si="73"/>
        <v>46220</v>
      </c>
      <c r="U63" s="53">
        <f t="shared" si="73"/>
        <v>46221</v>
      </c>
      <c r="V63" s="53">
        <f t="shared" si="73"/>
        <v>46222</v>
      </c>
      <c r="W63" s="53">
        <f t="shared" si="73"/>
        <v>46223</v>
      </c>
      <c r="X63" s="53">
        <f t="shared" si="73"/>
        <v>46224</v>
      </c>
      <c r="Y63" s="53">
        <f t="shared" si="73"/>
        <v>46225</v>
      </c>
      <c r="Z63" s="53">
        <f t="shared" si="73"/>
        <v>46226</v>
      </c>
      <c r="AA63" s="53">
        <f t="shared" si="73"/>
        <v>46227</v>
      </c>
      <c r="AB63" s="53">
        <f t="shared" si="73"/>
        <v>46228</v>
      </c>
      <c r="AC63" s="53">
        <f t="shared" si="73"/>
        <v>46229</v>
      </c>
      <c r="AD63" s="53">
        <f t="shared" si="73"/>
        <v>46230</v>
      </c>
      <c r="AE63" s="53">
        <f t="shared" si="73"/>
        <v>46231</v>
      </c>
      <c r="AF63" s="53">
        <f t="shared" si="73"/>
        <v>46232</v>
      </c>
      <c r="AG63" s="69"/>
      <c r="AH63" s="54" t="s">
        <v>16</v>
      </c>
      <c r="AI63" s="55" t="s">
        <v>18</v>
      </c>
      <c r="AJ63" s="54" t="s">
        <v>20</v>
      </c>
      <c r="AK63" s="54" t="s">
        <v>22</v>
      </c>
      <c r="AL63" s="54" t="s">
        <v>24</v>
      </c>
      <c r="AM63" s="55" t="s">
        <v>40</v>
      </c>
      <c r="AN63" s="54" t="s">
        <v>32</v>
      </c>
      <c r="AO63" s="55" t="s">
        <v>26</v>
      </c>
      <c r="AP63" s="54" t="s">
        <v>30</v>
      </c>
      <c r="AQ63" s="55" t="s">
        <v>34</v>
      </c>
      <c r="AR63" s="56" t="s">
        <v>51</v>
      </c>
      <c r="AS63" s="56" t="s">
        <v>52</v>
      </c>
      <c r="AU63" s="69"/>
    </row>
    <row r="64">
      <c r="A64" s="57" t="s">
        <v>3</v>
      </c>
      <c r="B64" s="31" t="s">
        <v>22</v>
      </c>
      <c r="C64" s="31" t="s">
        <v>20</v>
      </c>
      <c r="D64" s="31" t="s">
        <v>16</v>
      </c>
      <c r="E64" s="31" t="s">
        <v>16</v>
      </c>
      <c r="F64" s="31" t="s">
        <v>20</v>
      </c>
      <c r="G64" s="31" t="s">
        <v>40</v>
      </c>
      <c r="H64" s="31" t="s">
        <v>40</v>
      </c>
      <c r="I64" s="31" t="s">
        <v>16</v>
      </c>
      <c r="J64" s="31" t="s">
        <v>20</v>
      </c>
      <c r="K64" s="31" t="s">
        <v>16</v>
      </c>
      <c r="L64" s="31" t="s">
        <v>24</v>
      </c>
      <c r="M64" s="31" t="s">
        <v>16</v>
      </c>
      <c r="N64" s="31" t="s">
        <v>40</v>
      </c>
      <c r="O64" s="31" t="s">
        <v>40</v>
      </c>
      <c r="P64" s="31" t="s">
        <v>16</v>
      </c>
      <c r="Q64" s="31" t="s">
        <v>16</v>
      </c>
      <c r="R64" s="31" t="s">
        <v>16</v>
      </c>
      <c r="S64" s="31" t="s">
        <v>16</v>
      </c>
      <c r="T64" s="31" t="s">
        <v>16</v>
      </c>
      <c r="U64" s="31" t="s">
        <v>40</v>
      </c>
      <c r="V64" s="31" t="s">
        <v>40</v>
      </c>
      <c r="W64" s="31" t="s">
        <v>16</v>
      </c>
      <c r="X64" s="31" t="s">
        <v>16</v>
      </c>
      <c r="Y64" s="31" t="s">
        <v>20</v>
      </c>
      <c r="Z64" s="31" t="s">
        <v>16</v>
      </c>
      <c r="AA64" s="31" t="s">
        <v>16</v>
      </c>
      <c r="AB64" s="31" t="s">
        <v>40</v>
      </c>
      <c r="AC64" s="31" t="s">
        <v>40</v>
      </c>
      <c r="AD64" s="31" t="s">
        <v>16</v>
      </c>
      <c r="AE64" s="31" t="s">
        <v>37</v>
      </c>
      <c r="AF64" s="31" t="s">
        <v>37</v>
      </c>
      <c r="AG64" s="19"/>
      <c r="AH64" s="42">
        <f t="shared" ref="AH64:AH71" si="74">(countif(B64:AG64,AH$3))+AI64+AJ64+(AL64*0.5)+(AK64*0.75)</f>
        <v>20.25</v>
      </c>
      <c r="AI64" s="42">
        <f t="shared" ref="AI64:AI71" si="75">countif(B64:AG64,$AI$3)</f>
        <v>0</v>
      </c>
      <c r="AJ64" s="42">
        <f t="shared" ref="AJ64:AJ71" si="76">countif(B64:AG64,AJ$3)</f>
        <v>4</v>
      </c>
      <c r="AK64" s="42">
        <f t="shared" ref="AK64:AK71" si="77">countif(B64:AG64,AK$3)</f>
        <v>1</v>
      </c>
      <c r="AL64" s="42">
        <f t="shared" ref="AL64:AL71" si="78">countif(B64:AG64,AL$3)</f>
        <v>1</v>
      </c>
      <c r="AM64" s="42">
        <f t="shared" ref="AM64:AM71" si="79">countif(B64:AG64,$AM$3)</f>
        <v>8</v>
      </c>
      <c r="AN64" s="42">
        <f t="shared" ref="AN64:AN71" si="80">countif(B64:AG64,AN$3)</f>
        <v>0</v>
      </c>
      <c r="AO64" s="42">
        <f t="shared" ref="AO64:AO71" si="81">(countif(B64:AL64,"A"))</f>
        <v>0</v>
      </c>
      <c r="AP64" s="42">
        <f t="shared" ref="AP64:AP71" si="82">countif(B64:AO64,AP$3)</f>
        <v>0</v>
      </c>
      <c r="AQ64" s="42">
        <f t="shared" ref="AQ64:AQ71" si="83">countif(B64:AP64,AQ$3)</f>
        <v>0</v>
      </c>
      <c r="AR64" s="26">
        <f>SUMIF('Spiffs &amp; Deductions'!A$3:A1005,A64,'Spiffs &amp; Deductions'!B$3:B1005)</f>
        <v>0</v>
      </c>
      <c r="AS64" s="26">
        <f>SUMIFs('Spiffs &amp; Deductions'!B$3:B1005,'Spiffs &amp; Deductions'!A$3:A1005,A64,'Spiffs &amp; Deductions'!C$3:C1005,$AS$3)</f>
        <v>0</v>
      </c>
      <c r="AT64" s="26">
        <f t="shared" ref="AT64:AT71" si="84">AK64*0.25+AL64*0.5</f>
        <v>0.75</v>
      </c>
      <c r="AU64" s="20">
        <f t="shared" ref="AU64:AU71" si="85">AI64*25+AJ64*50</f>
        <v>200</v>
      </c>
    </row>
    <row r="65">
      <c r="A65" s="58" t="s">
        <v>5</v>
      </c>
      <c r="B65" s="61" t="s">
        <v>16</v>
      </c>
      <c r="C65" s="61" t="s">
        <v>16</v>
      </c>
      <c r="D65" s="61" t="s">
        <v>20</v>
      </c>
      <c r="E65" s="61" t="s">
        <v>16</v>
      </c>
      <c r="F65" s="61" t="s">
        <v>16</v>
      </c>
      <c r="G65" s="61" t="s">
        <v>40</v>
      </c>
      <c r="H65" s="61" t="s">
        <v>40</v>
      </c>
      <c r="I65" s="61" t="s">
        <v>16</v>
      </c>
      <c r="J65" s="61" t="s">
        <v>16</v>
      </c>
      <c r="K65" s="61" t="s">
        <v>16</v>
      </c>
      <c r="L65" s="61" t="s">
        <v>16</v>
      </c>
      <c r="M65" s="61" t="s">
        <v>16</v>
      </c>
      <c r="N65" s="61" t="s">
        <v>40</v>
      </c>
      <c r="O65" s="61" t="s">
        <v>40</v>
      </c>
      <c r="P65" s="61" t="s">
        <v>16</v>
      </c>
      <c r="Q65" s="61" t="s">
        <v>16</v>
      </c>
      <c r="R65" s="61" t="s">
        <v>16</v>
      </c>
      <c r="S65" s="61" t="s">
        <v>16</v>
      </c>
      <c r="T65" s="61" t="s">
        <v>20</v>
      </c>
      <c r="U65" s="61" t="s">
        <v>40</v>
      </c>
      <c r="V65" s="61" t="s">
        <v>40</v>
      </c>
      <c r="W65" s="61" t="s">
        <v>16</v>
      </c>
      <c r="X65" s="61" t="s">
        <v>16</v>
      </c>
      <c r="Y65" s="61" t="s">
        <v>18</v>
      </c>
      <c r="Z65" s="61" t="s">
        <v>16</v>
      </c>
      <c r="AA65" s="61" t="s">
        <v>16</v>
      </c>
      <c r="AB65" s="61" t="s">
        <v>40</v>
      </c>
      <c r="AC65" s="61" t="s">
        <v>40</v>
      </c>
      <c r="AD65" s="61" t="s">
        <v>20</v>
      </c>
      <c r="AE65" s="61" t="s">
        <v>37</v>
      </c>
      <c r="AF65" s="61" t="s">
        <v>37</v>
      </c>
      <c r="AG65" s="19"/>
      <c r="AH65" s="42">
        <f t="shared" si="74"/>
        <v>21</v>
      </c>
      <c r="AI65" s="42">
        <f t="shared" si="75"/>
        <v>1</v>
      </c>
      <c r="AJ65" s="42">
        <f t="shared" si="76"/>
        <v>3</v>
      </c>
      <c r="AK65" s="42">
        <f t="shared" si="77"/>
        <v>0</v>
      </c>
      <c r="AL65" s="42">
        <f t="shared" si="78"/>
        <v>0</v>
      </c>
      <c r="AM65" s="42">
        <f t="shared" si="79"/>
        <v>8</v>
      </c>
      <c r="AN65" s="42">
        <f t="shared" si="80"/>
        <v>0</v>
      </c>
      <c r="AO65" s="42">
        <f t="shared" si="81"/>
        <v>0</v>
      </c>
      <c r="AP65" s="42">
        <f t="shared" si="82"/>
        <v>0</v>
      </c>
      <c r="AQ65" s="42">
        <f t="shared" si="83"/>
        <v>0</v>
      </c>
      <c r="AR65" s="26">
        <f>SUMIF('Spiffs &amp; Deductions'!A$3:A1005,A65,'Spiffs &amp; Deductions'!B$3:B1005)</f>
        <v>0</v>
      </c>
      <c r="AS65" s="26">
        <f>SUMIFs('Spiffs &amp; Deductions'!B$3:B1005,'Spiffs &amp; Deductions'!A$3:A1005,A65,'Spiffs &amp; Deductions'!C$3:C1005,$AS$3)</f>
        <v>0</v>
      </c>
      <c r="AT65" s="26">
        <f t="shared" si="84"/>
        <v>0</v>
      </c>
      <c r="AU65" s="20">
        <f t="shared" si="85"/>
        <v>175</v>
      </c>
    </row>
    <row r="66">
      <c r="A66" s="59" t="s">
        <v>6</v>
      </c>
      <c r="B66" s="31" t="s">
        <v>26</v>
      </c>
      <c r="C66" s="31" t="s">
        <v>16</v>
      </c>
      <c r="D66" s="31" t="s">
        <v>16</v>
      </c>
      <c r="E66" s="31" t="s">
        <v>16</v>
      </c>
      <c r="F66" s="31" t="s">
        <v>16</v>
      </c>
      <c r="G66" s="31" t="s">
        <v>40</v>
      </c>
      <c r="H66" s="31" t="s">
        <v>40</v>
      </c>
      <c r="I66" s="31" t="s">
        <v>16</v>
      </c>
      <c r="J66" s="31" t="s">
        <v>16</v>
      </c>
      <c r="K66" s="31" t="s">
        <v>16</v>
      </c>
      <c r="L66" s="31" t="s">
        <v>16</v>
      </c>
      <c r="M66" s="31" t="s">
        <v>16</v>
      </c>
      <c r="N66" s="31" t="s">
        <v>40</v>
      </c>
      <c r="O66" s="31" t="s">
        <v>40</v>
      </c>
      <c r="P66" s="31" t="s">
        <v>16</v>
      </c>
      <c r="Q66" s="31" t="s">
        <v>16</v>
      </c>
      <c r="R66" s="31" t="s">
        <v>16</v>
      </c>
      <c r="S66" s="31" t="s">
        <v>16</v>
      </c>
      <c r="T66" s="31" t="s">
        <v>16</v>
      </c>
      <c r="U66" s="31" t="s">
        <v>40</v>
      </c>
      <c r="V66" s="31" t="s">
        <v>40</v>
      </c>
      <c r="W66" s="31" t="s">
        <v>16</v>
      </c>
      <c r="X66" s="31" t="s">
        <v>16</v>
      </c>
      <c r="Y66" s="31" t="s">
        <v>16</v>
      </c>
      <c r="Z66" s="31" t="s">
        <v>16</v>
      </c>
      <c r="AA66" s="31" t="s">
        <v>16</v>
      </c>
      <c r="AB66" s="31" t="s">
        <v>40</v>
      </c>
      <c r="AC66" s="31" t="s">
        <v>40</v>
      </c>
      <c r="AD66" s="31" t="s">
        <v>16</v>
      </c>
      <c r="AE66" s="31" t="s">
        <v>37</v>
      </c>
      <c r="AF66" s="31" t="s">
        <v>37</v>
      </c>
      <c r="AG66" s="19"/>
      <c r="AH66" s="42">
        <f t="shared" si="74"/>
        <v>20</v>
      </c>
      <c r="AI66" s="42">
        <f t="shared" si="75"/>
        <v>0</v>
      </c>
      <c r="AJ66" s="42">
        <f t="shared" si="76"/>
        <v>0</v>
      </c>
      <c r="AK66" s="42">
        <f t="shared" si="77"/>
        <v>0</v>
      </c>
      <c r="AL66" s="42">
        <f t="shared" si="78"/>
        <v>0</v>
      </c>
      <c r="AM66" s="42">
        <f t="shared" si="79"/>
        <v>8</v>
      </c>
      <c r="AN66" s="42">
        <f t="shared" si="80"/>
        <v>0</v>
      </c>
      <c r="AO66" s="42">
        <f t="shared" si="81"/>
        <v>1</v>
      </c>
      <c r="AP66" s="42">
        <f t="shared" si="82"/>
        <v>0</v>
      </c>
      <c r="AQ66" s="42">
        <f t="shared" si="83"/>
        <v>0</v>
      </c>
      <c r="AR66" s="26">
        <f>SUMIF('Spiffs &amp; Deductions'!A$3:A1005,A66,'Spiffs &amp; Deductions'!B$3:B1005)</f>
        <v>0</v>
      </c>
      <c r="AS66" s="26">
        <f>SUMIFs('Spiffs &amp; Deductions'!B$3:B1005,'Spiffs &amp; Deductions'!A$3:A1005,A66,'Spiffs &amp; Deductions'!C$3:C1005,$AS$3)</f>
        <v>0</v>
      </c>
      <c r="AT66" s="26">
        <f t="shared" si="84"/>
        <v>0</v>
      </c>
      <c r="AU66" s="20">
        <f t="shared" si="85"/>
        <v>0</v>
      </c>
    </row>
    <row r="67">
      <c r="A67" s="60" t="s">
        <v>8</v>
      </c>
      <c r="B67" s="61" t="s">
        <v>16</v>
      </c>
      <c r="C67" s="61" t="s">
        <v>16</v>
      </c>
      <c r="D67" s="61" t="s">
        <v>16</v>
      </c>
      <c r="E67" s="61" t="s">
        <v>16</v>
      </c>
      <c r="F67" s="61" t="s">
        <v>16</v>
      </c>
      <c r="G67" s="61" t="s">
        <v>40</v>
      </c>
      <c r="H67" s="61" t="s">
        <v>40</v>
      </c>
      <c r="I67" s="61" t="s">
        <v>16</v>
      </c>
      <c r="J67" s="61" t="s">
        <v>16</v>
      </c>
      <c r="K67" s="61" t="s">
        <v>16</v>
      </c>
      <c r="L67" s="61" t="s">
        <v>16</v>
      </c>
      <c r="M67" s="61" t="s">
        <v>16</v>
      </c>
      <c r="N67" s="61" t="s">
        <v>40</v>
      </c>
      <c r="O67" s="61" t="s">
        <v>40</v>
      </c>
      <c r="P67" s="61" t="s">
        <v>26</v>
      </c>
      <c r="Q67" s="61" t="s">
        <v>16</v>
      </c>
      <c r="R67" s="61" t="s">
        <v>16</v>
      </c>
      <c r="S67" s="61" t="s">
        <v>16</v>
      </c>
      <c r="T67" s="61" t="s">
        <v>16</v>
      </c>
      <c r="U67" s="61" t="s">
        <v>40</v>
      </c>
      <c r="V67" s="61" t="s">
        <v>40</v>
      </c>
      <c r="W67" s="61" t="s">
        <v>16</v>
      </c>
      <c r="X67" s="61" t="s">
        <v>16</v>
      </c>
      <c r="Y67" s="61" t="s">
        <v>16</v>
      </c>
      <c r="Z67" s="61" t="s">
        <v>16</v>
      </c>
      <c r="AA67" s="61" t="s">
        <v>16</v>
      </c>
      <c r="AB67" s="61" t="s">
        <v>40</v>
      </c>
      <c r="AC67" s="61" t="s">
        <v>40</v>
      </c>
      <c r="AD67" s="61" t="s">
        <v>16</v>
      </c>
      <c r="AE67" s="61" t="s">
        <v>37</v>
      </c>
      <c r="AF67" s="61" t="s">
        <v>37</v>
      </c>
      <c r="AG67" s="19"/>
      <c r="AH67" s="42">
        <f t="shared" si="74"/>
        <v>20</v>
      </c>
      <c r="AI67" s="42">
        <f t="shared" si="75"/>
        <v>0</v>
      </c>
      <c r="AJ67" s="42">
        <f t="shared" si="76"/>
        <v>0</v>
      </c>
      <c r="AK67" s="42">
        <f t="shared" si="77"/>
        <v>0</v>
      </c>
      <c r="AL67" s="42">
        <f t="shared" si="78"/>
        <v>0</v>
      </c>
      <c r="AM67" s="42">
        <f t="shared" si="79"/>
        <v>8</v>
      </c>
      <c r="AN67" s="42">
        <f t="shared" si="80"/>
        <v>0</v>
      </c>
      <c r="AO67" s="42">
        <f t="shared" si="81"/>
        <v>1</v>
      </c>
      <c r="AP67" s="42">
        <f t="shared" si="82"/>
        <v>0</v>
      </c>
      <c r="AQ67" s="42">
        <f t="shared" si="83"/>
        <v>0</v>
      </c>
      <c r="AR67" s="26">
        <f>SUMIF('Spiffs &amp; Deductions'!A$3:A1005,A67,'Spiffs &amp; Deductions'!B$3:B1005)</f>
        <v>0</v>
      </c>
      <c r="AS67" s="26">
        <f>SUMIFs('Spiffs &amp; Deductions'!B$3:B1005,'Spiffs &amp; Deductions'!A$3:A1005,A67,'Spiffs &amp; Deductions'!C$3:C1005,$AS$3)</f>
        <v>0</v>
      </c>
      <c r="AT67" s="26">
        <f t="shared" si="84"/>
        <v>0</v>
      </c>
      <c r="AU67" s="20">
        <f t="shared" si="85"/>
        <v>0</v>
      </c>
    </row>
    <row r="68">
      <c r="A68" s="75" t="s">
        <v>14</v>
      </c>
      <c r="B68" s="31" t="s">
        <v>16</v>
      </c>
      <c r="C68" s="31" t="s">
        <v>16</v>
      </c>
      <c r="D68" s="31" t="s">
        <v>16</v>
      </c>
      <c r="E68" s="31" t="s">
        <v>16</v>
      </c>
      <c r="F68" s="31" t="s">
        <v>16</v>
      </c>
      <c r="G68" s="31" t="s">
        <v>40</v>
      </c>
      <c r="H68" s="31" t="s">
        <v>40</v>
      </c>
      <c r="I68" s="31" t="s">
        <v>16</v>
      </c>
      <c r="J68" s="31" t="s">
        <v>16</v>
      </c>
      <c r="K68" s="31" t="s">
        <v>16</v>
      </c>
      <c r="L68" s="31" t="s">
        <v>16</v>
      </c>
      <c r="M68" s="31" t="s">
        <v>16</v>
      </c>
      <c r="N68" s="31" t="s">
        <v>40</v>
      </c>
      <c r="O68" s="31" t="s">
        <v>40</v>
      </c>
      <c r="P68" s="31" t="s">
        <v>16</v>
      </c>
      <c r="Q68" s="31" t="s">
        <v>16</v>
      </c>
      <c r="R68" s="31" t="s">
        <v>16</v>
      </c>
      <c r="S68" s="31" t="s">
        <v>16</v>
      </c>
      <c r="T68" s="31" t="s">
        <v>16</v>
      </c>
      <c r="U68" s="31" t="s">
        <v>40</v>
      </c>
      <c r="V68" s="31" t="s">
        <v>40</v>
      </c>
      <c r="W68" s="31" t="s">
        <v>16</v>
      </c>
      <c r="X68" s="31" t="s">
        <v>16</v>
      </c>
      <c r="Y68" s="31" t="s">
        <v>26</v>
      </c>
      <c r="Z68" s="31" t="s">
        <v>16</v>
      </c>
      <c r="AA68" s="31" t="s">
        <v>16</v>
      </c>
      <c r="AB68" s="31" t="s">
        <v>40</v>
      </c>
      <c r="AC68" s="31" t="s">
        <v>40</v>
      </c>
      <c r="AD68" s="31" t="s">
        <v>16</v>
      </c>
      <c r="AE68" s="31" t="s">
        <v>37</v>
      </c>
      <c r="AF68" s="31" t="s">
        <v>37</v>
      </c>
      <c r="AG68" s="19"/>
      <c r="AH68" s="42">
        <f t="shared" si="74"/>
        <v>20</v>
      </c>
      <c r="AI68" s="42">
        <f t="shared" si="75"/>
        <v>0</v>
      </c>
      <c r="AJ68" s="42">
        <f t="shared" si="76"/>
        <v>0</v>
      </c>
      <c r="AK68" s="42">
        <f t="shared" si="77"/>
        <v>0</v>
      </c>
      <c r="AL68" s="42">
        <f t="shared" si="78"/>
        <v>0</v>
      </c>
      <c r="AM68" s="42">
        <f t="shared" si="79"/>
        <v>8</v>
      </c>
      <c r="AN68" s="42">
        <f t="shared" si="80"/>
        <v>0</v>
      </c>
      <c r="AO68" s="42">
        <f t="shared" si="81"/>
        <v>1</v>
      </c>
      <c r="AP68" s="42">
        <f t="shared" si="82"/>
        <v>0</v>
      </c>
      <c r="AQ68" s="42">
        <f t="shared" si="83"/>
        <v>0</v>
      </c>
      <c r="AR68" s="26">
        <f>SUMIF('Spiffs &amp; Deductions'!A$3:A1005,A68,'Spiffs &amp; Deductions'!B$3:B1005)</f>
        <v>0</v>
      </c>
      <c r="AS68" s="26">
        <f>SUMIFs('Spiffs &amp; Deductions'!B$3:B1005,'Spiffs &amp; Deductions'!A$3:A1005,A68,'Spiffs &amp; Deductions'!C$3:C1005,$AS$3)</f>
        <v>0</v>
      </c>
      <c r="AT68" s="26">
        <f t="shared" si="84"/>
        <v>0</v>
      </c>
      <c r="AU68" s="20">
        <f t="shared" si="85"/>
        <v>0</v>
      </c>
    </row>
    <row r="69">
      <c r="A69" s="75" t="s">
        <v>11</v>
      </c>
      <c r="B69" s="61" t="s">
        <v>16</v>
      </c>
      <c r="C69" s="61" t="s">
        <v>16</v>
      </c>
      <c r="D69" s="61" t="s">
        <v>20</v>
      </c>
      <c r="E69" s="61" t="s">
        <v>16</v>
      </c>
      <c r="F69" s="61" t="s">
        <v>16</v>
      </c>
      <c r="G69" s="61" t="s">
        <v>40</v>
      </c>
      <c r="H69" s="61" t="s">
        <v>40</v>
      </c>
      <c r="I69" s="61" t="s">
        <v>16</v>
      </c>
      <c r="J69" s="61" t="s">
        <v>16</v>
      </c>
      <c r="K69" s="61" t="s">
        <v>20</v>
      </c>
      <c r="L69" s="61" t="s">
        <v>16</v>
      </c>
      <c r="M69" s="61" t="s">
        <v>16</v>
      </c>
      <c r="N69" s="61" t="s">
        <v>40</v>
      </c>
      <c r="O69" s="61" t="s">
        <v>40</v>
      </c>
      <c r="P69" s="61" t="s">
        <v>20</v>
      </c>
      <c r="Q69" s="61" t="s">
        <v>16</v>
      </c>
      <c r="R69" s="61" t="s">
        <v>16</v>
      </c>
      <c r="S69" s="61" t="s">
        <v>24</v>
      </c>
      <c r="T69" s="61" t="s">
        <v>16</v>
      </c>
      <c r="U69" s="61" t="s">
        <v>40</v>
      </c>
      <c r="V69" s="61" t="s">
        <v>40</v>
      </c>
      <c r="W69" s="61" t="s">
        <v>16</v>
      </c>
      <c r="X69" s="61" t="s">
        <v>24</v>
      </c>
      <c r="Y69" s="61" t="s">
        <v>20</v>
      </c>
      <c r="Z69" s="61" t="s">
        <v>16</v>
      </c>
      <c r="AA69" s="61" t="s">
        <v>20</v>
      </c>
      <c r="AB69" s="61" t="s">
        <v>40</v>
      </c>
      <c r="AC69" s="61" t="s">
        <v>40</v>
      </c>
      <c r="AD69" s="61" t="s">
        <v>16</v>
      </c>
      <c r="AE69" s="61" t="s">
        <v>37</v>
      </c>
      <c r="AF69" s="61" t="s">
        <v>37</v>
      </c>
      <c r="AG69" s="19"/>
      <c r="AH69" s="42">
        <f t="shared" si="74"/>
        <v>20</v>
      </c>
      <c r="AI69" s="42">
        <f t="shared" si="75"/>
        <v>0</v>
      </c>
      <c r="AJ69" s="42">
        <f t="shared" si="76"/>
        <v>5</v>
      </c>
      <c r="AK69" s="42">
        <f t="shared" si="77"/>
        <v>0</v>
      </c>
      <c r="AL69" s="42">
        <f t="shared" si="78"/>
        <v>2</v>
      </c>
      <c r="AM69" s="42">
        <f t="shared" si="79"/>
        <v>8</v>
      </c>
      <c r="AN69" s="42">
        <f t="shared" si="80"/>
        <v>0</v>
      </c>
      <c r="AO69" s="42">
        <f t="shared" si="81"/>
        <v>0</v>
      </c>
      <c r="AP69" s="42">
        <f t="shared" si="82"/>
        <v>0</v>
      </c>
      <c r="AQ69" s="42">
        <f t="shared" si="83"/>
        <v>0</v>
      </c>
      <c r="AR69" s="26">
        <f>SUMIF('Spiffs &amp; Deductions'!A$3:A1005,A69,'Spiffs &amp; Deductions'!B$3:B1005)</f>
        <v>0</v>
      </c>
      <c r="AS69" s="26">
        <f>SUMIFs('Spiffs &amp; Deductions'!B$3:B1005,'Spiffs &amp; Deductions'!A$3:A1005,A69,'Spiffs &amp; Deductions'!C$3:C1005,$AS$3)</f>
        <v>0</v>
      </c>
      <c r="AT69" s="26">
        <f t="shared" si="84"/>
        <v>1</v>
      </c>
      <c r="AU69" s="20">
        <f t="shared" si="85"/>
        <v>250</v>
      </c>
    </row>
    <row r="70">
      <c r="A70" s="75" t="s">
        <v>12</v>
      </c>
      <c r="B70" s="31" t="s">
        <v>16</v>
      </c>
      <c r="C70" s="31" t="s">
        <v>16</v>
      </c>
      <c r="D70" s="31" t="s">
        <v>16</v>
      </c>
      <c r="E70" s="31" t="s">
        <v>16</v>
      </c>
      <c r="F70" s="31" t="s">
        <v>16</v>
      </c>
      <c r="G70" s="31" t="s">
        <v>40</v>
      </c>
      <c r="H70" s="31" t="s">
        <v>40</v>
      </c>
      <c r="I70" s="31" t="s">
        <v>16</v>
      </c>
      <c r="J70" s="31" t="s">
        <v>16</v>
      </c>
      <c r="K70" s="31" t="s">
        <v>16</v>
      </c>
      <c r="L70" s="31" t="s">
        <v>16</v>
      </c>
      <c r="M70" s="31" t="s">
        <v>26</v>
      </c>
      <c r="N70" s="31" t="s">
        <v>40</v>
      </c>
      <c r="O70" s="31" t="s">
        <v>40</v>
      </c>
      <c r="P70" s="31" t="s">
        <v>16</v>
      </c>
      <c r="Q70" s="31" t="s">
        <v>16</v>
      </c>
      <c r="R70" s="31" t="s">
        <v>16</v>
      </c>
      <c r="S70" s="31" t="s">
        <v>22</v>
      </c>
      <c r="T70" s="31" t="s">
        <v>16</v>
      </c>
      <c r="U70" s="31" t="s">
        <v>40</v>
      </c>
      <c r="V70" s="31" t="s">
        <v>40</v>
      </c>
      <c r="W70" s="31" t="s">
        <v>16</v>
      </c>
      <c r="X70" s="31" t="s">
        <v>16</v>
      </c>
      <c r="Y70" s="31" t="s">
        <v>16</v>
      </c>
      <c r="Z70" s="31" t="s">
        <v>16</v>
      </c>
      <c r="AA70" s="31" t="s">
        <v>24</v>
      </c>
      <c r="AB70" s="31" t="s">
        <v>40</v>
      </c>
      <c r="AC70" s="31" t="s">
        <v>40</v>
      </c>
      <c r="AD70" s="31" t="s">
        <v>16</v>
      </c>
      <c r="AE70" s="31" t="s">
        <v>37</v>
      </c>
      <c r="AF70" s="31" t="s">
        <v>37</v>
      </c>
      <c r="AG70" s="19"/>
      <c r="AH70" s="42">
        <f t="shared" si="74"/>
        <v>19.25</v>
      </c>
      <c r="AI70" s="42">
        <f t="shared" si="75"/>
        <v>0</v>
      </c>
      <c r="AJ70" s="42">
        <f t="shared" si="76"/>
        <v>0</v>
      </c>
      <c r="AK70" s="42">
        <f t="shared" si="77"/>
        <v>1</v>
      </c>
      <c r="AL70" s="42">
        <f t="shared" si="78"/>
        <v>1</v>
      </c>
      <c r="AM70" s="42">
        <f t="shared" si="79"/>
        <v>8</v>
      </c>
      <c r="AN70" s="42">
        <f t="shared" si="80"/>
        <v>0</v>
      </c>
      <c r="AO70" s="42">
        <f t="shared" si="81"/>
        <v>1</v>
      </c>
      <c r="AP70" s="42">
        <f t="shared" si="82"/>
        <v>0</v>
      </c>
      <c r="AQ70" s="42">
        <f t="shared" si="83"/>
        <v>0</v>
      </c>
      <c r="AR70" s="26">
        <f>SUMIF('Spiffs &amp; Deductions'!A$3:A1005,A70,'Spiffs &amp; Deductions'!B$3:B1005)</f>
        <v>0</v>
      </c>
      <c r="AS70" s="26">
        <f>SUMIFs('Spiffs &amp; Deductions'!B$3:B1005,'Spiffs &amp; Deductions'!A$3:A1005,A70,'Spiffs &amp; Deductions'!C$3:C1005,$AS$3)</f>
        <v>0</v>
      </c>
      <c r="AT70" s="26">
        <f t="shared" si="84"/>
        <v>0.75</v>
      </c>
      <c r="AU70" s="20">
        <f t="shared" si="85"/>
        <v>0</v>
      </c>
    </row>
    <row r="71">
      <c r="A71" s="75" t="s">
        <v>13</v>
      </c>
      <c r="B71" s="61" t="s">
        <v>16</v>
      </c>
      <c r="C71" s="61" t="s">
        <v>16</v>
      </c>
      <c r="D71" s="61" t="s">
        <v>16</v>
      </c>
      <c r="E71" s="61" t="s">
        <v>16</v>
      </c>
      <c r="F71" s="61" t="s">
        <v>16</v>
      </c>
      <c r="G71" s="61" t="s">
        <v>40</v>
      </c>
      <c r="H71" s="61" t="s">
        <v>40</v>
      </c>
      <c r="I71" s="61" t="s">
        <v>16</v>
      </c>
      <c r="J71" s="61" t="s">
        <v>16</v>
      </c>
      <c r="K71" s="61" t="s">
        <v>16</v>
      </c>
      <c r="L71" s="61" t="s">
        <v>16</v>
      </c>
      <c r="M71" s="61" t="s">
        <v>16</v>
      </c>
      <c r="N71" s="61" t="s">
        <v>40</v>
      </c>
      <c r="O71" s="61" t="s">
        <v>40</v>
      </c>
      <c r="P71" s="61" t="s">
        <v>16</v>
      </c>
      <c r="Q71" s="61" t="s">
        <v>16</v>
      </c>
      <c r="R71" s="61" t="s">
        <v>16</v>
      </c>
      <c r="S71" s="61" t="s">
        <v>16</v>
      </c>
      <c r="T71" s="61" t="s">
        <v>16</v>
      </c>
      <c r="U71" s="61" t="s">
        <v>40</v>
      </c>
      <c r="V71" s="61" t="s">
        <v>40</v>
      </c>
      <c r="W71" s="61" t="s">
        <v>16</v>
      </c>
      <c r="X71" s="61" t="s">
        <v>16</v>
      </c>
      <c r="Y71" s="61" t="s">
        <v>16</v>
      </c>
      <c r="Z71" s="61" t="s">
        <v>26</v>
      </c>
      <c r="AA71" s="61" t="s">
        <v>16</v>
      </c>
      <c r="AB71" s="61" t="s">
        <v>40</v>
      </c>
      <c r="AC71" s="61" t="s">
        <v>40</v>
      </c>
      <c r="AD71" s="61" t="s">
        <v>16</v>
      </c>
      <c r="AE71" s="61" t="s">
        <v>37</v>
      </c>
      <c r="AF71" s="61" t="s">
        <v>37</v>
      </c>
      <c r="AG71" s="19"/>
      <c r="AH71" s="42">
        <f t="shared" si="74"/>
        <v>20</v>
      </c>
      <c r="AI71" s="42">
        <f t="shared" si="75"/>
        <v>0</v>
      </c>
      <c r="AJ71" s="42">
        <f t="shared" si="76"/>
        <v>0</v>
      </c>
      <c r="AK71" s="42">
        <f t="shared" si="77"/>
        <v>0</v>
      </c>
      <c r="AL71" s="42">
        <f t="shared" si="78"/>
        <v>0</v>
      </c>
      <c r="AM71" s="42">
        <f t="shared" si="79"/>
        <v>8</v>
      </c>
      <c r="AN71" s="42">
        <f t="shared" si="80"/>
        <v>0</v>
      </c>
      <c r="AO71" s="42">
        <f t="shared" si="81"/>
        <v>1</v>
      </c>
      <c r="AP71" s="42">
        <f t="shared" si="82"/>
        <v>0</v>
      </c>
      <c r="AQ71" s="42">
        <f t="shared" si="83"/>
        <v>0</v>
      </c>
      <c r="AR71" s="26">
        <f>SUMIF('Spiffs &amp; Deductions'!A$3:A1005,A71,'Spiffs &amp; Deductions'!B$3:B1005)</f>
        <v>0</v>
      </c>
      <c r="AS71" s="26">
        <f>SUMIFs('Spiffs &amp; Deductions'!B$3:B1005,'Spiffs &amp; Deductions'!A$3:A1005,A71,'Spiffs &amp; Deductions'!C$3:C1005,$AS$3)</f>
        <v>0</v>
      </c>
      <c r="AT71" s="26">
        <f t="shared" si="84"/>
        <v>0</v>
      </c>
      <c r="AU71" s="20">
        <f t="shared" si="85"/>
        <v>0</v>
      </c>
    </row>
    <row r="72">
      <c r="A72" s="59" t="s">
        <v>54</v>
      </c>
      <c r="B72" s="31" t="s">
        <v>37</v>
      </c>
      <c r="C72" s="31" t="s">
        <v>37</v>
      </c>
      <c r="D72" s="31" t="s">
        <v>37</v>
      </c>
      <c r="E72" s="76">
        <v>0.2708333333333333</v>
      </c>
      <c r="F72" s="76">
        <v>0.2708333333333333</v>
      </c>
      <c r="G72" s="31" t="s">
        <v>40</v>
      </c>
      <c r="H72" s="31" t="s">
        <v>40</v>
      </c>
      <c r="I72" s="76">
        <v>0.2708333333333333</v>
      </c>
      <c r="J72" s="76">
        <v>0.2708333333333333</v>
      </c>
      <c r="K72" s="76">
        <v>0.2708333333333333</v>
      </c>
      <c r="L72" s="76">
        <v>0.2708333333333333</v>
      </c>
      <c r="M72" s="76">
        <v>0.2708333333333333</v>
      </c>
      <c r="N72" s="31" t="s">
        <v>40</v>
      </c>
      <c r="O72" s="31" t="s">
        <v>40</v>
      </c>
      <c r="P72" s="76">
        <v>0.2708333333333333</v>
      </c>
      <c r="Q72" s="76">
        <v>0.2708333333333333</v>
      </c>
      <c r="R72" s="76">
        <v>0.2708333333333333</v>
      </c>
      <c r="S72" s="76">
        <v>0.2708333333333333</v>
      </c>
      <c r="T72" s="76">
        <v>0.2708333333333333</v>
      </c>
      <c r="U72" s="31" t="s">
        <v>40</v>
      </c>
      <c r="V72" s="31" t="s">
        <v>40</v>
      </c>
      <c r="W72" s="76">
        <v>0.2708333333333333</v>
      </c>
      <c r="X72" s="76">
        <v>0.2708333333333333</v>
      </c>
      <c r="Y72" s="76">
        <v>0.2611111111111111</v>
      </c>
      <c r="Z72" s="76">
        <v>0.24375</v>
      </c>
      <c r="AA72" s="76">
        <v>0.25</v>
      </c>
      <c r="AB72" s="31" t="s">
        <v>40</v>
      </c>
      <c r="AC72" s="31" t="s">
        <v>40</v>
      </c>
      <c r="AD72" s="76">
        <v>0.2708333333333333</v>
      </c>
      <c r="AE72" s="31" t="s">
        <v>37</v>
      </c>
      <c r="AF72" s="31" t="s">
        <v>37</v>
      </c>
      <c r="AG72" s="19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</row>
    <row r="74">
      <c r="A74" s="64" t="s">
        <v>28</v>
      </c>
      <c r="B74" s="65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</row>
    <row r="75">
      <c r="A75" s="67" t="s">
        <v>45</v>
      </c>
      <c r="B75" s="68">
        <v>46231.0</v>
      </c>
      <c r="C75" s="68">
        <v>46232.0</v>
      </c>
      <c r="D75" s="68">
        <v>46233.0</v>
      </c>
      <c r="E75" s="68">
        <v>46234.0</v>
      </c>
      <c r="F75" s="68">
        <v>46235.0</v>
      </c>
      <c r="G75" s="68">
        <v>46236.0</v>
      </c>
      <c r="H75" s="68">
        <v>46237.0</v>
      </c>
      <c r="I75" s="68">
        <v>46238.0</v>
      </c>
      <c r="J75" s="68">
        <v>46239.0</v>
      </c>
      <c r="K75" s="68">
        <v>46240.0</v>
      </c>
      <c r="L75" s="68">
        <v>46241.0</v>
      </c>
      <c r="M75" s="68">
        <v>46242.0</v>
      </c>
      <c r="N75" s="68">
        <v>46243.0</v>
      </c>
      <c r="O75" s="68">
        <v>46244.0</v>
      </c>
      <c r="P75" s="68">
        <v>46245.0</v>
      </c>
      <c r="Q75" s="68">
        <v>46246.0</v>
      </c>
      <c r="R75" s="68">
        <v>46247.0</v>
      </c>
      <c r="S75" s="68">
        <v>46248.0</v>
      </c>
      <c r="T75" s="68">
        <v>46249.0</v>
      </c>
      <c r="U75" s="68">
        <v>46250.0</v>
      </c>
      <c r="V75" s="68">
        <v>46251.0</v>
      </c>
      <c r="W75" s="68">
        <v>46252.0</v>
      </c>
      <c r="X75" s="68">
        <v>46253.0</v>
      </c>
      <c r="Y75" s="68">
        <v>46254.0</v>
      </c>
      <c r="Z75" s="68">
        <v>46255.0</v>
      </c>
      <c r="AA75" s="68">
        <v>46256.0</v>
      </c>
      <c r="AB75" s="68">
        <v>46257.0</v>
      </c>
      <c r="AC75" s="68">
        <v>46258.0</v>
      </c>
      <c r="AD75" s="68">
        <v>46259.0</v>
      </c>
      <c r="AE75" s="68">
        <v>46260.0</v>
      </c>
      <c r="AF75" s="68">
        <v>46261.0</v>
      </c>
      <c r="AG75" s="19"/>
      <c r="AH75" s="29" t="s">
        <v>46</v>
      </c>
      <c r="AI75" s="29" t="s">
        <v>47</v>
      </c>
      <c r="AK75" s="30" t="s">
        <v>40</v>
      </c>
      <c r="AN75" s="29" t="s">
        <v>33</v>
      </c>
      <c r="AO75" s="30" t="s">
        <v>48</v>
      </c>
      <c r="AP75" s="30" t="s">
        <v>49</v>
      </c>
      <c r="AQ75" s="29" t="s">
        <v>36</v>
      </c>
      <c r="AR75" s="31" t="s">
        <v>27</v>
      </c>
      <c r="AT75" s="31" t="s">
        <v>35</v>
      </c>
      <c r="AU75" s="20"/>
    </row>
    <row r="76">
      <c r="A76" s="52" t="s">
        <v>50</v>
      </c>
      <c r="B76" s="53">
        <f t="shared" ref="B76:AF76" si="86">B75</f>
        <v>46231</v>
      </c>
      <c r="C76" s="53">
        <f t="shared" si="86"/>
        <v>46232</v>
      </c>
      <c r="D76" s="53">
        <f t="shared" si="86"/>
        <v>46233</v>
      </c>
      <c r="E76" s="53">
        <f t="shared" si="86"/>
        <v>46234</v>
      </c>
      <c r="F76" s="53">
        <f t="shared" si="86"/>
        <v>46235</v>
      </c>
      <c r="G76" s="53">
        <f t="shared" si="86"/>
        <v>46236</v>
      </c>
      <c r="H76" s="53">
        <f t="shared" si="86"/>
        <v>46237</v>
      </c>
      <c r="I76" s="53">
        <f t="shared" si="86"/>
        <v>46238</v>
      </c>
      <c r="J76" s="53">
        <f t="shared" si="86"/>
        <v>46239</v>
      </c>
      <c r="K76" s="53">
        <f t="shared" si="86"/>
        <v>46240</v>
      </c>
      <c r="L76" s="53">
        <f t="shared" si="86"/>
        <v>46241</v>
      </c>
      <c r="M76" s="53">
        <f t="shared" si="86"/>
        <v>46242</v>
      </c>
      <c r="N76" s="53">
        <f t="shared" si="86"/>
        <v>46243</v>
      </c>
      <c r="O76" s="53">
        <f t="shared" si="86"/>
        <v>46244</v>
      </c>
      <c r="P76" s="53">
        <f t="shared" si="86"/>
        <v>46245</v>
      </c>
      <c r="Q76" s="53">
        <f t="shared" si="86"/>
        <v>46246</v>
      </c>
      <c r="R76" s="53">
        <f t="shared" si="86"/>
        <v>46247</v>
      </c>
      <c r="S76" s="53">
        <f t="shared" si="86"/>
        <v>46248</v>
      </c>
      <c r="T76" s="53">
        <f t="shared" si="86"/>
        <v>46249</v>
      </c>
      <c r="U76" s="53">
        <f t="shared" si="86"/>
        <v>46250</v>
      </c>
      <c r="V76" s="53">
        <f t="shared" si="86"/>
        <v>46251</v>
      </c>
      <c r="W76" s="53">
        <f t="shared" si="86"/>
        <v>46252</v>
      </c>
      <c r="X76" s="53">
        <f t="shared" si="86"/>
        <v>46253</v>
      </c>
      <c r="Y76" s="53">
        <f t="shared" si="86"/>
        <v>46254</v>
      </c>
      <c r="Z76" s="53">
        <f t="shared" si="86"/>
        <v>46255</v>
      </c>
      <c r="AA76" s="53">
        <f t="shared" si="86"/>
        <v>46256</v>
      </c>
      <c r="AB76" s="53">
        <f t="shared" si="86"/>
        <v>46257</v>
      </c>
      <c r="AC76" s="53">
        <f t="shared" si="86"/>
        <v>46258</v>
      </c>
      <c r="AD76" s="53">
        <f t="shared" si="86"/>
        <v>46259</v>
      </c>
      <c r="AE76" s="53">
        <f t="shared" si="86"/>
        <v>46260</v>
      </c>
      <c r="AF76" s="53">
        <f t="shared" si="86"/>
        <v>46261</v>
      </c>
      <c r="AG76" s="69"/>
      <c r="AH76" s="54" t="s">
        <v>16</v>
      </c>
      <c r="AI76" s="55" t="s">
        <v>18</v>
      </c>
      <c r="AJ76" s="54" t="s">
        <v>20</v>
      </c>
      <c r="AK76" s="54" t="s">
        <v>22</v>
      </c>
      <c r="AL76" s="54" t="s">
        <v>24</v>
      </c>
      <c r="AM76" s="55" t="s">
        <v>40</v>
      </c>
      <c r="AN76" s="54" t="s">
        <v>32</v>
      </c>
      <c r="AO76" s="55" t="s">
        <v>26</v>
      </c>
      <c r="AP76" s="54" t="s">
        <v>30</v>
      </c>
      <c r="AQ76" s="55" t="s">
        <v>34</v>
      </c>
      <c r="AR76" s="56" t="s">
        <v>51</v>
      </c>
      <c r="AS76" s="56" t="s">
        <v>52</v>
      </c>
      <c r="AU76" s="69"/>
    </row>
    <row r="77">
      <c r="A77" s="58" t="s">
        <v>3</v>
      </c>
      <c r="B77" s="61" t="s">
        <v>16</v>
      </c>
      <c r="C77" s="61" t="s">
        <v>16</v>
      </c>
      <c r="D77" s="61" t="s">
        <v>16</v>
      </c>
      <c r="E77" s="61" t="s">
        <v>16</v>
      </c>
      <c r="F77" s="61" t="s">
        <v>40</v>
      </c>
      <c r="G77" s="61" t="s">
        <v>40</v>
      </c>
      <c r="H77" s="61" t="s">
        <v>18</v>
      </c>
      <c r="I77" s="61" t="s">
        <v>26</v>
      </c>
      <c r="J77" s="61" t="s">
        <v>16</v>
      </c>
      <c r="K77" s="61" t="s">
        <v>16</v>
      </c>
      <c r="L77" s="61" t="s">
        <v>18</v>
      </c>
      <c r="M77" s="61" t="s">
        <v>40</v>
      </c>
      <c r="N77" s="61" t="s">
        <v>40</v>
      </c>
      <c r="O77" s="61" t="s">
        <v>18</v>
      </c>
      <c r="P77" s="61" t="s">
        <v>16</v>
      </c>
      <c r="Q77" s="61" t="s">
        <v>16</v>
      </c>
      <c r="R77" s="61" t="s">
        <v>16</v>
      </c>
      <c r="S77" s="61" t="s">
        <v>16</v>
      </c>
      <c r="T77" s="61" t="s">
        <v>40</v>
      </c>
      <c r="U77" s="61" t="s">
        <v>40</v>
      </c>
      <c r="V77" s="61" t="s">
        <v>16</v>
      </c>
      <c r="W77" s="61" t="s">
        <v>16</v>
      </c>
      <c r="X77" s="61" t="s">
        <v>16</v>
      </c>
      <c r="Y77" s="61" t="s">
        <v>16</v>
      </c>
      <c r="Z77" s="61" t="s">
        <v>16</v>
      </c>
      <c r="AA77" s="61" t="s">
        <v>40</v>
      </c>
      <c r="AB77" s="61" t="s">
        <v>40</v>
      </c>
      <c r="AC77" s="61" t="s">
        <v>16</v>
      </c>
      <c r="AD77" s="61" t="s">
        <v>16</v>
      </c>
      <c r="AE77" s="61" t="s">
        <v>16</v>
      </c>
      <c r="AF77" s="61" t="s">
        <v>16</v>
      </c>
      <c r="AG77" s="19"/>
      <c r="AH77" s="42">
        <f t="shared" ref="AH77:AH84" si="87">(countif(B77:AG77,AH$3))+AI77+AJ77+(AL77*0.5)+(AK77*0.75)</f>
        <v>22</v>
      </c>
      <c r="AI77" s="42">
        <f t="shared" ref="AI77:AI84" si="88">countif(B77:AG77,$AI$3)</f>
        <v>3</v>
      </c>
      <c r="AJ77" s="42">
        <f t="shared" ref="AJ77:AJ84" si="89">countif(B77:AG77,AJ$3)</f>
        <v>0</v>
      </c>
      <c r="AK77" s="42">
        <f t="shared" ref="AK77:AK84" si="90">countif(B77:AG77,AK$3)</f>
        <v>0</v>
      </c>
      <c r="AL77" s="42">
        <f t="shared" ref="AL77:AL84" si="91">countif(B77:AG77,AL$3)</f>
        <v>0</v>
      </c>
      <c r="AM77" s="42">
        <f t="shared" ref="AM77:AM84" si="92">countif(B77:AG77,$AM$3)</f>
        <v>8</v>
      </c>
      <c r="AN77" s="42">
        <f t="shared" ref="AN77:AN84" si="93">countif(B77:AG77,AN$3)</f>
        <v>0</v>
      </c>
      <c r="AO77" s="42">
        <f t="shared" ref="AO77:AO84" si="94">(countif(B77:AL77,"A"))</f>
        <v>1</v>
      </c>
      <c r="AP77" s="42">
        <f t="shared" ref="AP77:AP84" si="95">countif(B77:AO77,AP$3)</f>
        <v>0</v>
      </c>
      <c r="AQ77" s="42">
        <f t="shared" ref="AQ77:AQ84" si="96">countif(B77:AP77,AQ$3)</f>
        <v>0</v>
      </c>
      <c r="AR77" s="26">
        <f>SUMIF('Spiffs &amp; Deductions'!A$3:A1005,A77,'Spiffs &amp; Deductions'!B$3:B1005)</f>
        <v>0</v>
      </c>
      <c r="AS77" s="26">
        <f>SUMIFs('Spiffs &amp; Deductions'!B$3:B1005,'Spiffs &amp; Deductions'!A$3:A1005,A77,'Spiffs &amp; Deductions'!C$3:C1005,$AS$3)</f>
        <v>0</v>
      </c>
      <c r="AT77" s="26">
        <f t="shared" ref="AT77:AT84" si="97">AK77*0.25+AL77*0.5</f>
        <v>0</v>
      </c>
      <c r="AU77" s="20">
        <f t="shared" ref="AU77:AU84" si="98">AI77*25+AJ77*50</f>
        <v>75</v>
      </c>
    </row>
    <row r="78">
      <c r="A78" s="57" t="s">
        <v>5</v>
      </c>
      <c r="B78" s="31" t="s">
        <v>18</v>
      </c>
      <c r="C78" s="31" t="s">
        <v>16</v>
      </c>
      <c r="D78" s="31" t="s">
        <v>16</v>
      </c>
      <c r="E78" s="31" t="s">
        <v>16</v>
      </c>
      <c r="F78" s="31" t="s">
        <v>40</v>
      </c>
      <c r="G78" s="31" t="s">
        <v>40</v>
      </c>
      <c r="H78" s="31" t="s">
        <v>16</v>
      </c>
      <c r="I78" s="31" t="s">
        <v>16</v>
      </c>
      <c r="J78" s="31" t="s">
        <v>16</v>
      </c>
      <c r="K78" s="31" t="s">
        <v>16</v>
      </c>
      <c r="L78" s="31" t="s">
        <v>26</v>
      </c>
      <c r="M78" s="31" t="s">
        <v>40</v>
      </c>
      <c r="N78" s="31" t="s">
        <v>40</v>
      </c>
      <c r="O78" s="31" t="s">
        <v>16</v>
      </c>
      <c r="P78" s="31" t="s">
        <v>16</v>
      </c>
      <c r="Q78" s="31" t="s">
        <v>16</v>
      </c>
      <c r="R78" s="31" t="s">
        <v>16</v>
      </c>
      <c r="S78" s="31" t="s">
        <v>16</v>
      </c>
      <c r="T78" s="31" t="s">
        <v>40</v>
      </c>
      <c r="U78" s="31" t="s">
        <v>40</v>
      </c>
      <c r="V78" s="31" t="s">
        <v>18</v>
      </c>
      <c r="W78" s="31" t="s">
        <v>16</v>
      </c>
      <c r="X78" s="31" t="s">
        <v>16</v>
      </c>
      <c r="Y78" s="31" t="s">
        <v>16</v>
      </c>
      <c r="Z78" s="31" t="s">
        <v>16</v>
      </c>
      <c r="AA78" s="31" t="s">
        <v>40</v>
      </c>
      <c r="AB78" s="31" t="s">
        <v>40</v>
      </c>
      <c r="AC78" s="31" t="s">
        <v>20</v>
      </c>
      <c r="AD78" s="31" t="s">
        <v>16</v>
      </c>
      <c r="AE78" s="31" t="s">
        <v>16</v>
      </c>
      <c r="AF78" s="31" t="s">
        <v>16</v>
      </c>
      <c r="AG78" s="19"/>
      <c r="AH78" s="42">
        <f t="shared" si="87"/>
        <v>22</v>
      </c>
      <c r="AI78" s="42">
        <f t="shared" si="88"/>
        <v>2</v>
      </c>
      <c r="AJ78" s="42">
        <f t="shared" si="89"/>
        <v>1</v>
      </c>
      <c r="AK78" s="42">
        <f t="shared" si="90"/>
        <v>0</v>
      </c>
      <c r="AL78" s="42">
        <f t="shared" si="91"/>
        <v>0</v>
      </c>
      <c r="AM78" s="42">
        <f t="shared" si="92"/>
        <v>8</v>
      </c>
      <c r="AN78" s="42">
        <f t="shared" si="93"/>
        <v>0</v>
      </c>
      <c r="AO78" s="42">
        <f t="shared" si="94"/>
        <v>1</v>
      </c>
      <c r="AP78" s="42">
        <f t="shared" si="95"/>
        <v>0</v>
      </c>
      <c r="AQ78" s="42">
        <f t="shared" si="96"/>
        <v>0</v>
      </c>
      <c r="AR78" s="26">
        <f>SUMIF('Spiffs &amp; Deductions'!A$3:A1005,A78,'Spiffs &amp; Deductions'!B$3:B1005)</f>
        <v>0</v>
      </c>
      <c r="AS78" s="26">
        <f>SUMIFs('Spiffs &amp; Deductions'!B$3:B1005,'Spiffs &amp; Deductions'!A$3:A1005,A78,'Spiffs &amp; Deductions'!C$3:C1005,$AS$3)</f>
        <v>0</v>
      </c>
      <c r="AT78" s="26">
        <f t="shared" si="97"/>
        <v>0</v>
      </c>
      <c r="AU78" s="20">
        <f t="shared" si="98"/>
        <v>100</v>
      </c>
    </row>
    <row r="79">
      <c r="A79" s="60" t="s">
        <v>6</v>
      </c>
      <c r="B79" s="61" t="s">
        <v>16</v>
      </c>
      <c r="C79" s="61" t="s">
        <v>16</v>
      </c>
      <c r="D79" s="61" t="s">
        <v>16</v>
      </c>
      <c r="E79" s="61" t="s">
        <v>16</v>
      </c>
      <c r="F79" s="61" t="s">
        <v>40</v>
      </c>
      <c r="G79" s="61" t="s">
        <v>40</v>
      </c>
      <c r="H79" s="61" t="s">
        <v>16</v>
      </c>
      <c r="I79" s="61" t="s">
        <v>16</v>
      </c>
      <c r="J79" s="61" t="s">
        <v>16</v>
      </c>
      <c r="K79" s="61" t="s">
        <v>16</v>
      </c>
      <c r="L79" s="61" t="s">
        <v>16</v>
      </c>
      <c r="M79" s="61" t="s">
        <v>40</v>
      </c>
      <c r="N79" s="61" t="s">
        <v>40</v>
      </c>
      <c r="O79" s="61" t="s">
        <v>16</v>
      </c>
      <c r="P79" s="61" t="s">
        <v>16</v>
      </c>
      <c r="Q79" s="61" t="s">
        <v>26</v>
      </c>
      <c r="R79" s="61" t="s">
        <v>26</v>
      </c>
      <c r="S79" s="61" t="s">
        <v>26</v>
      </c>
      <c r="T79" s="61" t="s">
        <v>40</v>
      </c>
      <c r="U79" s="61" t="s">
        <v>40</v>
      </c>
      <c r="V79" s="61" t="s">
        <v>16</v>
      </c>
      <c r="W79" s="61" t="s">
        <v>16</v>
      </c>
      <c r="X79" s="61" t="s">
        <v>16</v>
      </c>
      <c r="Y79" s="61" t="s">
        <v>16</v>
      </c>
      <c r="Z79" s="61" t="s">
        <v>16</v>
      </c>
      <c r="AA79" s="61" t="s">
        <v>40</v>
      </c>
      <c r="AB79" s="61" t="s">
        <v>40</v>
      </c>
      <c r="AC79" s="61" t="s">
        <v>16</v>
      </c>
      <c r="AD79" s="61" t="s">
        <v>16</v>
      </c>
      <c r="AE79" s="61" t="s">
        <v>16</v>
      </c>
      <c r="AF79" s="61" t="s">
        <v>16</v>
      </c>
      <c r="AG79" s="19"/>
      <c r="AH79" s="42">
        <f t="shared" si="87"/>
        <v>20</v>
      </c>
      <c r="AI79" s="42">
        <f t="shared" si="88"/>
        <v>0</v>
      </c>
      <c r="AJ79" s="42">
        <f t="shared" si="89"/>
        <v>0</v>
      </c>
      <c r="AK79" s="42">
        <f t="shared" si="90"/>
        <v>0</v>
      </c>
      <c r="AL79" s="42">
        <f t="shared" si="91"/>
        <v>0</v>
      </c>
      <c r="AM79" s="42">
        <f t="shared" si="92"/>
        <v>8</v>
      </c>
      <c r="AN79" s="42">
        <f t="shared" si="93"/>
        <v>0</v>
      </c>
      <c r="AO79" s="42">
        <f t="shared" si="94"/>
        <v>3</v>
      </c>
      <c r="AP79" s="42">
        <f t="shared" si="95"/>
        <v>0</v>
      </c>
      <c r="AQ79" s="42">
        <f t="shared" si="96"/>
        <v>0</v>
      </c>
      <c r="AR79" s="26">
        <f>SUMIF('Spiffs &amp; Deductions'!A$3:A1005,A79,'Spiffs &amp; Deductions'!B$3:B1005)</f>
        <v>0</v>
      </c>
      <c r="AS79" s="26">
        <f>SUMIFs('Spiffs &amp; Deductions'!B$3:B1005,'Spiffs &amp; Deductions'!A$3:A1005,A79,'Spiffs &amp; Deductions'!C$3:C1005,$AS$3)</f>
        <v>0</v>
      </c>
      <c r="AT79" s="26">
        <f t="shared" si="97"/>
        <v>0</v>
      </c>
      <c r="AU79" s="20">
        <f t="shared" si="98"/>
        <v>0</v>
      </c>
    </row>
    <row r="80">
      <c r="A80" s="59" t="s">
        <v>8</v>
      </c>
      <c r="B80" s="31" t="s">
        <v>16</v>
      </c>
      <c r="C80" s="31" t="s">
        <v>16</v>
      </c>
      <c r="D80" s="31" t="s">
        <v>16</v>
      </c>
      <c r="E80" s="31" t="s">
        <v>16</v>
      </c>
      <c r="F80" s="31" t="s">
        <v>40</v>
      </c>
      <c r="G80" s="31" t="s">
        <v>40</v>
      </c>
      <c r="H80" s="31" t="s">
        <v>16</v>
      </c>
      <c r="I80" s="31" t="s">
        <v>16</v>
      </c>
      <c r="J80" s="31" t="s">
        <v>16</v>
      </c>
      <c r="K80" s="31" t="s">
        <v>16</v>
      </c>
      <c r="L80" s="31" t="s">
        <v>16</v>
      </c>
      <c r="M80" s="31" t="s">
        <v>40</v>
      </c>
      <c r="N80" s="31" t="s">
        <v>40</v>
      </c>
      <c r="O80" s="31" t="s">
        <v>16</v>
      </c>
      <c r="P80" s="31" t="s">
        <v>16</v>
      </c>
      <c r="Q80" s="31" t="s">
        <v>16</v>
      </c>
      <c r="R80" s="31" t="s">
        <v>16</v>
      </c>
      <c r="S80" s="31" t="s">
        <v>16</v>
      </c>
      <c r="T80" s="31" t="s">
        <v>40</v>
      </c>
      <c r="U80" s="31" t="s">
        <v>40</v>
      </c>
      <c r="V80" s="31" t="s">
        <v>16</v>
      </c>
      <c r="W80" s="31" t="s">
        <v>16</v>
      </c>
      <c r="X80" s="31" t="s">
        <v>16</v>
      </c>
      <c r="Y80" s="31" t="s">
        <v>16</v>
      </c>
      <c r="Z80" s="31" t="s">
        <v>16</v>
      </c>
      <c r="AA80" s="31" t="s">
        <v>40</v>
      </c>
      <c r="AB80" s="31" t="s">
        <v>40</v>
      </c>
      <c r="AC80" s="31" t="s">
        <v>16</v>
      </c>
      <c r="AD80" s="31" t="s">
        <v>16</v>
      </c>
      <c r="AE80" s="31" t="s">
        <v>16</v>
      </c>
      <c r="AF80" s="31" t="s">
        <v>16</v>
      </c>
      <c r="AG80" s="19"/>
      <c r="AH80" s="42">
        <f t="shared" si="87"/>
        <v>23</v>
      </c>
      <c r="AI80" s="42">
        <f t="shared" si="88"/>
        <v>0</v>
      </c>
      <c r="AJ80" s="42">
        <f t="shared" si="89"/>
        <v>0</v>
      </c>
      <c r="AK80" s="42">
        <f t="shared" si="90"/>
        <v>0</v>
      </c>
      <c r="AL80" s="42">
        <f t="shared" si="91"/>
        <v>0</v>
      </c>
      <c r="AM80" s="42">
        <f t="shared" si="92"/>
        <v>8</v>
      </c>
      <c r="AN80" s="42">
        <f t="shared" si="93"/>
        <v>0</v>
      </c>
      <c r="AO80" s="42">
        <f t="shared" si="94"/>
        <v>0</v>
      </c>
      <c r="AP80" s="42">
        <f t="shared" si="95"/>
        <v>0</v>
      </c>
      <c r="AQ80" s="42">
        <f t="shared" si="96"/>
        <v>0</v>
      </c>
      <c r="AR80" s="26">
        <f>SUMIF('Spiffs &amp; Deductions'!A$3:A1005,A80,'Spiffs &amp; Deductions'!B$3:B1005)</f>
        <v>0</v>
      </c>
      <c r="AS80" s="26">
        <f>SUMIFs('Spiffs &amp; Deductions'!B$3:B1005,'Spiffs &amp; Deductions'!A$3:A1005,A80,'Spiffs &amp; Deductions'!C$3:C1005,$AS$3)</f>
        <v>0</v>
      </c>
      <c r="AT80" s="26">
        <f t="shared" si="97"/>
        <v>0</v>
      </c>
      <c r="AU80" s="20">
        <f t="shared" si="98"/>
        <v>0</v>
      </c>
    </row>
    <row r="81">
      <c r="A81" s="75" t="s">
        <v>14</v>
      </c>
      <c r="B81" s="61" t="s">
        <v>16</v>
      </c>
      <c r="C81" s="61" t="s">
        <v>16</v>
      </c>
      <c r="D81" s="61" t="s">
        <v>16</v>
      </c>
      <c r="E81" s="61" t="s">
        <v>16</v>
      </c>
      <c r="F81" s="61" t="s">
        <v>40</v>
      </c>
      <c r="G81" s="61" t="s">
        <v>40</v>
      </c>
      <c r="H81" s="61" t="s">
        <v>16</v>
      </c>
      <c r="I81" s="61" t="s">
        <v>16</v>
      </c>
      <c r="J81" s="61" t="s">
        <v>16</v>
      </c>
      <c r="K81" s="61" t="s">
        <v>16</v>
      </c>
      <c r="L81" s="61" t="s">
        <v>16</v>
      </c>
      <c r="M81" s="61" t="s">
        <v>40</v>
      </c>
      <c r="N81" s="61" t="s">
        <v>40</v>
      </c>
      <c r="O81" s="61" t="s">
        <v>16</v>
      </c>
      <c r="P81" s="61" t="s">
        <v>16</v>
      </c>
      <c r="Q81" s="61" t="s">
        <v>22</v>
      </c>
      <c r="R81" s="61" t="s">
        <v>26</v>
      </c>
      <c r="S81" s="61" t="s">
        <v>26</v>
      </c>
      <c r="T81" s="61" t="s">
        <v>40</v>
      </c>
      <c r="U81" s="61" t="s">
        <v>40</v>
      </c>
      <c r="V81" s="61" t="s">
        <v>16</v>
      </c>
      <c r="W81" s="61" t="s">
        <v>16</v>
      </c>
      <c r="X81" s="61" t="s">
        <v>16</v>
      </c>
      <c r="Y81" s="61" t="s">
        <v>16</v>
      </c>
      <c r="Z81" s="61" t="s">
        <v>16</v>
      </c>
      <c r="AA81" s="61" t="s">
        <v>40</v>
      </c>
      <c r="AB81" s="61" t="s">
        <v>40</v>
      </c>
      <c r="AC81" s="61" t="s">
        <v>16</v>
      </c>
      <c r="AD81" s="61" t="s">
        <v>16</v>
      </c>
      <c r="AE81" s="61" t="s">
        <v>16</v>
      </c>
      <c r="AF81" s="61" t="s">
        <v>16</v>
      </c>
      <c r="AG81" s="19"/>
      <c r="AH81" s="42">
        <f t="shared" si="87"/>
        <v>20.75</v>
      </c>
      <c r="AI81" s="42">
        <f t="shared" si="88"/>
        <v>0</v>
      </c>
      <c r="AJ81" s="42">
        <f t="shared" si="89"/>
        <v>0</v>
      </c>
      <c r="AK81" s="42">
        <f t="shared" si="90"/>
        <v>1</v>
      </c>
      <c r="AL81" s="42">
        <f t="shared" si="91"/>
        <v>0</v>
      </c>
      <c r="AM81" s="42">
        <f t="shared" si="92"/>
        <v>8</v>
      </c>
      <c r="AN81" s="42">
        <f t="shared" si="93"/>
        <v>0</v>
      </c>
      <c r="AO81" s="42">
        <f t="shared" si="94"/>
        <v>2</v>
      </c>
      <c r="AP81" s="42">
        <f t="shared" si="95"/>
        <v>0</v>
      </c>
      <c r="AQ81" s="42">
        <f t="shared" si="96"/>
        <v>0</v>
      </c>
      <c r="AR81" s="26">
        <f>SUMIF('Spiffs &amp; Deductions'!A$3:A1005,A81,'Spiffs &amp; Deductions'!B$3:B1005)</f>
        <v>0</v>
      </c>
      <c r="AS81" s="26">
        <f>SUMIFs('Spiffs &amp; Deductions'!B$3:B1005,'Spiffs &amp; Deductions'!A$3:A1005,A81,'Spiffs &amp; Deductions'!C$3:C1005,$AS$3)</f>
        <v>0</v>
      </c>
      <c r="AT81" s="26">
        <f t="shared" si="97"/>
        <v>0.25</v>
      </c>
      <c r="AU81" s="20">
        <f t="shared" si="98"/>
        <v>0</v>
      </c>
    </row>
    <row r="82">
      <c r="A82" s="75" t="s">
        <v>11</v>
      </c>
      <c r="B82" s="31" t="s">
        <v>24</v>
      </c>
      <c r="C82" s="31" t="s">
        <v>18</v>
      </c>
      <c r="D82" s="31" t="s">
        <v>24</v>
      </c>
      <c r="E82" s="31" t="s">
        <v>16</v>
      </c>
      <c r="F82" s="31" t="s">
        <v>40</v>
      </c>
      <c r="G82" s="31" t="s">
        <v>40</v>
      </c>
      <c r="H82" s="31" t="s">
        <v>16</v>
      </c>
      <c r="I82" s="31" t="s">
        <v>16</v>
      </c>
      <c r="J82" s="31" t="s">
        <v>16</v>
      </c>
      <c r="K82" s="31" t="s">
        <v>16</v>
      </c>
      <c r="L82" s="31" t="s">
        <v>18</v>
      </c>
      <c r="M82" s="31" t="s">
        <v>40</v>
      </c>
      <c r="N82" s="31" t="s">
        <v>40</v>
      </c>
      <c r="O82" s="31" t="s">
        <v>16</v>
      </c>
      <c r="P82" s="31" t="s">
        <v>16</v>
      </c>
      <c r="Q82" s="31" t="s">
        <v>16</v>
      </c>
      <c r="R82" s="31" t="s">
        <v>16</v>
      </c>
      <c r="S82" s="31" t="s">
        <v>37</v>
      </c>
      <c r="T82" s="31" t="s">
        <v>37</v>
      </c>
      <c r="U82" s="31" t="s">
        <v>37</v>
      </c>
      <c r="V82" s="31" t="s">
        <v>37</v>
      </c>
      <c r="W82" s="31" t="s">
        <v>37</v>
      </c>
      <c r="X82" s="31" t="s">
        <v>37</v>
      </c>
      <c r="Y82" s="31" t="s">
        <v>37</v>
      </c>
      <c r="Z82" s="31" t="s">
        <v>37</v>
      </c>
      <c r="AA82" s="31" t="s">
        <v>40</v>
      </c>
      <c r="AB82" s="31" t="s">
        <v>40</v>
      </c>
      <c r="AC82" s="31" t="s">
        <v>37</v>
      </c>
      <c r="AD82" s="31" t="s">
        <v>37</v>
      </c>
      <c r="AE82" s="31" t="s">
        <v>37</v>
      </c>
      <c r="AF82" s="31" t="s">
        <v>37</v>
      </c>
      <c r="AG82" s="19"/>
      <c r="AH82" s="42">
        <f t="shared" si="87"/>
        <v>12</v>
      </c>
      <c r="AI82" s="42">
        <f t="shared" si="88"/>
        <v>2</v>
      </c>
      <c r="AJ82" s="42">
        <f t="shared" si="89"/>
        <v>0</v>
      </c>
      <c r="AK82" s="42">
        <f t="shared" si="90"/>
        <v>0</v>
      </c>
      <c r="AL82" s="42">
        <f t="shared" si="91"/>
        <v>2</v>
      </c>
      <c r="AM82" s="42">
        <f t="shared" si="92"/>
        <v>6</v>
      </c>
      <c r="AN82" s="42">
        <f t="shared" si="93"/>
        <v>0</v>
      </c>
      <c r="AO82" s="42">
        <f t="shared" si="94"/>
        <v>0</v>
      </c>
      <c r="AP82" s="42">
        <f t="shared" si="95"/>
        <v>0</v>
      </c>
      <c r="AQ82" s="42">
        <f t="shared" si="96"/>
        <v>0</v>
      </c>
      <c r="AR82" s="26">
        <f>SUMIF('Spiffs &amp; Deductions'!A$3:A1005,A82,'Spiffs &amp; Deductions'!B$3:B1005)</f>
        <v>0</v>
      </c>
      <c r="AS82" s="26">
        <f>SUMIFs('Spiffs &amp; Deductions'!B$3:B1005,'Spiffs &amp; Deductions'!A$3:A1005,A82,'Spiffs &amp; Deductions'!C$3:C1005,$AS$3)</f>
        <v>0</v>
      </c>
      <c r="AT82" s="26">
        <f t="shared" si="97"/>
        <v>1</v>
      </c>
      <c r="AU82" s="20">
        <f t="shared" si="98"/>
        <v>50</v>
      </c>
    </row>
    <row r="83">
      <c r="A83" s="75" t="s">
        <v>12</v>
      </c>
      <c r="B83" s="61" t="s">
        <v>16</v>
      </c>
      <c r="C83" s="61" t="s">
        <v>16</v>
      </c>
      <c r="D83" s="61" t="s">
        <v>16</v>
      </c>
      <c r="E83" s="61" t="s">
        <v>16</v>
      </c>
      <c r="F83" s="61" t="s">
        <v>40</v>
      </c>
      <c r="G83" s="61" t="s">
        <v>40</v>
      </c>
      <c r="H83" s="61" t="s">
        <v>16</v>
      </c>
      <c r="I83" s="61" t="s">
        <v>16</v>
      </c>
      <c r="J83" s="61" t="s">
        <v>16</v>
      </c>
      <c r="K83" s="61" t="s">
        <v>16</v>
      </c>
      <c r="L83" s="61" t="s">
        <v>16</v>
      </c>
      <c r="M83" s="61" t="s">
        <v>40</v>
      </c>
      <c r="N83" s="61" t="s">
        <v>40</v>
      </c>
      <c r="O83" s="61" t="s">
        <v>16</v>
      </c>
      <c r="P83" s="61" t="s">
        <v>16</v>
      </c>
      <c r="Q83" s="61" t="s">
        <v>22</v>
      </c>
      <c r="R83" s="61" t="s">
        <v>16</v>
      </c>
      <c r="S83" s="61" t="s">
        <v>26</v>
      </c>
      <c r="T83" s="61" t="s">
        <v>40</v>
      </c>
      <c r="U83" s="61" t="s">
        <v>40</v>
      </c>
      <c r="V83" s="61" t="s">
        <v>16</v>
      </c>
      <c r="W83" s="61" t="s">
        <v>16</v>
      </c>
      <c r="X83" s="61" t="s">
        <v>16</v>
      </c>
      <c r="Y83" s="61" t="s">
        <v>16</v>
      </c>
      <c r="Z83" s="61" t="s">
        <v>16</v>
      </c>
      <c r="AA83" s="61" t="s">
        <v>40</v>
      </c>
      <c r="AB83" s="61" t="s">
        <v>40</v>
      </c>
      <c r="AC83" s="61" t="s">
        <v>16</v>
      </c>
      <c r="AD83" s="61" t="s">
        <v>16</v>
      </c>
      <c r="AE83" s="61" t="s">
        <v>16</v>
      </c>
      <c r="AF83" s="61" t="s">
        <v>18</v>
      </c>
      <c r="AG83" s="19"/>
      <c r="AH83" s="42">
        <f t="shared" si="87"/>
        <v>21.75</v>
      </c>
      <c r="AI83" s="42">
        <f t="shared" si="88"/>
        <v>1</v>
      </c>
      <c r="AJ83" s="42">
        <f t="shared" si="89"/>
        <v>0</v>
      </c>
      <c r="AK83" s="42">
        <f t="shared" si="90"/>
        <v>1</v>
      </c>
      <c r="AL83" s="42">
        <f t="shared" si="91"/>
        <v>0</v>
      </c>
      <c r="AM83" s="42">
        <f t="shared" si="92"/>
        <v>8</v>
      </c>
      <c r="AN83" s="42">
        <f t="shared" si="93"/>
        <v>0</v>
      </c>
      <c r="AO83" s="42">
        <f t="shared" si="94"/>
        <v>1</v>
      </c>
      <c r="AP83" s="42">
        <f t="shared" si="95"/>
        <v>0</v>
      </c>
      <c r="AQ83" s="42">
        <f t="shared" si="96"/>
        <v>0</v>
      </c>
      <c r="AR83" s="26">
        <f>SUMIF('Spiffs &amp; Deductions'!A$3:A1005,A83,'Spiffs &amp; Deductions'!B$3:B1005)</f>
        <v>0</v>
      </c>
      <c r="AS83" s="26">
        <f>SUMIFs('Spiffs &amp; Deductions'!B$3:B1005,'Spiffs &amp; Deductions'!A$3:A1005,A83,'Spiffs &amp; Deductions'!C$3:C1005,$AS$3)</f>
        <v>0</v>
      </c>
      <c r="AT83" s="26">
        <f t="shared" si="97"/>
        <v>0.25</v>
      </c>
      <c r="AU83" s="20">
        <f t="shared" si="98"/>
        <v>25</v>
      </c>
    </row>
    <row r="84">
      <c r="A84" s="75" t="s">
        <v>13</v>
      </c>
      <c r="B84" s="31" t="s">
        <v>16</v>
      </c>
      <c r="C84" s="31" t="s">
        <v>16</v>
      </c>
      <c r="D84" s="31" t="s">
        <v>16</v>
      </c>
      <c r="E84" s="31" t="s">
        <v>16</v>
      </c>
      <c r="F84" s="31" t="s">
        <v>40</v>
      </c>
      <c r="G84" s="31" t="s">
        <v>40</v>
      </c>
      <c r="H84" s="31" t="s">
        <v>16</v>
      </c>
      <c r="I84" s="31" t="s">
        <v>16</v>
      </c>
      <c r="J84" s="31" t="s">
        <v>16</v>
      </c>
      <c r="K84" s="31" t="s">
        <v>16</v>
      </c>
      <c r="L84" s="31" t="s">
        <v>16</v>
      </c>
      <c r="M84" s="31" t="s">
        <v>40</v>
      </c>
      <c r="N84" s="31" t="s">
        <v>40</v>
      </c>
      <c r="O84" s="31" t="s">
        <v>16</v>
      </c>
      <c r="P84" s="31" t="s">
        <v>16</v>
      </c>
      <c r="Q84" s="31" t="s">
        <v>16</v>
      </c>
      <c r="R84" s="31" t="s">
        <v>16</v>
      </c>
      <c r="S84" s="31" t="s">
        <v>16</v>
      </c>
      <c r="T84" s="31" t="s">
        <v>40</v>
      </c>
      <c r="U84" s="31" t="s">
        <v>40</v>
      </c>
      <c r="V84" s="31" t="s">
        <v>16</v>
      </c>
      <c r="W84" s="31" t="s">
        <v>16</v>
      </c>
      <c r="X84" s="31" t="s">
        <v>16</v>
      </c>
      <c r="Y84" s="31" t="s">
        <v>16</v>
      </c>
      <c r="Z84" s="31" t="s">
        <v>16</v>
      </c>
      <c r="AA84" s="31" t="s">
        <v>40</v>
      </c>
      <c r="AB84" s="31" t="s">
        <v>40</v>
      </c>
      <c r="AC84" s="31" t="s">
        <v>16</v>
      </c>
      <c r="AD84" s="31" t="s">
        <v>16</v>
      </c>
      <c r="AE84" s="31" t="s">
        <v>16</v>
      </c>
      <c r="AF84" s="31" t="s">
        <v>16</v>
      </c>
      <c r="AG84" s="19"/>
      <c r="AH84" s="42">
        <f t="shared" si="87"/>
        <v>23</v>
      </c>
      <c r="AI84" s="42">
        <f t="shared" si="88"/>
        <v>0</v>
      </c>
      <c r="AJ84" s="42">
        <f t="shared" si="89"/>
        <v>0</v>
      </c>
      <c r="AK84" s="42">
        <f t="shared" si="90"/>
        <v>0</v>
      </c>
      <c r="AL84" s="42">
        <f t="shared" si="91"/>
        <v>0</v>
      </c>
      <c r="AM84" s="42">
        <f t="shared" si="92"/>
        <v>8</v>
      </c>
      <c r="AN84" s="42">
        <f t="shared" si="93"/>
        <v>0</v>
      </c>
      <c r="AO84" s="42">
        <f t="shared" si="94"/>
        <v>0</v>
      </c>
      <c r="AP84" s="42">
        <f t="shared" si="95"/>
        <v>0</v>
      </c>
      <c r="AQ84" s="42">
        <f t="shared" si="96"/>
        <v>0</v>
      </c>
      <c r="AR84" s="26">
        <f>SUMIF('Spiffs &amp; Deductions'!A$3:A1005,A84,'Spiffs &amp; Deductions'!B$3:B1005)</f>
        <v>0</v>
      </c>
      <c r="AS84" s="26">
        <f>SUMIFs('Spiffs &amp; Deductions'!B$3:B1005,'Spiffs &amp; Deductions'!A$3:A1005,A84,'Spiffs &amp; Deductions'!C$3:C1005,$AS$3)</f>
        <v>0</v>
      </c>
      <c r="AT84" s="26">
        <f t="shared" si="97"/>
        <v>0</v>
      </c>
      <c r="AU84" s="20">
        <f t="shared" si="98"/>
        <v>0</v>
      </c>
    </row>
    <row r="85">
      <c r="A85" s="60" t="s">
        <v>54</v>
      </c>
      <c r="B85" s="77">
        <v>0.2708333333333333</v>
      </c>
      <c r="C85" s="77">
        <v>0.26180555555555557</v>
      </c>
      <c r="D85" s="61" t="s">
        <v>26</v>
      </c>
      <c r="E85" s="61" t="s">
        <v>26</v>
      </c>
      <c r="F85" s="61" t="s">
        <v>40</v>
      </c>
      <c r="G85" s="61" t="s">
        <v>40</v>
      </c>
      <c r="H85" s="77">
        <v>0.2534722222222222</v>
      </c>
      <c r="I85" s="77">
        <v>0.2638888888888889</v>
      </c>
      <c r="J85" s="77">
        <v>0.26458333333333334</v>
      </c>
      <c r="K85" s="77">
        <v>0.25</v>
      </c>
      <c r="L85" s="77">
        <v>0.2638888888888889</v>
      </c>
      <c r="M85" s="61" t="s">
        <v>40</v>
      </c>
      <c r="N85" s="61" t="s">
        <v>40</v>
      </c>
      <c r="O85" s="77">
        <v>0.2638888888888889</v>
      </c>
      <c r="P85" s="77">
        <v>0.22916666666666666</v>
      </c>
      <c r="Q85" s="77">
        <v>0.26805555555555555</v>
      </c>
      <c r="R85" s="77">
        <v>0.2708333333333333</v>
      </c>
      <c r="S85" s="77">
        <v>0.25</v>
      </c>
      <c r="T85" s="61" t="s">
        <v>40</v>
      </c>
      <c r="U85" s="61" t="s">
        <v>40</v>
      </c>
      <c r="V85" s="77">
        <v>0.2673611111111111</v>
      </c>
      <c r="W85" s="77">
        <v>0.2708333333333333</v>
      </c>
      <c r="X85" s="77">
        <v>0.2534722222222222</v>
      </c>
      <c r="Y85" s="77">
        <v>0.25277777777777777</v>
      </c>
      <c r="Z85" s="77">
        <v>0.24583333333333332</v>
      </c>
      <c r="AA85" s="61" t="s">
        <v>40</v>
      </c>
      <c r="AB85" s="61" t="s">
        <v>40</v>
      </c>
      <c r="AC85" s="77">
        <v>0.2708333333333333</v>
      </c>
      <c r="AD85" s="77">
        <v>0.2638888888888889</v>
      </c>
      <c r="AE85" s="77">
        <v>0.2708333333333333</v>
      </c>
      <c r="AF85" s="77">
        <v>0.2708333333333333</v>
      </c>
      <c r="AG85" s="19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</row>
    <row r="87">
      <c r="A87" s="64" t="s">
        <v>28</v>
      </c>
      <c r="B87" s="65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</row>
    <row r="88">
      <c r="A88" s="29" t="s">
        <v>45</v>
      </c>
      <c r="B88" s="51">
        <v>46262.0</v>
      </c>
      <c r="C88" s="51">
        <v>46263.0</v>
      </c>
      <c r="D88" s="51">
        <v>46264.0</v>
      </c>
      <c r="E88" s="51">
        <v>46265.0</v>
      </c>
      <c r="F88" s="51">
        <v>46266.0</v>
      </c>
      <c r="G88" s="51">
        <v>46267.0</v>
      </c>
      <c r="H88" s="51">
        <v>46268.0</v>
      </c>
      <c r="I88" s="51">
        <v>46269.0</v>
      </c>
      <c r="J88" s="51">
        <v>46270.0</v>
      </c>
      <c r="K88" s="51">
        <v>46271.0</v>
      </c>
      <c r="L88" s="51">
        <v>46272.0</v>
      </c>
      <c r="M88" s="51">
        <v>46273.0</v>
      </c>
      <c r="N88" s="51">
        <v>46274.0</v>
      </c>
      <c r="O88" s="51">
        <v>46275.0</v>
      </c>
      <c r="P88" s="51">
        <v>46276.0</v>
      </c>
      <c r="Q88" s="51">
        <v>46277.0</v>
      </c>
      <c r="R88" s="51">
        <v>46278.0</v>
      </c>
      <c r="S88" s="51">
        <v>46279.0</v>
      </c>
      <c r="T88" s="51">
        <v>46280.0</v>
      </c>
      <c r="U88" s="51">
        <v>46281.0</v>
      </c>
      <c r="V88" s="51">
        <v>46282.0</v>
      </c>
      <c r="W88" s="51">
        <v>46283.0</v>
      </c>
      <c r="X88" s="51">
        <v>46284.0</v>
      </c>
      <c r="Y88" s="51">
        <v>46285.0</v>
      </c>
      <c r="Z88" s="51">
        <v>46286.0</v>
      </c>
      <c r="AA88" s="51">
        <v>46287.0</v>
      </c>
      <c r="AB88" s="51">
        <v>46288.0</v>
      </c>
      <c r="AC88" s="51">
        <v>46289.0</v>
      </c>
      <c r="AD88" s="51">
        <v>46290.0</v>
      </c>
      <c r="AE88" s="51">
        <v>46291.0</v>
      </c>
      <c r="AF88" s="51">
        <v>46292.0</v>
      </c>
      <c r="AG88" s="19"/>
      <c r="AH88" s="29" t="s">
        <v>46</v>
      </c>
      <c r="AI88" s="29" t="s">
        <v>47</v>
      </c>
      <c r="AK88" s="30" t="s">
        <v>40</v>
      </c>
      <c r="AN88" s="29" t="s">
        <v>33</v>
      </c>
      <c r="AO88" s="30" t="s">
        <v>48</v>
      </c>
      <c r="AP88" s="30" t="s">
        <v>49</v>
      </c>
      <c r="AQ88" s="29" t="s">
        <v>36</v>
      </c>
      <c r="AR88" s="31" t="s">
        <v>27</v>
      </c>
      <c r="AT88" s="31" t="s">
        <v>35</v>
      </c>
      <c r="AU88" s="20"/>
    </row>
    <row r="89">
      <c r="A89" s="52" t="s">
        <v>50</v>
      </c>
      <c r="B89" s="53">
        <f t="shared" ref="B89:AF89" si="99">B88</f>
        <v>46262</v>
      </c>
      <c r="C89" s="53">
        <f t="shared" si="99"/>
        <v>46263</v>
      </c>
      <c r="D89" s="53">
        <f t="shared" si="99"/>
        <v>46264</v>
      </c>
      <c r="E89" s="53">
        <f t="shared" si="99"/>
        <v>46265</v>
      </c>
      <c r="F89" s="53">
        <f t="shared" si="99"/>
        <v>46266</v>
      </c>
      <c r="G89" s="53">
        <f t="shared" si="99"/>
        <v>46267</v>
      </c>
      <c r="H89" s="53">
        <f t="shared" si="99"/>
        <v>46268</v>
      </c>
      <c r="I89" s="53">
        <f t="shared" si="99"/>
        <v>46269</v>
      </c>
      <c r="J89" s="53">
        <f t="shared" si="99"/>
        <v>46270</v>
      </c>
      <c r="K89" s="53">
        <f t="shared" si="99"/>
        <v>46271</v>
      </c>
      <c r="L89" s="53">
        <f t="shared" si="99"/>
        <v>46272</v>
      </c>
      <c r="M89" s="53">
        <f t="shared" si="99"/>
        <v>46273</v>
      </c>
      <c r="N89" s="53">
        <f t="shared" si="99"/>
        <v>46274</v>
      </c>
      <c r="O89" s="53">
        <f t="shared" si="99"/>
        <v>46275</v>
      </c>
      <c r="P89" s="53">
        <f t="shared" si="99"/>
        <v>46276</v>
      </c>
      <c r="Q89" s="53">
        <f t="shared" si="99"/>
        <v>46277</v>
      </c>
      <c r="R89" s="53">
        <f t="shared" si="99"/>
        <v>46278</v>
      </c>
      <c r="S89" s="53">
        <f t="shared" si="99"/>
        <v>46279</v>
      </c>
      <c r="T89" s="53">
        <f t="shared" si="99"/>
        <v>46280</v>
      </c>
      <c r="U89" s="53">
        <f t="shared" si="99"/>
        <v>46281</v>
      </c>
      <c r="V89" s="53">
        <f t="shared" si="99"/>
        <v>46282</v>
      </c>
      <c r="W89" s="53">
        <f t="shared" si="99"/>
        <v>46283</v>
      </c>
      <c r="X89" s="53">
        <f t="shared" si="99"/>
        <v>46284</v>
      </c>
      <c r="Y89" s="53">
        <f t="shared" si="99"/>
        <v>46285</v>
      </c>
      <c r="Z89" s="53">
        <f t="shared" si="99"/>
        <v>46286</v>
      </c>
      <c r="AA89" s="53">
        <f t="shared" si="99"/>
        <v>46287</v>
      </c>
      <c r="AB89" s="53">
        <f t="shared" si="99"/>
        <v>46288</v>
      </c>
      <c r="AC89" s="53">
        <f t="shared" si="99"/>
        <v>46289</v>
      </c>
      <c r="AD89" s="53">
        <f t="shared" si="99"/>
        <v>46290</v>
      </c>
      <c r="AE89" s="53">
        <f t="shared" si="99"/>
        <v>46291</v>
      </c>
      <c r="AF89" s="53">
        <f t="shared" si="99"/>
        <v>46292</v>
      </c>
      <c r="AG89" s="19"/>
      <c r="AH89" s="54" t="s">
        <v>16</v>
      </c>
      <c r="AI89" s="55" t="s">
        <v>18</v>
      </c>
      <c r="AJ89" s="54" t="s">
        <v>20</v>
      </c>
      <c r="AK89" s="54" t="s">
        <v>22</v>
      </c>
      <c r="AL89" s="54" t="s">
        <v>24</v>
      </c>
      <c r="AM89" s="55" t="s">
        <v>40</v>
      </c>
      <c r="AN89" s="54" t="s">
        <v>32</v>
      </c>
      <c r="AO89" s="55" t="s">
        <v>26</v>
      </c>
      <c r="AP89" s="54" t="s">
        <v>30</v>
      </c>
      <c r="AQ89" s="55" t="s">
        <v>34</v>
      </c>
      <c r="AR89" s="56" t="s">
        <v>51</v>
      </c>
      <c r="AS89" s="56" t="s">
        <v>52</v>
      </c>
      <c r="AU89" s="69"/>
    </row>
    <row r="90">
      <c r="A90" s="57" t="s">
        <v>3</v>
      </c>
      <c r="B90" s="31" t="s">
        <v>16</v>
      </c>
      <c r="C90" s="31" t="s">
        <v>40</v>
      </c>
      <c r="D90" s="31" t="s">
        <v>40</v>
      </c>
      <c r="E90" s="31" t="s">
        <v>16</v>
      </c>
      <c r="F90" s="31" t="s">
        <v>16</v>
      </c>
      <c r="G90" s="31" t="s">
        <v>16</v>
      </c>
      <c r="H90" s="31" t="s">
        <v>18</v>
      </c>
      <c r="I90" s="31" t="s">
        <v>16</v>
      </c>
      <c r="J90" s="31" t="s">
        <v>40</v>
      </c>
      <c r="K90" s="31" t="s">
        <v>40</v>
      </c>
      <c r="L90" s="31" t="s">
        <v>40</v>
      </c>
      <c r="M90" s="31" t="s">
        <v>16</v>
      </c>
      <c r="N90" s="31" t="s">
        <v>18</v>
      </c>
      <c r="O90" s="31" t="s">
        <v>16</v>
      </c>
      <c r="P90" s="31" t="s">
        <v>18</v>
      </c>
      <c r="Q90" s="31" t="s">
        <v>40</v>
      </c>
      <c r="R90" s="31" t="s">
        <v>40</v>
      </c>
      <c r="S90" s="31" t="s">
        <v>18</v>
      </c>
      <c r="T90" s="31" t="s">
        <v>16</v>
      </c>
      <c r="U90" s="31" t="s">
        <v>16</v>
      </c>
      <c r="V90" s="31" t="s">
        <v>16</v>
      </c>
      <c r="W90" s="31" t="s">
        <v>16</v>
      </c>
      <c r="X90" s="31" t="s">
        <v>40</v>
      </c>
      <c r="Y90" s="31" t="s">
        <v>40</v>
      </c>
      <c r="Z90" s="31" t="s">
        <v>16</v>
      </c>
      <c r="AA90" s="31"/>
      <c r="AB90" s="31"/>
      <c r="AC90" s="31"/>
      <c r="AD90" s="31"/>
      <c r="AE90" s="31" t="s">
        <v>40</v>
      </c>
      <c r="AF90" s="31" t="s">
        <v>40</v>
      </c>
      <c r="AG90" s="19"/>
      <c r="AH90" s="42">
        <f t="shared" ref="AH90:AH96" si="100">(countif(B90:AG90,AH$3))+AI90+AJ90+(AL90*0.5)+(AK90*0.75)</f>
        <v>16</v>
      </c>
      <c r="AI90" s="42">
        <f t="shared" ref="AI90:AI96" si="101">countif(B90:AG90,$AI$3)</f>
        <v>4</v>
      </c>
      <c r="AJ90" s="42">
        <f t="shared" ref="AJ90:AJ96" si="102">countif(B90:AG90,AJ$3)</f>
        <v>0</v>
      </c>
      <c r="AK90" s="42">
        <f t="shared" ref="AK90:AK96" si="103">countif(B90:AG90,AK$3)</f>
        <v>0</v>
      </c>
      <c r="AL90" s="42">
        <f t="shared" ref="AL90:AL96" si="104">countif(B90:AG90,AL$3)</f>
        <v>0</v>
      </c>
      <c r="AM90" s="42">
        <f t="shared" ref="AM90:AM96" si="105">countif(B90:AG90,$AM$3)</f>
        <v>11</v>
      </c>
      <c r="AN90" s="42">
        <f t="shared" ref="AN90:AN96" si="106">countif(B90:AG90,AN$3)</f>
        <v>0</v>
      </c>
      <c r="AO90" s="42">
        <f t="shared" ref="AO90:AO96" si="107">(countif(B90:AL90,"A"))</f>
        <v>0</v>
      </c>
      <c r="AP90" s="42">
        <f t="shared" ref="AP90:AP96" si="108">countif(B90:AO90,AP$3)</f>
        <v>0</v>
      </c>
      <c r="AQ90" s="42">
        <f t="shared" ref="AQ90:AQ96" si="109">countif(B90:AP90,AQ$3)</f>
        <v>0</v>
      </c>
      <c r="AR90" s="26">
        <f>SUMIF('Spiffs &amp; Deductions'!A$3:A1005,A90,'Spiffs &amp; Deductions'!B$3:B1005)</f>
        <v>0</v>
      </c>
      <c r="AS90" s="26">
        <f>SUMIFs('Spiffs &amp; Deductions'!B$3:B1005,'Spiffs &amp; Deductions'!A$3:A1005,A90,'Spiffs &amp; Deductions'!C$3:C1005,$AS$3)</f>
        <v>0</v>
      </c>
      <c r="AT90" s="26">
        <f t="shared" ref="AT90:AT96" si="110">AK90*0.25+AL90*0.5</f>
        <v>0</v>
      </c>
      <c r="AU90" s="20">
        <f t="shared" ref="AU90:AU96" si="111">AI90*25+AJ90*50</f>
        <v>100</v>
      </c>
    </row>
    <row r="91">
      <c r="A91" s="58" t="s">
        <v>5</v>
      </c>
      <c r="B91" s="61" t="s">
        <v>37</v>
      </c>
      <c r="C91" s="61" t="s">
        <v>40</v>
      </c>
      <c r="D91" s="61" t="s">
        <v>40</v>
      </c>
      <c r="E91" s="61" t="s">
        <v>37</v>
      </c>
      <c r="F91" s="61" t="s">
        <v>37</v>
      </c>
      <c r="G91" s="61" t="s">
        <v>37</v>
      </c>
      <c r="H91" s="61" t="s">
        <v>37</v>
      </c>
      <c r="I91" s="61" t="s">
        <v>37</v>
      </c>
      <c r="J91" s="61" t="s">
        <v>40</v>
      </c>
      <c r="K91" s="61" t="s">
        <v>40</v>
      </c>
      <c r="L91" s="61" t="s">
        <v>37</v>
      </c>
      <c r="M91" s="61" t="s">
        <v>37</v>
      </c>
      <c r="N91" s="61" t="s">
        <v>37</v>
      </c>
      <c r="O91" s="61" t="s">
        <v>37</v>
      </c>
      <c r="P91" s="61" t="s">
        <v>37</v>
      </c>
      <c r="Q91" s="61" t="s">
        <v>40</v>
      </c>
      <c r="R91" s="61" t="s">
        <v>40</v>
      </c>
      <c r="S91" s="61" t="s">
        <v>37</v>
      </c>
      <c r="T91" s="61" t="s">
        <v>37</v>
      </c>
      <c r="U91" s="61" t="s">
        <v>37</v>
      </c>
      <c r="V91" s="61" t="s">
        <v>37</v>
      </c>
      <c r="W91" s="61" t="s">
        <v>37</v>
      </c>
      <c r="X91" s="61" t="s">
        <v>40</v>
      </c>
      <c r="Y91" s="61" t="s">
        <v>40</v>
      </c>
      <c r="Z91" s="61" t="s">
        <v>37</v>
      </c>
      <c r="AA91" s="61"/>
      <c r="AB91" s="61"/>
      <c r="AC91" s="61"/>
      <c r="AD91" s="61"/>
      <c r="AE91" s="61" t="s">
        <v>40</v>
      </c>
      <c r="AF91" s="61" t="s">
        <v>40</v>
      </c>
      <c r="AG91" s="19"/>
      <c r="AH91" s="42">
        <f t="shared" si="100"/>
        <v>0</v>
      </c>
      <c r="AI91" s="42">
        <f t="shared" si="101"/>
        <v>0</v>
      </c>
      <c r="AJ91" s="42">
        <f t="shared" si="102"/>
        <v>0</v>
      </c>
      <c r="AK91" s="42">
        <f t="shared" si="103"/>
        <v>0</v>
      </c>
      <c r="AL91" s="42">
        <f t="shared" si="104"/>
        <v>0</v>
      </c>
      <c r="AM91" s="42">
        <f t="shared" si="105"/>
        <v>10</v>
      </c>
      <c r="AN91" s="42">
        <f t="shared" si="106"/>
        <v>0</v>
      </c>
      <c r="AO91" s="42">
        <f t="shared" si="107"/>
        <v>0</v>
      </c>
      <c r="AP91" s="42">
        <f t="shared" si="108"/>
        <v>0</v>
      </c>
      <c r="AQ91" s="42">
        <f t="shared" si="109"/>
        <v>0</v>
      </c>
      <c r="AR91" s="26">
        <f>SUMIF('Spiffs &amp; Deductions'!A$3:A1005,A91,'Spiffs &amp; Deductions'!B$3:B1005)</f>
        <v>0</v>
      </c>
      <c r="AS91" s="26">
        <f>SUMIFs('Spiffs &amp; Deductions'!B$3:B1005,'Spiffs &amp; Deductions'!A$3:A1005,A91,'Spiffs &amp; Deductions'!C$3:C1005,$AS$3)</f>
        <v>0</v>
      </c>
      <c r="AT91" s="26">
        <f t="shared" si="110"/>
        <v>0</v>
      </c>
      <c r="AU91" s="20">
        <f t="shared" si="111"/>
        <v>0</v>
      </c>
    </row>
    <row r="92" ht="30.0" customHeight="1">
      <c r="A92" s="59" t="s">
        <v>55</v>
      </c>
      <c r="B92" s="31" t="s">
        <v>16</v>
      </c>
      <c r="C92" s="31" t="s">
        <v>40</v>
      </c>
      <c r="D92" s="31" t="s">
        <v>40</v>
      </c>
      <c r="E92" s="31" t="s">
        <v>16</v>
      </c>
      <c r="F92" s="31" t="s">
        <v>20</v>
      </c>
      <c r="G92" s="31" t="s">
        <v>16</v>
      </c>
      <c r="H92" s="31" t="s">
        <v>26</v>
      </c>
      <c r="I92" s="31" t="s">
        <v>16</v>
      </c>
      <c r="J92" s="31" t="s">
        <v>40</v>
      </c>
      <c r="K92" s="31" t="s">
        <v>40</v>
      </c>
      <c r="L92" s="31" t="s">
        <v>40</v>
      </c>
      <c r="M92" s="31" t="s">
        <v>16</v>
      </c>
      <c r="N92" s="31" t="s">
        <v>16</v>
      </c>
      <c r="O92" s="31" t="s">
        <v>16</v>
      </c>
      <c r="P92" s="31" t="s">
        <v>16</v>
      </c>
      <c r="Q92" s="31" t="s">
        <v>40</v>
      </c>
      <c r="R92" s="31" t="s">
        <v>40</v>
      </c>
      <c r="S92" s="31" t="s">
        <v>16</v>
      </c>
      <c r="T92" s="31" t="s">
        <v>16</v>
      </c>
      <c r="U92" s="31" t="s">
        <v>16</v>
      </c>
      <c r="V92" s="31" t="s">
        <v>16</v>
      </c>
      <c r="W92" s="31" t="s">
        <v>16</v>
      </c>
      <c r="X92" s="31" t="s">
        <v>40</v>
      </c>
      <c r="Y92" s="31" t="s">
        <v>40</v>
      </c>
      <c r="Z92" s="31" t="s">
        <v>16</v>
      </c>
      <c r="AA92" s="31"/>
      <c r="AB92" s="31"/>
      <c r="AC92" s="31"/>
      <c r="AD92" s="31"/>
      <c r="AE92" s="31" t="s">
        <v>40</v>
      </c>
      <c r="AF92" s="31" t="s">
        <v>40</v>
      </c>
      <c r="AG92" s="19"/>
      <c r="AH92" s="42">
        <f t="shared" si="100"/>
        <v>15</v>
      </c>
      <c r="AI92" s="42">
        <f t="shared" si="101"/>
        <v>0</v>
      </c>
      <c r="AJ92" s="42">
        <f t="shared" si="102"/>
        <v>1</v>
      </c>
      <c r="AK92" s="42">
        <f t="shared" si="103"/>
        <v>0</v>
      </c>
      <c r="AL92" s="42">
        <f t="shared" si="104"/>
        <v>0</v>
      </c>
      <c r="AM92" s="42">
        <f t="shared" si="105"/>
        <v>11</v>
      </c>
      <c r="AN92" s="42">
        <f t="shared" si="106"/>
        <v>0</v>
      </c>
      <c r="AO92" s="42">
        <f t="shared" si="107"/>
        <v>1</v>
      </c>
      <c r="AP92" s="42">
        <f t="shared" si="108"/>
        <v>0</v>
      </c>
      <c r="AQ92" s="42">
        <f t="shared" si="109"/>
        <v>0</v>
      </c>
      <c r="AR92" s="26">
        <f>SUMIF('Spiffs &amp; Deductions'!A$3:A1005,A92,'Spiffs &amp; Deductions'!B$3:B1005)</f>
        <v>0</v>
      </c>
      <c r="AS92" s="26">
        <f>SUMIFs('Spiffs &amp; Deductions'!B$3:B1005,'Spiffs &amp; Deductions'!A$3:A1005,A92,'Spiffs &amp; Deductions'!C$3:C1005,$AS$3)</f>
        <v>0</v>
      </c>
      <c r="AT92" s="26">
        <f t="shared" si="110"/>
        <v>0</v>
      </c>
      <c r="AU92" s="20">
        <f t="shared" si="111"/>
        <v>50</v>
      </c>
    </row>
    <row r="93" ht="23.25" customHeight="1">
      <c r="A93" s="60" t="s">
        <v>8</v>
      </c>
      <c r="B93" s="61" t="s">
        <v>16</v>
      </c>
      <c r="C93" s="61" t="s">
        <v>40</v>
      </c>
      <c r="D93" s="61" t="s">
        <v>40</v>
      </c>
      <c r="E93" s="61" t="s">
        <v>16</v>
      </c>
      <c r="F93" s="61" t="s">
        <v>16</v>
      </c>
      <c r="G93" s="61" t="s">
        <v>16</v>
      </c>
      <c r="H93" s="61" t="s">
        <v>16</v>
      </c>
      <c r="I93" s="61" t="s">
        <v>16</v>
      </c>
      <c r="J93" s="61" t="s">
        <v>40</v>
      </c>
      <c r="K93" s="61" t="s">
        <v>40</v>
      </c>
      <c r="L93" s="61" t="s">
        <v>40</v>
      </c>
      <c r="M93" s="61" t="s">
        <v>16</v>
      </c>
      <c r="N93" s="61" t="s">
        <v>16</v>
      </c>
      <c r="O93" s="61" t="s">
        <v>16</v>
      </c>
      <c r="P93" s="61" t="s">
        <v>16</v>
      </c>
      <c r="Q93" s="61" t="s">
        <v>40</v>
      </c>
      <c r="R93" s="61" t="s">
        <v>40</v>
      </c>
      <c r="S93" s="61" t="s">
        <v>16</v>
      </c>
      <c r="T93" s="61" t="s">
        <v>16</v>
      </c>
      <c r="U93" s="61" t="s">
        <v>16</v>
      </c>
      <c r="V93" s="61" t="s">
        <v>16</v>
      </c>
      <c r="W93" s="61" t="s">
        <v>16</v>
      </c>
      <c r="X93" s="61" t="s">
        <v>40</v>
      </c>
      <c r="Y93" s="61" t="s">
        <v>40</v>
      </c>
      <c r="Z93" s="61" t="s">
        <v>16</v>
      </c>
      <c r="AA93" s="61"/>
      <c r="AB93" s="61"/>
      <c r="AC93" s="61"/>
      <c r="AD93" s="61"/>
      <c r="AE93" s="61" t="s">
        <v>40</v>
      </c>
      <c r="AF93" s="61" t="s">
        <v>40</v>
      </c>
      <c r="AG93" s="19"/>
      <c r="AH93" s="42">
        <f t="shared" si="100"/>
        <v>16</v>
      </c>
      <c r="AI93" s="42">
        <f t="shared" si="101"/>
        <v>0</v>
      </c>
      <c r="AJ93" s="42">
        <f t="shared" si="102"/>
        <v>0</v>
      </c>
      <c r="AK93" s="42">
        <f t="shared" si="103"/>
        <v>0</v>
      </c>
      <c r="AL93" s="42">
        <f t="shared" si="104"/>
        <v>0</v>
      </c>
      <c r="AM93" s="42">
        <f t="shared" si="105"/>
        <v>11</v>
      </c>
      <c r="AN93" s="42">
        <f t="shared" si="106"/>
        <v>0</v>
      </c>
      <c r="AO93" s="42">
        <f t="shared" si="107"/>
        <v>0</v>
      </c>
      <c r="AP93" s="42">
        <f t="shared" si="108"/>
        <v>0</v>
      </c>
      <c r="AQ93" s="42">
        <f t="shared" si="109"/>
        <v>0</v>
      </c>
      <c r="AR93" s="26">
        <f>SUMIF('Spiffs &amp; Deductions'!A$3:A1005,A93,'Spiffs &amp; Deductions'!B$3:B1005)</f>
        <v>0</v>
      </c>
      <c r="AS93" s="26">
        <f>SUMIFs('Spiffs &amp; Deductions'!B$3:B1005,'Spiffs &amp; Deductions'!A$3:A1005,A93,'Spiffs &amp; Deductions'!C$3:C1005,$AS$3)</f>
        <v>0</v>
      </c>
      <c r="AT93" s="26">
        <f t="shared" si="110"/>
        <v>0</v>
      </c>
      <c r="AU93" s="20">
        <f t="shared" si="111"/>
        <v>0</v>
      </c>
    </row>
    <row r="94">
      <c r="A94" s="75" t="s">
        <v>14</v>
      </c>
      <c r="B94" s="31" t="s">
        <v>16</v>
      </c>
      <c r="C94" s="31" t="s">
        <v>40</v>
      </c>
      <c r="D94" s="31" t="s">
        <v>40</v>
      </c>
      <c r="E94" s="31" t="s">
        <v>16</v>
      </c>
      <c r="F94" s="31" t="s">
        <v>24</v>
      </c>
      <c r="G94" s="31" t="s">
        <v>16</v>
      </c>
      <c r="H94" s="31" t="s">
        <v>16</v>
      </c>
      <c r="I94" s="31" t="s">
        <v>26</v>
      </c>
      <c r="J94" s="31" t="s">
        <v>40</v>
      </c>
      <c r="K94" s="31" t="s">
        <v>40</v>
      </c>
      <c r="L94" s="31" t="s">
        <v>40</v>
      </c>
      <c r="M94" s="31" t="s">
        <v>16</v>
      </c>
      <c r="N94" s="31" t="s">
        <v>16</v>
      </c>
      <c r="O94" s="31" t="s">
        <v>16</v>
      </c>
      <c r="P94" s="31" t="s">
        <v>16</v>
      </c>
      <c r="Q94" s="31" t="s">
        <v>40</v>
      </c>
      <c r="R94" s="31" t="s">
        <v>40</v>
      </c>
      <c r="S94" s="31" t="s">
        <v>16</v>
      </c>
      <c r="T94" s="31" t="s">
        <v>16</v>
      </c>
      <c r="U94" s="31" t="s">
        <v>16</v>
      </c>
      <c r="V94" s="31" t="s">
        <v>16</v>
      </c>
      <c r="W94" s="31" t="s">
        <v>26</v>
      </c>
      <c r="X94" s="31" t="s">
        <v>40</v>
      </c>
      <c r="Y94" s="31" t="s">
        <v>40</v>
      </c>
      <c r="Z94" s="31" t="s">
        <v>16</v>
      </c>
      <c r="AA94" s="31"/>
      <c r="AB94" s="31"/>
      <c r="AC94" s="31"/>
      <c r="AD94" s="31"/>
      <c r="AE94" s="31" t="s">
        <v>40</v>
      </c>
      <c r="AF94" s="31" t="s">
        <v>40</v>
      </c>
      <c r="AG94" s="19"/>
      <c r="AH94" s="42">
        <f t="shared" si="100"/>
        <v>13.5</v>
      </c>
      <c r="AI94" s="42">
        <f t="shared" si="101"/>
        <v>0</v>
      </c>
      <c r="AJ94" s="42">
        <f t="shared" si="102"/>
        <v>0</v>
      </c>
      <c r="AK94" s="42">
        <f t="shared" si="103"/>
        <v>0</v>
      </c>
      <c r="AL94" s="42">
        <f t="shared" si="104"/>
        <v>1</v>
      </c>
      <c r="AM94" s="42">
        <f t="shared" si="105"/>
        <v>11</v>
      </c>
      <c r="AN94" s="42">
        <f t="shared" si="106"/>
        <v>0</v>
      </c>
      <c r="AO94" s="42">
        <f t="shared" si="107"/>
        <v>2</v>
      </c>
      <c r="AP94" s="42">
        <f t="shared" si="108"/>
        <v>0</v>
      </c>
      <c r="AQ94" s="42">
        <f t="shared" si="109"/>
        <v>0</v>
      </c>
      <c r="AR94" s="26">
        <f>SUMIF('Spiffs &amp; Deductions'!A$3:A1005,A94,'Spiffs &amp; Deductions'!B$3:B1005)</f>
        <v>0</v>
      </c>
      <c r="AS94" s="26">
        <f>SUMIFs('Spiffs &amp; Deductions'!B$3:B1005,'Spiffs &amp; Deductions'!A$3:A1005,A94,'Spiffs &amp; Deductions'!C$3:C1005,$AS$3)</f>
        <v>0</v>
      </c>
      <c r="AT94" s="26">
        <f t="shared" si="110"/>
        <v>0.5</v>
      </c>
      <c r="AU94" s="20">
        <f t="shared" si="111"/>
        <v>0</v>
      </c>
    </row>
    <row r="95">
      <c r="A95" s="75" t="s">
        <v>13</v>
      </c>
      <c r="B95" s="61" t="s">
        <v>16</v>
      </c>
      <c r="C95" s="61" t="s">
        <v>40</v>
      </c>
      <c r="D95" s="61" t="s">
        <v>40</v>
      </c>
      <c r="E95" s="61" t="s">
        <v>16</v>
      </c>
      <c r="F95" s="61" t="s">
        <v>16</v>
      </c>
      <c r="G95" s="61" t="s">
        <v>16</v>
      </c>
      <c r="H95" s="61" t="s">
        <v>16</v>
      </c>
      <c r="I95" s="61" t="s">
        <v>26</v>
      </c>
      <c r="J95" s="61" t="s">
        <v>40</v>
      </c>
      <c r="K95" s="61" t="s">
        <v>40</v>
      </c>
      <c r="L95" s="61" t="s">
        <v>40</v>
      </c>
      <c r="M95" s="61" t="s">
        <v>16</v>
      </c>
      <c r="N95" s="61" t="s">
        <v>16</v>
      </c>
      <c r="O95" s="61" t="s">
        <v>16</v>
      </c>
      <c r="P95" s="61" t="s">
        <v>16</v>
      </c>
      <c r="Q95" s="61" t="s">
        <v>40</v>
      </c>
      <c r="R95" s="61" t="s">
        <v>40</v>
      </c>
      <c r="S95" s="61" t="s">
        <v>16</v>
      </c>
      <c r="T95" s="61" t="s">
        <v>16</v>
      </c>
      <c r="U95" s="61" t="s">
        <v>16</v>
      </c>
      <c r="V95" s="61" t="s">
        <v>16</v>
      </c>
      <c r="W95" s="61" t="s">
        <v>16</v>
      </c>
      <c r="X95" s="61" t="s">
        <v>40</v>
      </c>
      <c r="Y95" s="61" t="s">
        <v>40</v>
      </c>
      <c r="Z95" s="61" t="s">
        <v>20</v>
      </c>
      <c r="AA95" s="61"/>
      <c r="AB95" s="61"/>
      <c r="AC95" s="61"/>
      <c r="AD95" s="61"/>
      <c r="AE95" s="61" t="s">
        <v>40</v>
      </c>
      <c r="AF95" s="61" t="s">
        <v>40</v>
      </c>
      <c r="AG95" s="19"/>
      <c r="AH95" s="42">
        <f t="shared" si="100"/>
        <v>15</v>
      </c>
      <c r="AI95" s="42">
        <f t="shared" si="101"/>
        <v>0</v>
      </c>
      <c r="AJ95" s="42">
        <f t="shared" si="102"/>
        <v>1</v>
      </c>
      <c r="AK95" s="42">
        <f t="shared" si="103"/>
        <v>0</v>
      </c>
      <c r="AL95" s="42">
        <f t="shared" si="104"/>
        <v>0</v>
      </c>
      <c r="AM95" s="42">
        <f t="shared" si="105"/>
        <v>11</v>
      </c>
      <c r="AN95" s="42">
        <f t="shared" si="106"/>
        <v>0</v>
      </c>
      <c r="AO95" s="42">
        <f t="shared" si="107"/>
        <v>1</v>
      </c>
      <c r="AP95" s="42">
        <f t="shared" si="108"/>
        <v>0</v>
      </c>
      <c r="AQ95" s="42">
        <f t="shared" si="109"/>
        <v>0</v>
      </c>
      <c r="AR95" s="26">
        <f>SUMIF('Spiffs &amp; Deductions'!A$3:A1005,A95,'Spiffs &amp; Deductions'!B$3:B1005)</f>
        <v>0</v>
      </c>
      <c r="AS95" s="26">
        <f>SUMIFs('Spiffs &amp; Deductions'!B$3:B1005,'Spiffs &amp; Deductions'!A$3:A1005,A95,'Spiffs &amp; Deductions'!C$3:C1005,$AS$3)</f>
        <v>0</v>
      </c>
      <c r="AT95" s="26">
        <f t="shared" si="110"/>
        <v>0</v>
      </c>
      <c r="AU95" s="20">
        <f t="shared" si="111"/>
        <v>50</v>
      </c>
    </row>
    <row r="96">
      <c r="A96" s="75" t="s">
        <v>12</v>
      </c>
      <c r="B96" s="31" t="s">
        <v>24</v>
      </c>
      <c r="C96" s="31" t="s">
        <v>40</v>
      </c>
      <c r="D96" s="31" t="s">
        <v>40</v>
      </c>
      <c r="E96" s="31" t="s">
        <v>24</v>
      </c>
      <c r="F96" s="31" t="s">
        <v>16</v>
      </c>
      <c r="G96" s="31" t="s">
        <v>16</v>
      </c>
      <c r="H96" s="31" t="s">
        <v>18</v>
      </c>
      <c r="I96" s="31" t="s">
        <v>16</v>
      </c>
      <c r="J96" s="31" t="s">
        <v>40</v>
      </c>
      <c r="K96" s="31" t="s">
        <v>40</v>
      </c>
      <c r="L96" s="31" t="s">
        <v>40</v>
      </c>
      <c r="M96" s="31" t="s">
        <v>16</v>
      </c>
      <c r="N96" s="31" t="s">
        <v>16</v>
      </c>
      <c r="O96" s="31" t="s">
        <v>18</v>
      </c>
      <c r="P96" s="31" t="s">
        <v>16</v>
      </c>
      <c r="Q96" s="31" t="s">
        <v>40</v>
      </c>
      <c r="R96" s="31" t="s">
        <v>40</v>
      </c>
      <c r="S96" s="31" t="s">
        <v>16</v>
      </c>
      <c r="T96" s="31" t="s">
        <v>16</v>
      </c>
      <c r="U96" s="31" t="s">
        <v>16</v>
      </c>
      <c r="V96" s="31" t="s">
        <v>22</v>
      </c>
      <c r="W96" s="31" t="s">
        <v>18</v>
      </c>
      <c r="X96" s="31" t="s">
        <v>40</v>
      </c>
      <c r="Y96" s="31" t="s">
        <v>40</v>
      </c>
      <c r="Z96" s="31" t="s">
        <v>16</v>
      </c>
      <c r="AA96" s="31"/>
      <c r="AB96" s="31"/>
      <c r="AC96" s="31"/>
      <c r="AD96" s="31"/>
      <c r="AE96" s="31" t="s">
        <v>40</v>
      </c>
      <c r="AF96" s="31" t="s">
        <v>40</v>
      </c>
      <c r="AG96" s="19"/>
      <c r="AH96" s="42">
        <f t="shared" si="100"/>
        <v>14.75</v>
      </c>
      <c r="AI96" s="42">
        <f t="shared" si="101"/>
        <v>3</v>
      </c>
      <c r="AJ96" s="42">
        <f t="shared" si="102"/>
        <v>0</v>
      </c>
      <c r="AK96" s="42">
        <f t="shared" si="103"/>
        <v>1</v>
      </c>
      <c r="AL96" s="42">
        <f t="shared" si="104"/>
        <v>2</v>
      </c>
      <c r="AM96" s="42">
        <f t="shared" si="105"/>
        <v>11</v>
      </c>
      <c r="AN96" s="42">
        <f t="shared" si="106"/>
        <v>0</v>
      </c>
      <c r="AO96" s="42">
        <f t="shared" si="107"/>
        <v>0</v>
      </c>
      <c r="AP96" s="42">
        <f t="shared" si="108"/>
        <v>0</v>
      </c>
      <c r="AQ96" s="42">
        <f t="shared" si="109"/>
        <v>0</v>
      </c>
      <c r="AR96" s="26">
        <f>SUMIF('Spiffs &amp; Deductions'!A$3:A1005,A96,'Spiffs &amp; Deductions'!B$3:B1005)</f>
        <v>0</v>
      </c>
      <c r="AS96" s="26">
        <f>SUMIFs('Spiffs &amp; Deductions'!B$3:B1005,'Spiffs &amp; Deductions'!A$3:A1005,A96,'Spiffs &amp; Deductions'!C$3:C1005,$AS$3)</f>
        <v>0</v>
      </c>
      <c r="AT96" s="26">
        <f t="shared" si="110"/>
        <v>1.25</v>
      </c>
      <c r="AU96" s="20">
        <f t="shared" si="111"/>
        <v>75</v>
      </c>
    </row>
    <row r="97">
      <c r="A97" s="60" t="s">
        <v>54</v>
      </c>
      <c r="B97" s="77">
        <v>0.7361111111111112</v>
      </c>
      <c r="C97" s="61" t="s">
        <v>40</v>
      </c>
      <c r="D97" s="61" t="s">
        <v>40</v>
      </c>
      <c r="E97" s="77">
        <v>0.25</v>
      </c>
      <c r="F97" s="77">
        <v>0.2604166666666667</v>
      </c>
      <c r="G97" s="77"/>
      <c r="H97" s="77"/>
      <c r="I97" s="77"/>
      <c r="J97" s="61" t="s">
        <v>40</v>
      </c>
      <c r="K97" s="61" t="s">
        <v>40</v>
      </c>
      <c r="L97" s="61" t="s">
        <v>56</v>
      </c>
      <c r="M97" s="77">
        <v>0.2708333333333333</v>
      </c>
      <c r="N97" s="77">
        <v>0.2708333333333333</v>
      </c>
      <c r="O97" s="77">
        <v>0.2708333333333333</v>
      </c>
      <c r="P97" s="77">
        <v>0.25</v>
      </c>
      <c r="Q97" s="61" t="s">
        <v>40</v>
      </c>
      <c r="R97" s="61" t="s">
        <v>40</v>
      </c>
      <c r="S97" s="77">
        <v>0.2638888888888889</v>
      </c>
      <c r="T97" s="77">
        <v>0.2708333333333333</v>
      </c>
      <c r="U97" s="77">
        <v>0.2777777777777778</v>
      </c>
      <c r="V97" s="77">
        <v>0.25</v>
      </c>
      <c r="W97" s="77">
        <v>0.22708333333333333</v>
      </c>
      <c r="X97" s="61" t="s">
        <v>40</v>
      </c>
      <c r="Y97" s="61" t="s">
        <v>40</v>
      </c>
      <c r="Z97" s="70"/>
      <c r="AA97" s="70"/>
      <c r="AB97" s="70"/>
      <c r="AC97" s="70"/>
      <c r="AD97" s="70"/>
      <c r="AE97" s="61" t="s">
        <v>40</v>
      </c>
      <c r="AF97" s="61" t="s">
        <v>40</v>
      </c>
      <c r="AG97" s="19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19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19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19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19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19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19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19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19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19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19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19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19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19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19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19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19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19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19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19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19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19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19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19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19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19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19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19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19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19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19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19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19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19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19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19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19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19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19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19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19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19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19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19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19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19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19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19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19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19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19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19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19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19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19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19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19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19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19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19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19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19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19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19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19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19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19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19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19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19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19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19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19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19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19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19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19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19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19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19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9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19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9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19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19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19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19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19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19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19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9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19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19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19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19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19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19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19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19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19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19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19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19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19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19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19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19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19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19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19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19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19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19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19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19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19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19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19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19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19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19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19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19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19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9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19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19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19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19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19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19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19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19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19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19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19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19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19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19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19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19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19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19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19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19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19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19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19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19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19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19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19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19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19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19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19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19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19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19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19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19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19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19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19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19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19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19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19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19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19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19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19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9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19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9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19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19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19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19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19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19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19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19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19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9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19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9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19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19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19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19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19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19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19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19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19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19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19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19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19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19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19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19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19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19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19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19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19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19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19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19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19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19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19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19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19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19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19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19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19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19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19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19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19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19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19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19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19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19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19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19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19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19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19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19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19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19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19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19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19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19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19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19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19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19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19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19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19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19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19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19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19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19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19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19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19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19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19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19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19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19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19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19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19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19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19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19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19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19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19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19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19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19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19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9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19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9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19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9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19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9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19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9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19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9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19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19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19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9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19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9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19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9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19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9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19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9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19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9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19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9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19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9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19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9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19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9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19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19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19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19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19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19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19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19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19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19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19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19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19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19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19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19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19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19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19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19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19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19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19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19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19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19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19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19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19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19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19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19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19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19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19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9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19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9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19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9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19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9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19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9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19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9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19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9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19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9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19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9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19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19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19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19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19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19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19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19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19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9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19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9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19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19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19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19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19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9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19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19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19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19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19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9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19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19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19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9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19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9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19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19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19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9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19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9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19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19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19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19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19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19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19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19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19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19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19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19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19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19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19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19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19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19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19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9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19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9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19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19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19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19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19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19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19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19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19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19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19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19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19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19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19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9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19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19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19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19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19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19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19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19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19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19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19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19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19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19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19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19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19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19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19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9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19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19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19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19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19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19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19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19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19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9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19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9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19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9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19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9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19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9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19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9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19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9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19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19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19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19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19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19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19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19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19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19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19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19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19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19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19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19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19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19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19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19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19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19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19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19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19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9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19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9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19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19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19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19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19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19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19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19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19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19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19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19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19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19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19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19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19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19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19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19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19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19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19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19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19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19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19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19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19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19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19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19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19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19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19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19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19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19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19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19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19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19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19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19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19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19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19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19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19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19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19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19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19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19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19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19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19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19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19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19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19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19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19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19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19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19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19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19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19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19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19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19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19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19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19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19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19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19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19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19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19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19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19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19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19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19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19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19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19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19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19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19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19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19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19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19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19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19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19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19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19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19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19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19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19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19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19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19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19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19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19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19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19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19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19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19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19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19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19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19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19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19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19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19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19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19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19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19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19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19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19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19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19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19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19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19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19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19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19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19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19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19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19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19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19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19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19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19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19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19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19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19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19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19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19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19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19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19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19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19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19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19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19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19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19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19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19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19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19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19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19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19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19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19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19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19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19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19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19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19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19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19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19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19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19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19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19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19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19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19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19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19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19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19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19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19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19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19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19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19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19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19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19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19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19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19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19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19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19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19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19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19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19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19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19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19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19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19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19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19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19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19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19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19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19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19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19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19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19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19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19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19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19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19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19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19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19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19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19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19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19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19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19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19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19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19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19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19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19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19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19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19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19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19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19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19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19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19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19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19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19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19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19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19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19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19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19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19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19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19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19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19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19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19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19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19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19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19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19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19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19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19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19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19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19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19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19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19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19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19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19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19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19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19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19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19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19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19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19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19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19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19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19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19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19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19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19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19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19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19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19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19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19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19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19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19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19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19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19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19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19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19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19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19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19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19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19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19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19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19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19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19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19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19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19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19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19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19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19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19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19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19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19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19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19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19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19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19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19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19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19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19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19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19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19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19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19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19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19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19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19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19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19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19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19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19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19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19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19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19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19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19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19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19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19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19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19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19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19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19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19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19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19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19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19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19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19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19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19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19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19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19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19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19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19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19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19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19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19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19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19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  <c r="AD1001" s="70"/>
      <c r="AE1001" s="70"/>
      <c r="AF1001" s="70"/>
      <c r="AG1001" s="19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19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  <c r="AD1003" s="70"/>
      <c r="AE1003" s="70"/>
      <c r="AF1003" s="70"/>
      <c r="AG1003" s="19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19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61"/>
      <c r="Y1005" s="70"/>
      <c r="Z1005" s="70"/>
      <c r="AA1005" s="70"/>
      <c r="AB1005" s="70"/>
      <c r="AC1005" s="70"/>
      <c r="AD1005" s="70"/>
      <c r="AE1005" s="70"/>
      <c r="AF1005" s="70"/>
      <c r="AG1005" s="19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</row>
  </sheetData>
  <mergeCells count="39">
    <mergeCell ref="B1:AE1"/>
    <mergeCell ref="AG1:AQ1"/>
    <mergeCell ref="AI2:AJ2"/>
    <mergeCell ref="AK2:AM2"/>
    <mergeCell ref="AR2:AS2"/>
    <mergeCell ref="AT2:AT3"/>
    <mergeCell ref="B11:AE11"/>
    <mergeCell ref="AI12:AJ12"/>
    <mergeCell ref="AK12:AM12"/>
    <mergeCell ref="AR12:AS12"/>
    <mergeCell ref="AT12:AT13"/>
    <mergeCell ref="AK23:AM23"/>
    <mergeCell ref="AR23:AS23"/>
    <mergeCell ref="AT23:AT24"/>
    <mergeCell ref="AR42:AS42"/>
    <mergeCell ref="AT42:AT43"/>
    <mergeCell ref="AI23:AJ23"/>
    <mergeCell ref="AI34:AJ34"/>
    <mergeCell ref="AK34:AM34"/>
    <mergeCell ref="AR34:AS34"/>
    <mergeCell ref="AT34:AT35"/>
    <mergeCell ref="AI42:AJ42"/>
    <mergeCell ref="AK42:AM42"/>
    <mergeCell ref="AI50:AJ50"/>
    <mergeCell ref="AK50:AM50"/>
    <mergeCell ref="AR50:AS50"/>
    <mergeCell ref="AT50:AT51"/>
    <mergeCell ref="AK62:AM62"/>
    <mergeCell ref="AR62:AS62"/>
    <mergeCell ref="AT62:AT63"/>
    <mergeCell ref="AR88:AS88"/>
    <mergeCell ref="AT88:AT89"/>
    <mergeCell ref="AI62:AJ62"/>
    <mergeCell ref="AI75:AJ75"/>
    <mergeCell ref="AK75:AM75"/>
    <mergeCell ref="AR75:AS75"/>
    <mergeCell ref="AT75:AT76"/>
    <mergeCell ref="AI88:AJ88"/>
    <mergeCell ref="AK88:AM88"/>
  </mergeCells>
  <conditionalFormatting sqref="AQ4:AQ11 AQ14:AQ1005">
    <cfRule type="cellIs" dxfId="1" priority="1" operator="greaterThan">
      <formula>0</formula>
    </cfRule>
  </conditionalFormatting>
  <dataValidations>
    <dataValidation type="list" allowBlank="1" showErrorMessage="1" sqref="B4:AF10 B14:AF20 B25:AF31 B36:AF39 B44:AF47 B52:AF59 B64:AF71 G72:H72 N72:O72 U72:V72 AB72:AC72 AE72:AF72 B77:AF84 F85:G85 M85:N85 T85:U85 AA85:AB85 B90:AF90 C91:D91 J91:K91 Q91:R91 X91:Y91 AE91:AF91 B92:AF96 C97:D97 J97:K97 Q97:R97 X97:Y97 AE97:AF97 X1005">
      <formula1>Key!$A$2:$A$12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5"/>
  </cols>
  <sheetData>
    <row r="1">
      <c r="A1" s="12" t="s">
        <v>15</v>
      </c>
    </row>
    <row r="2">
      <c r="A2" s="13" t="s">
        <v>16</v>
      </c>
      <c r="B2" s="14" t="s">
        <v>17</v>
      </c>
    </row>
    <row r="3">
      <c r="A3" s="13" t="s">
        <v>18</v>
      </c>
      <c r="B3" s="14" t="s">
        <v>19</v>
      </c>
    </row>
    <row r="4">
      <c r="A4" s="13" t="s">
        <v>20</v>
      </c>
      <c r="B4" s="14" t="s">
        <v>21</v>
      </c>
    </row>
    <row r="5">
      <c r="A5" s="13" t="s">
        <v>22</v>
      </c>
      <c r="B5" s="15" t="s">
        <v>23</v>
      </c>
    </row>
    <row r="6">
      <c r="A6" s="13" t="s">
        <v>24</v>
      </c>
      <c r="B6" s="14" t="s">
        <v>25</v>
      </c>
    </row>
    <row r="7">
      <c r="A7" s="13" t="s">
        <v>26</v>
      </c>
      <c r="B7" s="16" t="s">
        <v>29</v>
      </c>
    </row>
    <row r="8">
      <c r="A8" s="13" t="s">
        <v>30</v>
      </c>
      <c r="B8" s="14" t="s">
        <v>31</v>
      </c>
    </row>
    <row r="9">
      <c r="A9" s="13" t="s">
        <v>32</v>
      </c>
      <c r="B9" s="14" t="s">
        <v>33</v>
      </c>
    </row>
    <row r="10">
      <c r="A10" s="18" t="s">
        <v>34</v>
      </c>
      <c r="B10" s="14" t="s">
        <v>36</v>
      </c>
    </row>
    <row r="11">
      <c r="A11" s="21" t="s">
        <v>37</v>
      </c>
      <c r="B11" s="14" t="s">
        <v>38</v>
      </c>
    </row>
    <row r="12">
      <c r="A12" s="18" t="s">
        <v>40</v>
      </c>
      <c r="B12" s="14" t="s">
        <v>43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2.25" customHeight="1">
      <c r="A1" s="17" t="s">
        <v>27</v>
      </c>
      <c r="F1" s="19"/>
      <c r="G1" s="19"/>
      <c r="H1" s="17" t="s">
        <v>35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ht="32.25" customHeight="1">
      <c r="A2" s="17" t="s">
        <v>39</v>
      </c>
      <c r="B2" s="17" t="s">
        <v>41</v>
      </c>
      <c r="C2" s="17" t="s">
        <v>42</v>
      </c>
      <c r="D2" s="17" t="s">
        <v>44</v>
      </c>
      <c r="E2" s="17" t="s">
        <v>45</v>
      </c>
      <c r="F2" s="19"/>
      <c r="G2" s="19"/>
      <c r="H2" s="17" t="s">
        <v>39</v>
      </c>
      <c r="I2" s="17" t="s">
        <v>41</v>
      </c>
      <c r="J2" s="17" t="s">
        <v>44</v>
      </c>
      <c r="K2" s="17" t="s">
        <v>45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ht="14.25" customHeight="1">
      <c r="A3" s="17"/>
      <c r="B3" s="17"/>
      <c r="C3" s="17"/>
      <c r="D3" s="17"/>
      <c r="E3" s="20"/>
      <c r="F3" s="19"/>
      <c r="G3" s="19"/>
      <c r="H3" s="17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17"/>
      <c r="B4" s="17"/>
      <c r="C4" s="17"/>
      <c r="D4" s="17"/>
      <c r="E4" s="20"/>
      <c r="F4" s="19"/>
      <c r="G4" s="19"/>
      <c r="H4" s="17"/>
      <c r="I4" s="17"/>
      <c r="J4" s="17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17"/>
      <c r="B5" s="17"/>
      <c r="C5" s="17"/>
      <c r="D5" s="17"/>
      <c r="E5" s="20"/>
      <c r="F5" s="19"/>
      <c r="G5" s="19"/>
      <c r="H5" s="17"/>
      <c r="I5" s="17"/>
      <c r="J5" s="17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17"/>
      <c r="B6" s="17"/>
      <c r="C6" s="17"/>
      <c r="D6" s="17"/>
      <c r="E6" s="20"/>
      <c r="F6" s="19"/>
      <c r="G6" s="19"/>
      <c r="H6" s="17"/>
      <c r="I6" s="17"/>
      <c r="J6" s="17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20"/>
      <c r="B7" s="17"/>
      <c r="C7" s="20"/>
      <c r="D7" s="20"/>
      <c r="E7" s="20"/>
      <c r="F7" s="19"/>
      <c r="G7" s="1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20"/>
      <c r="B8" s="17"/>
      <c r="C8" s="20"/>
      <c r="D8" s="20"/>
      <c r="E8" s="20"/>
      <c r="F8" s="19"/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20"/>
      <c r="B9" s="17"/>
      <c r="C9" s="20"/>
      <c r="D9" s="20"/>
      <c r="E9" s="20"/>
      <c r="F9" s="19"/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20"/>
      <c r="B10" s="17"/>
      <c r="C10" s="20"/>
      <c r="D10" s="20"/>
      <c r="E10" s="20"/>
      <c r="F10" s="19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20"/>
      <c r="B11" s="20"/>
      <c r="C11" s="20"/>
      <c r="D11" s="20"/>
      <c r="E11" s="20"/>
      <c r="F11" s="19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20"/>
      <c r="B12" s="20"/>
      <c r="C12" s="20"/>
      <c r="D12" s="20"/>
      <c r="E12" s="20"/>
      <c r="F12" s="19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20"/>
      <c r="B13" s="20"/>
      <c r="C13" s="20"/>
      <c r="D13" s="20"/>
      <c r="E13" s="20"/>
      <c r="F13" s="19"/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20"/>
      <c r="B14" s="20"/>
      <c r="C14" s="20"/>
      <c r="D14" s="20"/>
      <c r="E14" s="20"/>
      <c r="F14" s="19"/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20"/>
      <c r="B15" s="20"/>
      <c r="C15" s="20"/>
      <c r="D15" s="20"/>
      <c r="E15" s="20"/>
      <c r="F15" s="19"/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20"/>
      <c r="B16" s="20"/>
      <c r="C16" s="20"/>
      <c r="D16" s="20"/>
      <c r="E16" s="20"/>
      <c r="F16" s="19"/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20" t="str">
        <f>Workforce!A15</f>
        <v/>
      </c>
      <c r="B17" s="20"/>
      <c r="C17" s="20"/>
      <c r="D17" s="20"/>
      <c r="E17" s="20"/>
      <c r="F17" s="19"/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20" t="str">
        <f>Workforce!A16</f>
        <v/>
      </c>
      <c r="B18" s="20"/>
      <c r="C18" s="20"/>
      <c r="D18" s="20"/>
      <c r="E18" s="20"/>
      <c r="F18" s="19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ht="1.5" customHeight="1">
      <c r="A19" s="20" t="str">
        <f>Workforce!A17</f>
        <v/>
      </c>
      <c r="B19" s="20"/>
      <c r="C19" s="20"/>
      <c r="D19" s="20"/>
      <c r="E19" s="20"/>
      <c r="F19" s="19"/>
      <c r="G19" s="19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20" t="str">
        <f>Workforce!A18</f>
        <v/>
      </c>
      <c r="B20" s="20"/>
      <c r="C20" s="20"/>
      <c r="D20" s="20"/>
      <c r="E20" s="20"/>
      <c r="F20" s="19"/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>
      <c r="A21" s="20"/>
      <c r="B21" s="20"/>
      <c r="C21" s="20"/>
      <c r="D21" s="20"/>
      <c r="E21" s="20"/>
      <c r="F21" s="19"/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>
      <c r="A22" s="20"/>
      <c r="B22" s="20"/>
      <c r="C22" s="20"/>
      <c r="D22" s="20"/>
      <c r="E22" s="20"/>
      <c r="F22" s="19"/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>
      <c r="A23" s="20"/>
      <c r="B23" s="20"/>
      <c r="C23" s="20"/>
      <c r="D23" s="20"/>
      <c r="E23" s="20"/>
      <c r="F23" s="19"/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>
      <c r="A24" s="20"/>
      <c r="B24" s="20"/>
      <c r="C24" s="20"/>
      <c r="D24" s="20"/>
      <c r="E24" s="20"/>
      <c r="F24" s="19"/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>
      <c r="A25" s="20"/>
      <c r="B25" s="20"/>
      <c r="C25" s="20"/>
      <c r="D25" s="20"/>
      <c r="E25" s="20"/>
      <c r="F25" s="19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>
      <c r="A26" s="20"/>
      <c r="B26" s="20"/>
      <c r="C26" s="20"/>
      <c r="D26" s="20"/>
      <c r="E26" s="20"/>
      <c r="F26" s="19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>
      <c r="A27" s="20"/>
      <c r="B27" s="20"/>
      <c r="C27" s="20"/>
      <c r="D27" s="20"/>
      <c r="E27" s="20"/>
      <c r="F27" s="19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>
      <c r="A28" s="20"/>
      <c r="B28" s="20"/>
      <c r="C28" s="20"/>
      <c r="D28" s="20"/>
      <c r="E28" s="20"/>
      <c r="F28" s="19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>
      <c r="A29" s="20"/>
      <c r="B29" s="20"/>
      <c r="C29" s="20"/>
      <c r="D29" s="20"/>
      <c r="E29" s="20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>
      <c r="A30" s="20"/>
      <c r="B30" s="20"/>
      <c r="C30" s="20"/>
      <c r="D30" s="20"/>
      <c r="E30" s="20"/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>
      <c r="A31" s="20"/>
      <c r="B31" s="20"/>
      <c r="C31" s="20"/>
      <c r="D31" s="20"/>
      <c r="E31" s="20"/>
      <c r="F31" s="19"/>
      <c r="G31" s="19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>
      <c r="A32" s="20"/>
      <c r="B32" s="20"/>
      <c r="C32" s="20"/>
      <c r="D32" s="20"/>
      <c r="E32" s="20"/>
      <c r="F32" s="19"/>
      <c r="G32" s="19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>
      <c r="A33" s="20"/>
      <c r="B33" s="20"/>
      <c r="C33" s="20"/>
      <c r="D33" s="20"/>
      <c r="E33" s="20"/>
      <c r="F33" s="19"/>
      <c r="G33" s="19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>
      <c r="A34" s="20"/>
      <c r="B34" s="20"/>
      <c r="C34" s="20"/>
      <c r="D34" s="20"/>
      <c r="E34" s="20"/>
      <c r="F34" s="19"/>
      <c r="G34" s="19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>
      <c r="A35" s="20"/>
      <c r="B35" s="20"/>
      <c r="C35" s="20"/>
      <c r="D35" s="20"/>
      <c r="E35" s="20"/>
      <c r="F35" s="19"/>
      <c r="G35" s="19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>
      <c r="A36" s="20"/>
      <c r="B36" s="20"/>
      <c r="C36" s="20"/>
      <c r="D36" s="20"/>
      <c r="E36" s="20"/>
      <c r="F36" s="19"/>
      <c r="G36" s="19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>
      <c r="A37" s="20"/>
      <c r="B37" s="20"/>
      <c r="C37" s="20"/>
      <c r="D37" s="20"/>
      <c r="E37" s="20"/>
      <c r="F37" s="19"/>
      <c r="G37" s="19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>
      <c r="A38" s="20"/>
      <c r="B38" s="20"/>
      <c r="C38" s="20"/>
      <c r="D38" s="20"/>
      <c r="E38" s="20"/>
      <c r="F38" s="19"/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>
      <c r="A39" s="20"/>
      <c r="B39" s="20"/>
      <c r="C39" s="20"/>
      <c r="D39" s="20"/>
      <c r="E39" s="20"/>
      <c r="F39" s="19"/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>
      <c r="A40" s="20"/>
      <c r="B40" s="20"/>
      <c r="C40" s="20"/>
      <c r="D40" s="20"/>
      <c r="E40" s="20"/>
      <c r="F40" s="19"/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>
      <c r="A41" s="20"/>
      <c r="B41" s="20"/>
      <c r="C41" s="20"/>
      <c r="D41" s="20"/>
      <c r="E41" s="20"/>
      <c r="F41" s="19"/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>
      <c r="A42" s="20"/>
      <c r="B42" s="20"/>
      <c r="C42" s="20"/>
      <c r="D42" s="20"/>
      <c r="E42" s="20"/>
      <c r="F42" s="19"/>
      <c r="G42" s="19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>
      <c r="A43" s="20"/>
      <c r="B43" s="20"/>
      <c r="C43" s="20"/>
      <c r="D43" s="20"/>
      <c r="E43" s="20"/>
      <c r="F43" s="19"/>
      <c r="G43" s="19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>
      <c r="A44" s="20"/>
      <c r="B44" s="20"/>
      <c r="C44" s="20"/>
      <c r="D44" s="20"/>
      <c r="E44" s="20"/>
      <c r="F44" s="19"/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>
      <c r="A45" s="20"/>
      <c r="B45" s="20"/>
      <c r="C45" s="20"/>
      <c r="D45" s="20"/>
      <c r="E45" s="20"/>
      <c r="F45" s="19"/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>
      <c r="A46" s="20"/>
      <c r="B46" s="20"/>
      <c r="C46" s="20"/>
      <c r="D46" s="20"/>
      <c r="E46" s="20"/>
      <c r="F46" s="19"/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>
      <c r="A47" s="20"/>
      <c r="B47" s="20"/>
      <c r="C47" s="20"/>
      <c r="D47" s="20"/>
      <c r="E47" s="20"/>
      <c r="F47" s="19"/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>
      <c r="A48" s="20"/>
      <c r="B48" s="20"/>
      <c r="C48" s="20"/>
      <c r="D48" s="20"/>
      <c r="E48" s="20"/>
      <c r="F48" s="19"/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>
      <c r="A49" s="20"/>
      <c r="B49" s="20"/>
      <c r="C49" s="20"/>
      <c r="D49" s="20"/>
      <c r="E49" s="20"/>
      <c r="F49" s="19"/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20"/>
      <c r="B50" s="20"/>
      <c r="C50" s="20"/>
      <c r="D50" s="20"/>
      <c r="E50" s="20"/>
      <c r="F50" s="19"/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>
      <c r="A51" s="20"/>
      <c r="B51" s="20"/>
      <c r="C51" s="20"/>
      <c r="D51" s="20"/>
      <c r="E51" s="20"/>
      <c r="F51" s="19"/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>
      <c r="A52" s="20"/>
      <c r="B52" s="20"/>
      <c r="C52" s="20"/>
      <c r="D52" s="20"/>
      <c r="E52" s="20"/>
      <c r="F52" s="19"/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>
      <c r="A53" s="20"/>
      <c r="B53" s="20"/>
      <c r="C53" s="20"/>
      <c r="D53" s="20"/>
      <c r="E53" s="20"/>
      <c r="F53" s="19"/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20"/>
      <c r="B54" s="20"/>
      <c r="C54" s="20"/>
      <c r="D54" s="20"/>
      <c r="E54" s="20"/>
      <c r="F54" s="19"/>
      <c r="G54" s="19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>
      <c r="A55" s="20"/>
      <c r="B55" s="20"/>
      <c r="C55" s="20"/>
      <c r="D55" s="20"/>
      <c r="E55" s="20"/>
      <c r="F55" s="19"/>
      <c r="G55" s="19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>
      <c r="A56" s="20"/>
      <c r="B56" s="20"/>
      <c r="C56" s="20"/>
      <c r="D56" s="20"/>
      <c r="E56" s="20"/>
      <c r="F56" s="19"/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>
      <c r="A57" s="20"/>
      <c r="B57" s="20"/>
      <c r="C57" s="20"/>
      <c r="D57" s="20"/>
      <c r="E57" s="20"/>
      <c r="F57" s="19"/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>
      <c r="A58" s="20"/>
      <c r="B58" s="20"/>
      <c r="C58" s="20"/>
      <c r="D58" s="20"/>
      <c r="E58" s="20"/>
      <c r="F58" s="19"/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>
      <c r="A59" s="20"/>
      <c r="B59" s="20"/>
      <c r="C59" s="20"/>
      <c r="D59" s="20"/>
      <c r="E59" s="20"/>
      <c r="F59" s="19"/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>
      <c r="A60" s="20"/>
      <c r="B60" s="20"/>
      <c r="C60" s="20"/>
      <c r="D60" s="20"/>
      <c r="E60" s="20"/>
      <c r="F60" s="19"/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>
      <c r="A61" s="20"/>
      <c r="B61" s="20"/>
      <c r="C61" s="20"/>
      <c r="D61" s="20"/>
      <c r="E61" s="20"/>
      <c r="F61" s="19"/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>
      <c r="A62" s="20"/>
      <c r="B62" s="20"/>
      <c r="C62" s="20"/>
      <c r="D62" s="20"/>
      <c r="E62" s="20"/>
      <c r="F62" s="19"/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>
      <c r="A63" s="20"/>
      <c r="B63" s="20"/>
      <c r="C63" s="20"/>
      <c r="D63" s="20"/>
      <c r="E63" s="20"/>
      <c r="F63" s="19"/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>
      <c r="A64" s="20"/>
      <c r="B64" s="20"/>
      <c r="C64" s="20"/>
      <c r="D64" s="20"/>
      <c r="E64" s="20"/>
      <c r="F64" s="19"/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>
      <c r="A65" s="20"/>
      <c r="B65" s="20"/>
      <c r="C65" s="20"/>
      <c r="D65" s="20"/>
      <c r="E65" s="20"/>
      <c r="F65" s="19"/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>
      <c r="A66" s="20"/>
      <c r="B66" s="20"/>
      <c r="C66" s="20"/>
      <c r="D66" s="20"/>
      <c r="E66" s="20"/>
      <c r="F66" s="19"/>
      <c r="G66" s="19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>
      <c r="A67" s="20"/>
      <c r="B67" s="20"/>
      <c r="C67" s="20"/>
      <c r="D67" s="20"/>
      <c r="E67" s="20"/>
      <c r="F67" s="19"/>
      <c r="G67" s="19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>
      <c r="A68" s="20"/>
      <c r="B68" s="20"/>
      <c r="C68" s="20"/>
      <c r="D68" s="20"/>
      <c r="E68" s="20"/>
      <c r="F68" s="19"/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>
      <c r="A69" s="20"/>
      <c r="B69" s="20"/>
      <c r="C69" s="20"/>
      <c r="D69" s="20"/>
      <c r="E69" s="20"/>
      <c r="F69" s="19"/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>
      <c r="A70" s="20"/>
      <c r="B70" s="20"/>
      <c r="C70" s="20"/>
      <c r="D70" s="20"/>
      <c r="E70" s="20"/>
      <c r="F70" s="19"/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>
      <c r="A71" s="20"/>
      <c r="B71" s="20"/>
      <c r="C71" s="20"/>
      <c r="D71" s="20"/>
      <c r="E71" s="20"/>
      <c r="F71" s="19"/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A72" s="20"/>
      <c r="B72" s="20"/>
      <c r="C72" s="20"/>
      <c r="D72" s="20"/>
      <c r="E72" s="20"/>
      <c r="F72" s="19"/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>
      <c r="A73" s="20"/>
      <c r="B73" s="20"/>
      <c r="C73" s="20"/>
      <c r="D73" s="20"/>
      <c r="E73" s="20"/>
      <c r="F73" s="19"/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>
      <c r="A74" s="20"/>
      <c r="B74" s="20"/>
      <c r="C74" s="20"/>
      <c r="D74" s="20"/>
      <c r="E74" s="20"/>
      <c r="F74" s="19"/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>
      <c r="A75" s="20"/>
      <c r="B75" s="20"/>
      <c r="C75" s="20"/>
      <c r="D75" s="20"/>
      <c r="E75" s="20"/>
      <c r="F75" s="19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>
      <c r="A76" s="20"/>
      <c r="B76" s="20"/>
      <c r="C76" s="20"/>
      <c r="D76" s="20"/>
      <c r="E76" s="20"/>
      <c r="F76" s="19"/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>
      <c r="A77" s="20"/>
      <c r="B77" s="20"/>
      <c r="C77" s="20"/>
      <c r="D77" s="20"/>
      <c r="E77" s="20"/>
      <c r="F77" s="19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>
      <c r="A78" s="20"/>
      <c r="B78" s="20"/>
      <c r="C78" s="20"/>
      <c r="D78" s="20"/>
      <c r="E78" s="20"/>
      <c r="F78" s="19"/>
      <c r="G78" s="19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>
      <c r="A79" s="20"/>
      <c r="B79" s="20"/>
      <c r="C79" s="20"/>
      <c r="D79" s="20"/>
      <c r="E79" s="20"/>
      <c r="F79" s="19"/>
      <c r="G79" s="19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>
      <c r="A80" s="20"/>
      <c r="B80" s="20"/>
      <c r="C80" s="20"/>
      <c r="D80" s="20"/>
      <c r="E80" s="20"/>
      <c r="F80" s="19"/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>
      <c r="A81" s="20"/>
      <c r="B81" s="20"/>
      <c r="C81" s="20"/>
      <c r="D81" s="20"/>
      <c r="E81" s="20"/>
      <c r="F81" s="19"/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20"/>
      <c r="B82" s="20"/>
      <c r="C82" s="20"/>
      <c r="D82" s="20"/>
      <c r="E82" s="20"/>
      <c r="F82" s="19"/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>
      <c r="A83" s="20"/>
      <c r="B83" s="20"/>
      <c r="C83" s="20"/>
      <c r="D83" s="20"/>
      <c r="E83" s="20"/>
      <c r="F83" s="19"/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>
      <c r="A84" s="20"/>
      <c r="B84" s="20"/>
      <c r="C84" s="20"/>
      <c r="D84" s="20"/>
      <c r="E84" s="20"/>
      <c r="F84" s="19"/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>
      <c r="A85" s="20"/>
      <c r="B85" s="20"/>
      <c r="C85" s="20"/>
      <c r="D85" s="20"/>
      <c r="E85" s="20"/>
      <c r="F85" s="19"/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>
      <c r="A86" s="20"/>
      <c r="B86" s="20"/>
      <c r="C86" s="20"/>
      <c r="D86" s="20"/>
      <c r="E86" s="20"/>
      <c r="F86" s="19"/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>
      <c r="A87" s="20"/>
      <c r="B87" s="20"/>
      <c r="C87" s="20"/>
      <c r="D87" s="20"/>
      <c r="E87" s="20"/>
      <c r="F87" s="19"/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>
      <c r="A88" s="20"/>
      <c r="B88" s="20"/>
      <c r="C88" s="20"/>
      <c r="D88" s="20"/>
      <c r="E88" s="20"/>
      <c r="F88" s="19"/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>
      <c r="A89" s="20"/>
      <c r="B89" s="20"/>
      <c r="C89" s="20"/>
      <c r="D89" s="20"/>
      <c r="E89" s="20"/>
      <c r="F89" s="19"/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20"/>
      <c r="B90" s="20"/>
      <c r="C90" s="20"/>
      <c r="D90" s="20"/>
      <c r="E90" s="20"/>
      <c r="F90" s="19"/>
      <c r="G90" s="19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>
      <c r="A91" s="20"/>
      <c r="B91" s="20"/>
      <c r="C91" s="20"/>
      <c r="D91" s="20"/>
      <c r="E91" s="20"/>
      <c r="F91" s="19"/>
      <c r="G91" s="19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>
      <c r="A92" s="20"/>
      <c r="B92" s="20"/>
      <c r="C92" s="20"/>
      <c r="D92" s="20"/>
      <c r="E92" s="20"/>
      <c r="F92" s="19"/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20"/>
      <c r="B93" s="20"/>
      <c r="C93" s="20"/>
      <c r="D93" s="20"/>
      <c r="E93" s="20"/>
      <c r="F93" s="19"/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>
      <c r="A94" s="20"/>
      <c r="B94" s="20"/>
      <c r="C94" s="20"/>
      <c r="D94" s="20"/>
      <c r="E94" s="20"/>
      <c r="F94" s="19"/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>
      <c r="A95" s="20"/>
      <c r="B95" s="20"/>
      <c r="C95" s="20"/>
      <c r="D95" s="20"/>
      <c r="E95" s="20"/>
      <c r="F95" s="19"/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>
      <c r="A96" s="20"/>
      <c r="B96" s="20"/>
      <c r="C96" s="20"/>
      <c r="D96" s="20"/>
      <c r="E96" s="20"/>
      <c r="F96" s="19"/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20"/>
      <c r="B97" s="20"/>
      <c r="C97" s="20"/>
      <c r="D97" s="20"/>
      <c r="E97" s="20"/>
      <c r="F97" s="19"/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20"/>
      <c r="B98" s="20"/>
      <c r="C98" s="20"/>
      <c r="D98" s="20"/>
      <c r="E98" s="20"/>
      <c r="F98" s="19"/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>
      <c r="A99" s="20"/>
      <c r="B99" s="20"/>
      <c r="C99" s="20"/>
      <c r="D99" s="20"/>
      <c r="E99" s="20"/>
      <c r="F99" s="19"/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A100" s="20"/>
      <c r="B100" s="20"/>
      <c r="C100" s="20"/>
      <c r="D100" s="20"/>
      <c r="E100" s="20"/>
      <c r="F100" s="19"/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>
      <c r="A101" s="20"/>
      <c r="B101" s="20"/>
      <c r="C101" s="20"/>
      <c r="D101" s="20"/>
      <c r="E101" s="20"/>
      <c r="F101" s="19"/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>
      <c r="A102" s="20"/>
      <c r="B102" s="20"/>
      <c r="C102" s="20"/>
      <c r="D102" s="20"/>
      <c r="E102" s="20"/>
      <c r="F102" s="19"/>
      <c r="G102" s="19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>
      <c r="A103" s="20"/>
      <c r="B103" s="20"/>
      <c r="C103" s="20"/>
      <c r="D103" s="20"/>
      <c r="E103" s="20"/>
      <c r="F103" s="19"/>
      <c r="G103" s="19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20"/>
      <c r="B104" s="20"/>
      <c r="C104" s="20"/>
      <c r="D104" s="20"/>
      <c r="E104" s="20"/>
      <c r="F104" s="19"/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>
      <c r="A105" s="20"/>
      <c r="B105" s="20"/>
      <c r="C105" s="20"/>
      <c r="D105" s="20"/>
      <c r="E105" s="20"/>
      <c r="F105" s="19"/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>
      <c r="A106" s="20"/>
      <c r="B106" s="20"/>
      <c r="C106" s="20"/>
      <c r="D106" s="20"/>
      <c r="E106" s="20"/>
      <c r="F106" s="19"/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>
      <c r="A107" s="20"/>
      <c r="B107" s="20"/>
      <c r="C107" s="20"/>
      <c r="D107" s="20"/>
      <c r="E107" s="20"/>
      <c r="F107" s="19"/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>
      <c r="A108" s="20"/>
      <c r="B108" s="20"/>
      <c r="C108" s="20"/>
      <c r="D108" s="20"/>
      <c r="E108" s="20"/>
      <c r="F108" s="19"/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>
      <c r="A109" s="20"/>
      <c r="B109" s="20"/>
      <c r="C109" s="20"/>
      <c r="D109" s="20"/>
      <c r="E109" s="20"/>
      <c r="F109" s="19"/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>
      <c r="A110" s="20"/>
      <c r="B110" s="20"/>
      <c r="C110" s="20"/>
      <c r="D110" s="20"/>
      <c r="E110" s="20"/>
      <c r="F110" s="19"/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20"/>
      <c r="B111" s="20"/>
      <c r="C111" s="20"/>
      <c r="D111" s="20"/>
      <c r="E111" s="20"/>
      <c r="F111" s="19"/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>
      <c r="A112" s="20"/>
      <c r="B112" s="20"/>
      <c r="C112" s="20"/>
      <c r="D112" s="20"/>
      <c r="E112" s="20"/>
      <c r="F112" s="19"/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>
      <c r="A113" s="20"/>
      <c r="B113" s="20"/>
      <c r="C113" s="20"/>
      <c r="D113" s="20"/>
      <c r="E113" s="20"/>
      <c r="F113" s="19"/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>
      <c r="A114" s="20"/>
      <c r="B114" s="20"/>
      <c r="C114" s="20"/>
      <c r="D114" s="20"/>
      <c r="E114" s="20"/>
      <c r="F114" s="19"/>
      <c r="G114" s="19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>
      <c r="A115" s="20"/>
      <c r="B115" s="20"/>
      <c r="C115" s="20"/>
      <c r="D115" s="20"/>
      <c r="E115" s="20"/>
      <c r="F115" s="19"/>
      <c r="G115" s="19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20"/>
      <c r="B116" s="20"/>
      <c r="C116" s="20"/>
      <c r="D116" s="20"/>
      <c r="E116" s="20"/>
      <c r="F116" s="19"/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>
      <c r="A117" s="20"/>
      <c r="B117" s="20"/>
      <c r="C117" s="20"/>
      <c r="D117" s="20"/>
      <c r="E117" s="20"/>
      <c r="F117" s="19"/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>
      <c r="A118" s="20"/>
      <c r="B118" s="20"/>
      <c r="C118" s="20"/>
      <c r="D118" s="20"/>
      <c r="E118" s="20"/>
      <c r="F118" s="19"/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A119" s="20"/>
      <c r="B119" s="20"/>
      <c r="C119" s="20"/>
      <c r="D119" s="20"/>
      <c r="E119" s="20"/>
      <c r="F119" s="19"/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>
      <c r="A120" s="20"/>
      <c r="B120" s="20"/>
      <c r="C120" s="20"/>
      <c r="D120" s="20"/>
      <c r="E120" s="20"/>
      <c r="F120" s="19"/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>
      <c r="A121" s="20"/>
      <c r="B121" s="20"/>
      <c r="C121" s="20"/>
      <c r="D121" s="20"/>
      <c r="E121" s="20"/>
      <c r="F121" s="19"/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>
      <c r="A122" s="20"/>
      <c r="B122" s="20"/>
      <c r="C122" s="20"/>
      <c r="D122" s="20"/>
      <c r="E122" s="20"/>
      <c r="F122" s="19"/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>
      <c r="A123" s="20"/>
      <c r="B123" s="20"/>
      <c r="C123" s="20"/>
      <c r="D123" s="20"/>
      <c r="E123" s="20"/>
      <c r="F123" s="19"/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>
      <c r="A124" s="20"/>
      <c r="B124" s="20"/>
      <c r="C124" s="20"/>
      <c r="D124" s="20"/>
      <c r="E124" s="20"/>
      <c r="F124" s="19"/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>
      <c r="A125" s="20"/>
      <c r="B125" s="20"/>
      <c r="C125" s="20"/>
      <c r="D125" s="20"/>
      <c r="E125" s="20"/>
      <c r="F125" s="19"/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20"/>
      <c r="B126" s="20"/>
      <c r="C126" s="20"/>
      <c r="D126" s="20"/>
      <c r="E126" s="20"/>
      <c r="F126" s="19"/>
      <c r="G126" s="19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>
      <c r="A127" s="20"/>
      <c r="B127" s="20"/>
      <c r="C127" s="20"/>
      <c r="D127" s="20"/>
      <c r="E127" s="20"/>
      <c r="F127" s="19"/>
      <c r="G127" s="19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>
      <c r="A128" s="20"/>
      <c r="B128" s="20"/>
      <c r="C128" s="20"/>
      <c r="D128" s="20"/>
      <c r="E128" s="20"/>
      <c r="F128" s="19"/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>
      <c r="A129" s="20"/>
      <c r="B129" s="20"/>
      <c r="C129" s="20"/>
      <c r="D129" s="20"/>
      <c r="E129" s="20"/>
      <c r="F129" s="19"/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>
      <c r="A130" s="20"/>
      <c r="B130" s="20"/>
      <c r="C130" s="20"/>
      <c r="D130" s="20"/>
      <c r="E130" s="20"/>
      <c r="F130" s="19"/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>
      <c r="A131" s="20"/>
      <c r="B131" s="20"/>
      <c r="C131" s="20"/>
      <c r="D131" s="20"/>
      <c r="E131" s="20"/>
      <c r="F131" s="19"/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20"/>
      <c r="B132" s="20"/>
      <c r="C132" s="20"/>
      <c r="D132" s="20"/>
      <c r="E132" s="20"/>
      <c r="F132" s="19"/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>
      <c r="A133" s="20"/>
      <c r="B133" s="20"/>
      <c r="C133" s="20"/>
      <c r="D133" s="20"/>
      <c r="E133" s="20"/>
      <c r="F133" s="19"/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>
      <c r="A134" s="20"/>
      <c r="B134" s="20"/>
      <c r="C134" s="20"/>
      <c r="D134" s="20"/>
      <c r="E134" s="20"/>
      <c r="F134" s="19"/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>
      <c r="A135" s="20"/>
      <c r="B135" s="20"/>
      <c r="C135" s="20"/>
      <c r="D135" s="20"/>
      <c r="E135" s="20"/>
      <c r="F135" s="19"/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>
      <c r="A136" s="20"/>
      <c r="B136" s="20"/>
      <c r="C136" s="20"/>
      <c r="D136" s="20"/>
      <c r="E136" s="20"/>
      <c r="F136" s="19"/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>
      <c r="A137" s="20"/>
      <c r="B137" s="20"/>
      <c r="C137" s="20"/>
      <c r="D137" s="20"/>
      <c r="E137" s="20"/>
      <c r="F137" s="19"/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>
      <c r="A138" s="20"/>
      <c r="B138" s="20"/>
      <c r="C138" s="20"/>
      <c r="D138" s="20"/>
      <c r="E138" s="20"/>
      <c r="F138" s="19"/>
      <c r="G138" s="19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>
      <c r="A139" s="20"/>
      <c r="B139" s="20"/>
      <c r="C139" s="20"/>
      <c r="D139" s="20"/>
      <c r="E139" s="20"/>
      <c r="F139" s="19"/>
      <c r="G139" s="19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>
      <c r="A140" s="20"/>
      <c r="B140" s="20"/>
      <c r="C140" s="20"/>
      <c r="D140" s="20"/>
      <c r="E140" s="20"/>
      <c r="F140" s="19"/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>
      <c r="A141" s="20"/>
      <c r="B141" s="20"/>
      <c r="C141" s="20"/>
      <c r="D141" s="20"/>
      <c r="E141" s="20"/>
      <c r="F141" s="19"/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>
      <c r="A142" s="20"/>
      <c r="B142" s="20"/>
      <c r="C142" s="20"/>
      <c r="D142" s="20"/>
      <c r="E142" s="20"/>
      <c r="F142" s="19"/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>
      <c r="A143" s="20"/>
      <c r="B143" s="20"/>
      <c r="C143" s="20"/>
      <c r="D143" s="20"/>
      <c r="E143" s="20"/>
      <c r="F143" s="19"/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>
      <c r="A144" s="20"/>
      <c r="B144" s="20"/>
      <c r="C144" s="20"/>
      <c r="D144" s="20"/>
      <c r="E144" s="20"/>
      <c r="F144" s="19"/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>
      <c r="A145" s="20"/>
      <c r="B145" s="20"/>
      <c r="C145" s="20"/>
      <c r="D145" s="20"/>
      <c r="E145" s="20"/>
      <c r="F145" s="19"/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>
      <c r="A146" s="20"/>
      <c r="B146" s="20"/>
      <c r="C146" s="20"/>
      <c r="D146" s="20"/>
      <c r="E146" s="20"/>
      <c r="F146" s="19"/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>
      <c r="A147" s="20"/>
      <c r="B147" s="20"/>
      <c r="C147" s="20"/>
      <c r="D147" s="20"/>
      <c r="E147" s="20"/>
      <c r="F147" s="19"/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>
      <c r="A148" s="20"/>
      <c r="B148" s="20"/>
      <c r="C148" s="20"/>
      <c r="D148" s="20"/>
      <c r="E148" s="20"/>
      <c r="F148" s="19"/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20"/>
      <c r="B149" s="20"/>
      <c r="C149" s="20"/>
      <c r="D149" s="20"/>
      <c r="E149" s="20"/>
      <c r="F149" s="19"/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>
      <c r="A150" s="20"/>
      <c r="B150" s="20"/>
      <c r="C150" s="20"/>
      <c r="D150" s="20"/>
      <c r="E150" s="20"/>
      <c r="F150" s="19"/>
      <c r="G150" s="19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>
      <c r="A151" s="20"/>
      <c r="B151" s="20"/>
      <c r="C151" s="20"/>
      <c r="D151" s="20"/>
      <c r="E151" s="20"/>
      <c r="F151" s="19"/>
      <c r="G151" s="19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>
      <c r="A152" s="20"/>
      <c r="B152" s="20"/>
      <c r="C152" s="20"/>
      <c r="D152" s="20"/>
      <c r="E152" s="20"/>
      <c r="F152" s="19"/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20"/>
      <c r="B153" s="20"/>
      <c r="C153" s="20"/>
      <c r="D153" s="20"/>
      <c r="E153" s="20"/>
      <c r="F153" s="19"/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>
      <c r="A154" s="20"/>
      <c r="B154" s="20"/>
      <c r="C154" s="20"/>
      <c r="D154" s="20"/>
      <c r="E154" s="20"/>
      <c r="F154" s="19"/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>
      <c r="A155" s="20"/>
      <c r="B155" s="20"/>
      <c r="C155" s="20"/>
      <c r="D155" s="20"/>
      <c r="E155" s="20"/>
      <c r="F155" s="19"/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>
      <c r="A156" s="20"/>
      <c r="B156" s="20"/>
      <c r="C156" s="20"/>
      <c r="D156" s="20"/>
      <c r="E156" s="20"/>
      <c r="F156" s="19"/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>
      <c r="A157" s="20"/>
      <c r="B157" s="20"/>
      <c r="C157" s="20"/>
      <c r="D157" s="20"/>
      <c r="E157" s="20"/>
      <c r="F157" s="19"/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>
      <c r="A158" s="20"/>
      <c r="B158" s="20"/>
      <c r="C158" s="20"/>
      <c r="D158" s="20"/>
      <c r="E158" s="20"/>
      <c r="F158" s="19"/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>
      <c r="A159" s="20"/>
      <c r="B159" s="20"/>
      <c r="C159" s="20"/>
      <c r="D159" s="20"/>
      <c r="E159" s="20"/>
      <c r="F159" s="19"/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>
      <c r="A160" s="20"/>
      <c r="B160" s="20"/>
      <c r="C160" s="20"/>
      <c r="D160" s="20"/>
      <c r="E160" s="20"/>
      <c r="F160" s="19"/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20"/>
      <c r="B161" s="20"/>
      <c r="C161" s="20"/>
      <c r="D161" s="20"/>
      <c r="E161" s="20"/>
      <c r="F161" s="19"/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20"/>
      <c r="B162" s="20"/>
      <c r="C162" s="20"/>
      <c r="D162" s="20"/>
      <c r="E162" s="20"/>
      <c r="F162" s="19"/>
      <c r="G162" s="19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>
      <c r="A163" s="20"/>
      <c r="B163" s="20"/>
      <c r="C163" s="20"/>
      <c r="D163" s="20"/>
      <c r="E163" s="20"/>
      <c r="F163" s="19"/>
      <c r="G163" s="19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>
      <c r="A164" s="20"/>
      <c r="B164" s="20"/>
      <c r="C164" s="20"/>
      <c r="D164" s="20"/>
      <c r="E164" s="20"/>
      <c r="F164" s="19"/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>
      <c r="A165" s="20"/>
      <c r="B165" s="20"/>
      <c r="C165" s="20"/>
      <c r="D165" s="20"/>
      <c r="E165" s="20"/>
      <c r="F165" s="19"/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>
      <c r="A166" s="20"/>
      <c r="B166" s="20"/>
      <c r="C166" s="20"/>
      <c r="D166" s="20"/>
      <c r="E166" s="20"/>
      <c r="F166" s="19"/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>
      <c r="A167" s="20"/>
      <c r="B167" s="20"/>
      <c r="C167" s="20"/>
      <c r="D167" s="20"/>
      <c r="E167" s="20"/>
      <c r="F167" s="19"/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>
      <c r="A168" s="20"/>
      <c r="B168" s="20"/>
      <c r="C168" s="20"/>
      <c r="D168" s="20"/>
      <c r="E168" s="20"/>
      <c r="F168" s="19"/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>
      <c r="A169" s="20"/>
      <c r="B169" s="20"/>
      <c r="C169" s="20"/>
      <c r="D169" s="20"/>
      <c r="E169" s="20"/>
      <c r="F169" s="19"/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>
      <c r="A170" s="20"/>
      <c r="B170" s="20"/>
      <c r="C170" s="20"/>
      <c r="D170" s="20"/>
      <c r="E170" s="20"/>
      <c r="F170" s="19"/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>
      <c r="A171" s="20"/>
      <c r="B171" s="20"/>
      <c r="C171" s="20"/>
      <c r="D171" s="20"/>
      <c r="E171" s="20"/>
      <c r="F171" s="19"/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>
      <c r="A172" s="20"/>
      <c r="B172" s="20"/>
      <c r="C172" s="20"/>
      <c r="D172" s="20"/>
      <c r="E172" s="20"/>
      <c r="F172" s="19"/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>
      <c r="A173" s="20"/>
      <c r="B173" s="20"/>
      <c r="C173" s="20"/>
      <c r="D173" s="20"/>
      <c r="E173" s="20"/>
      <c r="F173" s="19"/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>
      <c r="A174" s="20"/>
      <c r="B174" s="20"/>
      <c r="C174" s="20"/>
      <c r="D174" s="20"/>
      <c r="E174" s="20"/>
      <c r="F174" s="19"/>
      <c r="G174" s="19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>
      <c r="A175" s="20"/>
      <c r="B175" s="20"/>
      <c r="C175" s="20"/>
      <c r="D175" s="20"/>
      <c r="E175" s="20"/>
      <c r="F175" s="19"/>
      <c r="G175" s="19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>
      <c r="A176" s="20"/>
      <c r="B176" s="20"/>
      <c r="C176" s="20"/>
      <c r="D176" s="20"/>
      <c r="E176" s="20"/>
      <c r="F176" s="19"/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20"/>
      <c r="B177" s="20"/>
      <c r="C177" s="20"/>
      <c r="D177" s="20"/>
      <c r="E177" s="20"/>
      <c r="F177" s="19"/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>
      <c r="A178" s="20"/>
      <c r="B178" s="20"/>
      <c r="C178" s="20"/>
      <c r="D178" s="20"/>
      <c r="E178" s="20"/>
      <c r="F178" s="19"/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>
      <c r="A179" s="20"/>
      <c r="B179" s="20"/>
      <c r="C179" s="20"/>
      <c r="D179" s="20"/>
      <c r="E179" s="20"/>
      <c r="F179" s="19"/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>
      <c r="A180" s="20"/>
      <c r="B180" s="20"/>
      <c r="C180" s="20"/>
      <c r="D180" s="20"/>
      <c r="E180" s="20"/>
      <c r="F180" s="19"/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>
      <c r="A181" s="20"/>
      <c r="B181" s="20"/>
      <c r="C181" s="20"/>
      <c r="D181" s="20"/>
      <c r="E181" s="20"/>
      <c r="F181" s="19"/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>
      <c r="A182" s="20"/>
      <c r="B182" s="20"/>
      <c r="C182" s="20"/>
      <c r="D182" s="20"/>
      <c r="E182" s="20"/>
      <c r="F182" s="19"/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>
      <c r="A183" s="20"/>
      <c r="B183" s="20"/>
      <c r="C183" s="20"/>
      <c r="D183" s="20"/>
      <c r="E183" s="20"/>
      <c r="F183" s="19"/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20"/>
      <c r="B184" s="20"/>
      <c r="C184" s="20"/>
      <c r="D184" s="20"/>
      <c r="E184" s="20"/>
      <c r="F184" s="19"/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>
      <c r="A185" s="20"/>
      <c r="B185" s="20"/>
      <c r="C185" s="20"/>
      <c r="D185" s="20"/>
      <c r="E185" s="20"/>
      <c r="F185" s="19"/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>
      <c r="A186" s="20"/>
      <c r="B186" s="20"/>
      <c r="C186" s="20"/>
      <c r="D186" s="20"/>
      <c r="E186" s="20"/>
      <c r="F186" s="19"/>
      <c r="G186" s="19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>
      <c r="A187" s="20"/>
      <c r="B187" s="20"/>
      <c r="C187" s="20"/>
      <c r="D187" s="20"/>
      <c r="E187" s="20"/>
      <c r="F187" s="19"/>
      <c r="G187" s="19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>
      <c r="A188" s="20"/>
      <c r="B188" s="20"/>
      <c r="C188" s="20"/>
      <c r="D188" s="20"/>
      <c r="E188" s="20"/>
      <c r="F188" s="19"/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>
      <c r="A189" s="20"/>
      <c r="B189" s="20"/>
      <c r="C189" s="20"/>
      <c r="D189" s="20"/>
      <c r="E189" s="20"/>
      <c r="F189" s="19"/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>
      <c r="A190" s="20"/>
      <c r="B190" s="20"/>
      <c r="C190" s="20"/>
      <c r="D190" s="20"/>
      <c r="E190" s="20"/>
      <c r="F190" s="19"/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20"/>
      <c r="B191" s="20"/>
      <c r="C191" s="20"/>
      <c r="D191" s="20"/>
      <c r="E191" s="20"/>
      <c r="F191" s="19"/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>
      <c r="A192" s="20"/>
      <c r="B192" s="20"/>
      <c r="C192" s="20"/>
      <c r="D192" s="20"/>
      <c r="E192" s="20"/>
      <c r="F192" s="19"/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>
      <c r="A193" s="20"/>
      <c r="B193" s="20"/>
      <c r="C193" s="20"/>
      <c r="D193" s="20"/>
      <c r="E193" s="20"/>
      <c r="F193" s="19"/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>
      <c r="A194" s="20"/>
      <c r="B194" s="20"/>
      <c r="C194" s="20"/>
      <c r="D194" s="20"/>
      <c r="E194" s="20"/>
      <c r="F194" s="19"/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>
      <c r="A195" s="20"/>
      <c r="B195" s="20"/>
      <c r="C195" s="20"/>
      <c r="D195" s="20"/>
      <c r="E195" s="20"/>
      <c r="F195" s="19"/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>
      <c r="A196" s="20"/>
      <c r="B196" s="20"/>
      <c r="C196" s="20"/>
      <c r="D196" s="20"/>
      <c r="E196" s="20"/>
      <c r="F196" s="19"/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20"/>
      <c r="B197" s="20"/>
      <c r="C197" s="20"/>
      <c r="D197" s="20"/>
      <c r="E197" s="20"/>
      <c r="F197" s="19"/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>
      <c r="A198" s="20"/>
      <c r="B198" s="20"/>
      <c r="C198" s="20"/>
      <c r="D198" s="20"/>
      <c r="E198" s="20"/>
      <c r="F198" s="19"/>
      <c r="G198" s="19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>
      <c r="A199" s="20"/>
      <c r="B199" s="20"/>
      <c r="C199" s="20"/>
      <c r="D199" s="20"/>
      <c r="E199" s="20"/>
      <c r="F199" s="19"/>
      <c r="G199" s="19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>
      <c r="A200" s="20"/>
      <c r="B200" s="20"/>
      <c r="C200" s="20"/>
      <c r="D200" s="20"/>
      <c r="E200" s="20"/>
      <c r="F200" s="19"/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>
      <c r="A201" s="20"/>
      <c r="B201" s="20"/>
      <c r="C201" s="20"/>
      <c r="D201" s="20"/>
      <c r="E201" s="20"/>
      <c r="F201" s="19"/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>
      <c r="A202" s="20"/>
      <c r="B202" s="20"/>
      <c r="C202" s="20"/>
      <c r="D202" s="20"/>
      <c r="E202" s="20"/>
      <c r="F202" s="19"/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>
      <c r="A203" s="20"/>
      <c r="B203" s="20"/>
      <c r="C203" s="20"/>
      <c r="D203" s="20"/>
      <c r="E203" s="20"/>
      <c r="F203" s="19"/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>
      <c r="A204" s="20"/>
      <c r="B204" s="20"/>
      <c r="C204" s="20"/>
      <c r="D204" s="20"/>
      <c r="E204" s="20"/>
      <c r="F204" s="19"/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20"/>
      <c r="B205" s="20"/>
      <c r="C205" s="20"/>
      <c r="D205" s="20"/>
      <c r="E205" s="20"/>
      <c r="F205" s="19"/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>
      <c r="A206" s="20"/>
      <c r="B206" s="20"/>
      <c r="C206" s="20"/>
      <c r="D206" s="20"/>
      <c r="E206" s="20"/>
      <c r="F206" s="19"/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>
      <c r="A207" s="20"/>
      <c r="B207" s="20"/>
      <c r="C207" s="20"/>
      <c r="D207" s="20"/>
      <c r="E207" s="20"/>
      <c r="F207" s="19"/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>
      <c r="A208" s="20"/>
      <c r="B208" s="20"/>
      <c r="C208" s="20"/>
      <c r="D208" s="20"/>
      <c r="E208" s="20"/>
      <c r="F208" s="19"/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20"/>
      <c r="B209" s="20"/>
      <c r="C209" s="20"/>
      <c r="D209" s="20"/>
      <c r="E209" s="20"/>
      <c r="F209" s="19"/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>
      <c r="A210" s="20"/>
      <c r="B210" s="20"/>
      <c r="C210" s="20"/>
      <c r="D210" s="20"/>
      <c r="E210" s="20"/>
      <c r="F210" s="19"/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>
      <c r="A211" s="20"/>
      <c r="B211" s="20"/>
      <c r="C211" s="20"/>
      <c r="D211" s="20"/>
      <c r="E211" s="20"/>
      <c r="F211" s="19"/>
      <c r="G211" s="19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>
      <c r="A212" s="20"/>
      <c r="B212" s="20"/>
      <c r="C212" s="20"/>
      <c r="D212" s="20"/>
      <c r="E212" s="20"/>
      <c r="F212" s="19"/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>
      <c r="A213" s="20"/>
      <c r="B213" s="20"/>
      <c r="C213" s="20"/>
      <c r="D213" s="20"/>
      <c r="E213" s="20"/>
      <c r="F213" s="19"/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>
      <c r="A214" s="20"/>
      <c r="B214" s="20"/>
      <c r="C214" s="20"/>
      <c r="D214" s="20"/>
      <c r="E214" s="20"/>
      <c r="F214" s="19"/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>
      <c r="A215" s="20"/>
      <c r="B215" s="20"/>
      <c r="C215" s="20"/>
      <c r="D215" s="20"/>
      <c r="E215" s="20"/>
      <c r="F215" s="19"/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>
      <c r="A216" s="20"/>
      <c r="B216" s="20"/>
      <c r="C216" s="20"/>
      <c r="D216" s="20"/>
      <c r="E216" s="20"/>
      <c r="F216" s="19"/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20"/>
      <c r="B217" s="20"/>
      <c r="C217" s="20"/>
      <c r="D217" s="20"/>
      <c r="E217" s="20"/>
      <c r="F217" s="19"/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>
      <c r="A218" s="20"/>
      <c r="B218" s="20"/>
      <c r="C218" s="20"/>
      <c r="D218" s="20"/>
      <c r="E218" s="20"/>
      <c r="F218" s="19"/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>
      <c r="A219" s="20"/>
      <c r="B219" s="20"/>
      <c r="C219" s="20"/>
      <c r="D219" s="20"/>
      <c r="E219" s="20"/>
      <c r="F219" s="19"/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>
      <c r="A220" s="20"/>
      <c r="B220" s="20"/>
      <c r="C220" s="20"/>
      <c r="D220" s="20"/>
      <c r="E220" s="20"/>
      <c r="F220" s="19"/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>
      <c r="A221" s="20"/>
      <c r="B221" s="20"/>
      <c r="C221" s="20"/>
      <c r="D221" s="20"/>
      <c r="E221" s="20"/>
      <c r="F221" s="19"/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>
      <c r="A222" s="20"/>
      <c r="B222" s="20"/>
      <c r="C222" s="20"/>
      <c r="D222" s="20"/>
      <c r="E222" s="20"/>
      <c r="F222" s="19"/>
      <c r="G222" s="19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>
      <c r="A223" s="20"/>
      <c r="B223" s="20"/>
      <c r="C223" s="20"/>
      <c r="D223" s="20"/>
      <c r="E223" s="20"/>
      <c r="F223" s="19"/>
      <c r="G223" s="19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>
      <c r="A224" s="20"/>
      <c r="B224" s="20"/>
      <c r="C224" s="20"/>
      <c r="D224" s="20"/>
      <c r="E224" s="20"/>
      <c r="F224" s="19"/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>
      <c r="A225" s="20"/>
      <c r="B225" s="20"/>
      <c r="C225" s="20"/>
      <c r="D225" s="20"/>
      <c r="E225" s="20"/>
      <c r="F225" s="19"/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>
      <c r="A226" s="20"/>
      <c r="B226" s="20"/>
      <c r="C226" s="20"/>
      <c r="D226" s="20"/>
      <c r="E226" s="20"/>
      <c r="F226" s="19"/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>
      <c r="A227" s="20"/>
      <c r="B227" s="20"/>
      <c r="C227" s="20"/>
      <c r="D227" s="20"/>
      <c r="E227" s="20"/>
      <c r="F227" s="19"/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>
      <c r="A228" s="20"/>
      <c r="B228" s="20"/>
      <c r="C228" s="20"/>
      <c r="D228" s="20"/>
      <c r="E228" s="20"/>
      <c r="F228" s="19"/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>
      <c r="A229" s="20"/>
      <c r="B229" s="20"/>
      <c r="C229" s="20"/>
      <c r="D229" s="20"/>
      <c r="E229" s="20"/>
      <c r="F229" s="19"/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>
      <c r="A230" s="20"/>
      <c r="B230" s="20"/>
      <c r="C230" s="20"/>
      <c r="D230" s="20"/>
      <c r="E230" s="20"/>
      <c r="F230" s="19"/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>
      <c r="A231" s="20"/>
      <c r="B231" s="20"/>
      <c r="C231" s="20"/>
      <c r="D231" s="20"/>
      <c r="E231" s="20"/>
      <c r="F231" s="19"/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>
      <c r="A232" s="20"/>
      <c r="B232" s="20"/>
      <c r="C232" s="20"/>
      <c r="D232" s="20"/>
      <c r="E232" s="20"/>
      <c r="F232" s="19"/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>
      <c r="A233" s="20"/>
      <c r="B233" s="20"/>
      <c r="C233" s="20"/>
      <c r="D233" s="20"/>
      <c r="E233" s="20"/>
      <c r="F233" s="19"/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>
      <c r="A234" s="20"/>
      <c r="B234" s="20"/>
      <c r="C234" s="20"/>
      <c r="D234" s="20"/>
      <c r="E234" s="20"/>
      <c r="F234" s="19"/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20"/>
      <c r="B235" s="20"/>
      <c r="C235" s="20"/>
      <c r="D235" s="20"/>
      <c r="E235" s="20"/>
      <c r="F235" s="19"/>
      <c r="G235" s="19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>
      <c r="A236" s="20"/>
      <c r="B236" s="20"/>
      <c r="C236" s="20"/>
      <c r="D236" s="20"/>
      <c r="E236" s="20"/>
      <c r="F236" s="19"/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20"/>
      <c r="B237" s="20"/>
      <c r="C237" s="20"/>
      <c r="D237" s="20"/>
      <c r="E237" s="20"/>
      <c r="F237" s="19"/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>
      <c r="A238" s="20"/>
      <c r="B238" s="20"/>
      <c r="C238" s="20"/>
      <c r="D238" s="20"/>
      <c r="E238" s="20"/>
      <c r="F238" s="19"/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>
      <c r="A239" s="20"/>
      <c r="B239" s="20"/>
      <c r="C239" s="20"/>
      <c r="D239" s="20"/>
      <c r="E239" s="20"/>
      <c r="F239" s="19"/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>
      <c r="A240" s="20"/>
      <c r="B240" s="20"/>
      <c r="C240" s="20"/>
      <c r="D240" s="20"/>
      <c r="E240" s="20"/>
      <c r="F240" s="19"/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>
      <c r="A241" s="20"/>
      <c r="B241" s="20"/>
      <c r="C241" s="20"/>
      <c r="D241" s="20"/>
      <c r="E241" s="20"/>
      <c r="F241" s="19"/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>
      <c r="A242" s="20"/>
      <c r="B242" s="20"/>
      <c r="C242" s="20"/>
      <c r="D242" s="20"/>
      <c r="E242" s="20"/>
      <c r="F242" s="19"/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>
      <c r="A243" s="20"/>
      <c r="B243" s="20"/>
      <c r="C243" s="20"/>
      <c r="D243" s="20"/>
      <c r="E243" s="20"/>
      <c r="F243" s="19"/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>
      <c r="A244" s="20"/>
      <c r="B244" s="20"/>
      <c r="C244" s="20"/>
      <c r="D244" s="20"/>
      <c r="E244" s="20"/>
      <c r="F244" s="19"/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>
      <c r="A245" s="20"/>
      <c r="B245" s="20"/>
      <c r="C245" s="20"/>
      <c r="D245" s="20"/>
      <c r="E245" s="20"/>
      <c r="F245" s="19"/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>
      <c r="A246" s="20"/>
      <c r="B246" s="20"/>
      <c r="C246" s="20"/>
      <c r="D246" s="20"/>
      <c r="E246" s="20"/>
      <c r="F246" s="19"/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>
      <c r="A247" s="20"/>
      <c r="B247" s="20"/>
      <c r="C247" s="20"/>
      <c r="D247" s="20"/>
      <c r="E247" s="20"/>
      <c r="F247" s="19"/>
      <c r="G247" s="19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>
      <c r="A248" s="20"/>
      <c r="B248" s="20"/>
      <c r="C248" s="20"/>
      <c r="D248" s="20"/>
      <c r="E248" s="20"/>
      <c r="F248" s="19"/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>
      <c r="A249" s="20"/>
      <c r="B249" s="20"/>
      <c r="C249" s="20"/>
      <c r="D249" s="20"/>
      <c r="E249" s="20"/>
      <c r="F249" s="19"/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>
      <c r="A250" s="20"/>
      <c r="B250" s="20"/>
      <c r="C250" s="20"/>
      <c r="D250" s="20"/>
      <c r="E250" s="20"/>
      <c r="F250" s="19"/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>
      <c r="A251" s="20"/>
      <c r="B251" s="20"/>
      <c r="C251" s="20"/>
      <c r="D251" s="20"/>
      <c r="E251" s="20"/>
      <c r="F251" s="19"/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>
      <c r="A252" s="20"/>
      <c r="B252" s="20"/>
      <c r="C252" s="20"/>
      <c r="D252" s="20"/>
      <c r="E252" s="20"/>
      <c r="F252" s="19"/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>
      <c r="A253" s="20"/>
      <c r="B253" s="20"/>
      <c r="C253" s="20"/>
      <c r="D253" s="20"/>
      <c r="E253" s="20"/>
      <c r="F253" s="19"/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>
      <c r="A254" s="20"/>
      <c r="B254" s="20"/>
      <c r="C254" s="20"/>
      <c r="D254" s="20"/>
      <c r="E254" s="20"/>
      <c r="F254" s="19"/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>
      <c r="A255" s="20"/>
      <c r="B255" s="20"/>
      <c r="C255" s="20"/>
      <c r="D255" s="20"/>
      <c r="E255" s="20"/>
      <c r="F255" s="19"/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>
      <c r="A256" s="20"/>
      <c r="B256" s="20"/>
      <c r="C256" s="20"/>
      <c r="D256" s="20"/>
      <c r="E256" s="20"/>
      <c r="F256" s="19"/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>
      <c r="A257" s="20"/>
      <c r="B257" s="20"/>
      <c r="C257" s="20"/>
      <c r="D257" s="20"/>
      <c r="E257" s="20"/>
      <c r="F257" s="19"/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>
      <c r="A258" s="20"/>
      <c r="B258" s="20"/>
      <c r="C258" s="20"/>
      <c r="D258" s="20"/>
      <c r="E258" s="20"/>
      <c r="F258" s="19"/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>
      <c r="A259" s="20"/>
      <c r="B259" s="20"/>
      <c r="C259" s="20"/>
      <c r="D259" s="20"/>
      <c r="E259" s="20"/>
      <c r="F259" s="19"/>
      <c r="G259" s="19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>
      <c r="A260" s="20"/>
      <c r="B260" s="20"/>
      <c r="C260" s="20"/>
      <c r="D260" s="20"/>
      <c r="E260" s="20"/>
      <c r="F260" s="19"/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>
      <c r="A261" s="20"/>
      <c r="B261" s="20"/>
      <c r="C261" s="20"/>
      <c r="D261" s="20"/>
      <c r="E261" s="20"/>
      <c r="F261" s="19"/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>
      <c r="A262" s="20"/>
      <c r="B262" s="20"/>
      <c r="C262" s="20"/>
      <c r="D262" s="20"/>
      <c r="E262" s="20"/>
      <c r="F262" s="19"/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>
      <c r="A263" s="20"/>
      <c r="B263" s="20"/>
      <c r="C263" s="20"/>
      <c r="D263" s="20"/>
      <c r="E263" s="20"/>
      <c r="F263" s="19"/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>
      <c r="A264" s="20"/>
      <c r="B264" s="20"/>
      <c r="C264" s="20"/>
      <c r="D264" s="20"/>
      <c r="E264" s="20"/>
      <c r="F264" s="19"/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>
      <c r="A265" s="20"/>
      <c r="B265" s="20"/>
      <c r="C265" s="20"/>
      <c r="D265" s="20"/>
      <c r="E265" s="20"/>
      <c r="F265" s="19"/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>
      <c r="A266" s="20"/>
      <c r="B266" s="20"/>
      <c r="C266" s="20"/>
      <c r="D266" s="20"/>
      <c r="E266" s="20"/>
      <c r="F266" s="19"/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>
      <c r="A267" s="20"/>
      <c r="B267" s="20"/>
      <c r="C267" s="20"/>
      <c r="D267" s="20"/>
      <c r="E267" s="20"/>
      <c r="F267" s="19"/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>
      <c r="A268" s="20"/>
      <c r="B268" s="20"/>
      <c r="C268" s="20"/>
      <c r="D268" s="20"/>
      <c r="E268" s="20"/>
      <c r="F268" s="19"/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>
      <c r="A269" s="20"/>
      <c r="B269" s="20"/>
      <c r="C269" s="20"/>
      <c r="D269" s="20"/>
      <c r="E269" s="20"/>
      <c r="F269" s="19"/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>
      <c r="A270" s="20"/>
      <c r="B270" s="20"/>
      <c r="C270" s="20"/>
      <c r="D270" s="20"/>
      <c r="E270" s="20"/>
      <c r="F270" s="19"/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>
      <c r="A271" s="20"/>
      <c r="B271" s="20"/>
      <c r="C271" s="20"/>
      <c r="D271" s="20"/>
      <c r="E271" s="20"/>
      <c r="F271" s="19"/>
      <c r="G271" s="19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>
      <c r="A272" s="20"/>
      <c r="B272" s="20"/>
      <c r="C272" s="20"/>
      <c r="D272" s="20"/>
      <c r="E272" s="20"/>
      <c r="F272" s="19"/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>
      <c r="A273" s="20"/>
      <c r="B273" s="20"/>
      <c r="C273" s="20"/>
      <c r="D273" s="20"/>
      <c r="E273" s="20"/>
      <c r="F273" s="19"/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>
      <c r="A274" s="20"/>
      <c r="B274" s="20"/>
      <c r="C274" s="20"/>
      <c r="D274" s="20"/>
      <c r="E274" s="20"/>
      <c r="F274" s="19"/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>
      <c r="A275" s="20"/>
      <c r="B275" s="20"/>
      <c r="C275" s="20"/>
      <c r="D275" s="20"/>
      <c r="E275" s="20"/>
      <c r="F275" s="19"/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>
      <c r="A276" s="20"/>
      <c r="B276" s="20"/>
      <c r="C276" s="20"/>
      <c r="D276" s="20"/>
      <c r="E276" s="20"/>
      <c r="F276" s="19"/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>
      <c r="A277" s="20"/>
      <c r="B277" s="20"/>
      <c r="C277" s="20"/>
      <c r="D277" s="20"/>
      <c r="E277" s="20"/>
      <c r="F277" s="19"/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>
      <c r="A278" s="20"/>
      <c r="B278" s="20"/>
      <c r="C278" s="20"/>
      <c r="D278" s="20"/>
      <c r="E278" s="20"/>
      <c r="F278" s="19"/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>
      <c r="A279" s="20"/>
      <c r="B279" s="20"/>
      <c r="C279" s="20"/>
      <c r="D279" s="20"/>
      <c r="E279" s="20"/>
      <c r="F279" s="19"/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>
      <c r="A280" s="20"/>
      <c r="B280" s="20"/>
      <c r="C280" s="20"/>
      <c r="D280" s="20"/>
      <c r="E280" s="20"/>
      <c r="F280" s="19"/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>
      <c r="A281" s="20"/>
      <c r="B281" s="20"/>
      <c r="C281" s="20"/>
      <c r="D281" s="20"/>
      <c r="E281" s="20"/>
      <c r="F281" s="19"/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>
      <c r="A282" s="20"/>
      <c r="B282" s="20"/>
      <c r="C282" s="20"/>
      <c r="D282" s="20"/>
      <c r="E282" s="20"/>
      <c r="F282" s="19"/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>
      <c r="A283" s="20"/>
      <c r="B283" s="20"/>
      <c r="C283" s="20"/>
      <c r="D283" s="20"/>
      <c r="E283" s="20"/>
      <c r="F283" s="19"/>
      <c r="G283" s="19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>
      <c r="A284" s="20"/>
      <c r="B284" s="20"/>
      <c r="C284" s="20"/>
      <c r="D284" s="20"/>
      <c r="E284" s="20"/>
      <c r="F284" s="19"/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>
      <c r="A285" s="20"/>
      <c r="B285" s="20"/>
      <c r="C285" s="20"/>
      <c r="D285" s="20"/>
      <c r="E285" s="20"/>
      <c r="F285" s="19"/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>
      <c r="A286" s="20"/>
      <c r="B286" s="20"/>
      <c r="C286" s="20"/>
      <c r="D286" s="20"/>
      <c r="E286" s="20"/>
      <c r="F286" s="19"/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>
      <c r="A287" s="20"/>
      <c r="B287" s="20"/>
      <c r="C287" s="20"/>
      <c r="D287" s="20"/>
      <c r="E287" s="20"/>
      <c r="F287" s="19"/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>
      <c r="A288" s="20"/>
      <c r="B288" s="20"/>
      <c r="C288" s="20"/>
      <c r="D288" s="20"/>
      <c r="E288" s="20"/>
      <c r="F288" s="19"/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>
      <c r="A289" s="20"/>
      <c r="B289" s="20"/>
      <c r="C289" s="20"/>
      <c r="D289" s="20"/>
      <c r="E289" s="20"/>
      <c r="F289" s="19"/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>
      <c r="A290" s="20"/>
      <c r="B290" s="20"/>
      <c r="C290" s="20"/>
      <c r="D290" s="20"/>
      <c r="E290" s="20"/>
      <c r="F290" s="19"/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>
      <c r="A291" s="20"/>
      <c r="B291" s="20"/>
      <c r="C291" s="20"/>
      <c r="D291" s="20"/>
      <c r="E291" s="20"/>
      <c r="F291" s="19"/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>
      <c r="A292" s="20"/>
      <c r="B292" s="20"/>
      <c r="C292" s="20"/>
      <c r="D292" s="20"/>
      <c r="E292" s="20"/>
      <c r="F292" s="19"/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>
      <c r="A293" s="20"/>
      <c r="B293" s="20"/>
      <c r="C293" s="20"/>
      <c r="D293" s="20"/>
      <c r="E293" s="20"/>
      <c r="F293" s="19"/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>
      <c r="A294" s="20"/>
      <c r="B294" s="20"/>
      <c r="C294" s="20"/>
      <c r="D294" s="20"/>
      <c r="E294" s="20"/>
      <c r="F294" s="19"/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>
      <c r="A295" s="20"/>
      <c r="B295" s="20"/>
      <c r="C295" s="20"/>
      <c r="D295" s="20"/>
      <c r="E295" s="20"/>
      <c r="F295" s="19"/>
      <c r="G295" s="19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>
      <c r="A296" s="20"/>
      <c r="B296" s="20"/>
      <c r="C296" s="20"/>
      <c r="D296" s="20"/>
      <c r="E296" s="20"/>
      <c r="F296" s="19"/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20"/>
      <c r="B297" s="20"/>
      <c r="C297" s="20"/>
      <c r="D297" s="20"/>
      <c r="E297" s="20"/>
      <c r="F297" s="19"/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>
      <c r="A298" s="20"/>
      <c r="B298" s="20"/>
      <c r="C298" s="20"/>
      <c r="D298" s="20"/>
      <c r="E298" s="20"/>
      <c r="F298" s="19"/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>
      <c r="A299" s="20"/>
      <c r="B299" s="20"/>
      <c r="C299" s="20"/>
      <c r="D299" s="20"/>
      <c r="E299" s="20"/>
      <c r="F299" s="19"/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>
      <c r="A300" s="20"/>
      <c r="B300" s="20"/>
      <c r="C300" s="20"/>
      <c r="D300" s="20"/>
      <c r="E300" s="20"/>
      <c r="F300" s="19"/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>
      <c r="A301" s="20"/>
      <c r="B301" s="20"/>
      <c r="C301" s="20"/>
      <c r="D301" s="20"/>
      <c r="E301" s="20"/>
      <c r="F301" s="19"/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>
      <c r="A302" s="20"/>
      <c r="B302" s="20"/>
      <c r="C302" s="20"/>
      <c r="D302" s="20"/>
      <c r="E302" s="20"/>
      <c r="F302" s="19"/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>
      <c r="A303" s="20"/>
      <c r="B303" s="20"/>
      <c r="C303" s="20"/>
      <c r="D303" s="20"/>
      <c r="E303" s="20"/>
      <c r="F303" s="19"/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>
      <c r="A304" s="20"/>
      <c r="B304" s="20"/>
      <c r="C304" s="20"/>
      <c r="D304" s="20"/>
      <c r="E304" s="20"/>
      <c r="F304" s="19"/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>
      <c r="A305" s="20"/>
      <c r="B305" s="20"/>
      <c r="C305" s="20"/>
      <c r="D305" s="20"/>
      <c r="E305" s="20"/>
      <c r="F305" s="19"/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>
      <c r="A306" s="20"/>
      <c r="B306" s="20"/>
      <c r="C306" s="20"/>
      <c r="D306" s="20"/>
      <c r="E306" s="20"/>
      <c r="F306" s="19"/>
      <c r="G306" s="19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>
      <c r="A307" s="20"/>
      <c r="B307" s="20"/>
      <c r="C307" s="20"/>
      <c r="D307" s="20"/>
      <c r="E307" s="20"/>
      <c r="F307" s="19"/>
      <c r="G307" s="19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>
      <c r="A308" s="20"/>
      <c r="B308" s="20"/>
      <c r="C308" s="20"/>
      <c r="D308" s="20"/>
      <c r="E308" s="20"/>
      <c r="F308" s="19"/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>
      <c r="A309" s="20"/>
      <c r="B309" s="20"/>
      <c r="C309" s="20"/>
      <c r="D309" s="20"/>
      <c r="E309" s="20"/>
      <c r="F309" s="19"/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>
      <c r="A310" s="20"/>
      <c r="B310" s="20"/>
      <c r="C310" s="20"/>
      <c r="D310" s="20"/>
      <c r="E310" s="20"/>
      <c r="F310" s="19"/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>
      <c r="A311" s="20"/>
      <c r="B311" s="20"/>
      <c r="C311" s="20"/>
      <c r="D311" s="20"/>
      <c r="E311" s="20"/>
      <c r="F311" s="19"/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>
      <c r="A312" s="20"/>
      <c r="B312" s="20"/>
      <c r="C312" s="20"/>
      <c r="D312" s="20"/>
      <c r="E312" s="20"/>
      <c r="F312" s="19"/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>
      <c r="A313" s="20"/>
      <c r="B313" s="20"/>
      <c r="C313" s="20"/>
      <c r="D313" s="20"/>
      <c r="E313" s="20"/>
      <c r="F313" s="19"/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>
      <c r="A314" s="20"/>
      <c r="B314" s="20"/>
      <c r="C314" s="20"/>
      <c r="D314" s="20"/>
      <c r="E314" s="20"/>
      <c r="F314" s="19"/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>
      <c r="A315" s="20"/>
      <c r="B315" s="20"/>
      <c r="C315" s="20"/>
      <c r="D315" s="20"/>
      <c r="E315" s="20"/>
      <c r="F315" s="19"/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>
      <c r="A316" s="20"/>
      <c r="B316" s="20"/>
      <c r="C316" s="20"/>
      <c r="D316" s="20"/>
      <c r="E316" s="20"/>
      <c r="F316" s="19"/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>
      <c r="A317" s="20"/>
      <c r="B317" s="20"/>
      <c r="C317" s="20"/>
      <c r="D317" s="20"/>
      <c r="E317" s="20"/>
      <c r="F317" s="19"/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>
      <c r="A318" s="20"/>
      <c r="B318" s="20"/>
      <c r="C318" s="20"/>
      <c r="D318" s="20"/>
      <c r="E318" s="20"/>
      <c r="F318" s="19"/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>
      <c r="A319" s="20"/>
      <c r="B319" s="20"/>
      <c r="C319" s="20"/>
      <c r="D319" s="20"/>
      <c r="E319" s="20"/>
      <c r="F319" s="19"/>
      <c r="G319" s="19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>
      <c r="A320" s="20"/>
      <c r="B320" s="20"/>
      <c r="C320" s="20"/>
      <c r="D320" s="20"/>
      <c r="E320" s="20"/>
      <c r="F320" s="19"/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>
      <c r="A321" s="20"/>
      <c r="B321" s="20"/>
      <c r="C321" s="20"/>
      <c r="D321" s="20"/>
      <c r="E321" s="20"/>
      <c r="F321" s="19"/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>
      <c r="A322" s="20"/>
      <c r="B322" s="20"/>
      <c r="C322" s="20"/>
      <c r="D322" s="20"/>
      <c r="E322" s="20"/>
      <c r="F322" s="19"/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>
      <c r="A323" s="20"/>
      <c r="B323" s="20"/>
      <c r="C323" s="20"/>
      <c r="D323" s="20"/>
      <c r="E323" s="20"/>
      <c r="F323" s="19"/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>
      <c r="A324" s="20"/>
      <c r="B324" s="20"/>
      <c r="C324" s="20"/>
      <c r="D324" s="20"/>
      <c r="E324" s="20"/>
      <c r="F324" s="19"/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>
      <c r="A325" s="20"/>
      <c r="B325" s="20"/>
      <c r="C325" s="20"/>
      <c r="D325" s="20"/>
      <c r="E325" s="20"/>
      <c r="F325" s="19"/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>
      <c r="A326" s="20"/>
      <c r="B326" s="20"/>
      <c r="C326" s="20"/>
      <c r="D326" s="20"/>
      <c r="E326" s="20"/>
      <c r="F326" s="19"/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20"/>
      <c r="B327" s="20"/>
      <c r="C327" s="20"/>
      <c r="D327" s="20"/>
      <c r="E327" s="20"/>
      <c r="F327" s="19"/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>
      <c r="A328" s="20"/>
      <c r="B328" s="20"/>
      <c r="C328" s="20"/>
      <c r="D328" s="20"/>
      <c r="E328" s="20"/>
      <c r="F328" s="19"/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>
      <c r="A329" s="20"/>
      <c r="B329" s="20"/>
      <c r="C329" s="20"/>
      <c r="D329" s="20"/>
      <c r="E329" s="20"/>
      <c r="F329" s="19"/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>
      <c r="A330" s="20"/>
      <c r="B330" s="20"/>
      <c r="C330" s="20"/>
      <c r="D330" s="20"/>
      <c r="E330" s="20"/>
      <c r="F330" s="19"/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>
      <c r="A331" s="20"/>
      <c r="B331" s="20"/>
      <c r="C331" s="20"/>
      <c r="D331" s="20"/>
      <c r="E331" s="20"/>
      <c r="F331" s="19"/>
      <c r="G331" s="19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>
      <c r="A332" s="20"/>
      <c r="B332" s="20"/>
      <c r="C332" s="20"/>
      <c r="D332" s="20"/>
      <c r="E332" s="20"/>
      <c r="F332" s="19"/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>
      <c r="A333" s="20"/>
      <c r="B333" s="20"/>
      <c r="C333" s="20"/>
      <c r="D333" s="20"/>
      <c r="E333" s="20"/>
      <c r="F333" s="19"/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>
      <c r="A334" s="20"/>
      <c r="B334" s="20"/>
      <c r="C334" s="20"/>
      <c r="D334" s="20"/>
      <c r="E334" s="20"/>
      <c r="F334" s="19"/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>
      <c r="A335" s="20"/>
      <c r="B335" s="20"/>
      <c r="C335" s="20"/>
      <c r="D335" s="20"/>
      <c r="E335" s="20"/>
      <c r="F335" s="19"/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>
      <c r="A336" s="20"/>
      <c r="B336" s="20"/>
      <c r="C336" s="20"/>
      <c r="D336" s="20"/>
      <c r="E336" s="20"/>
      <c r="F336" s="19"/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>
      <c r="A337" s="20"/>
      <c r="B337" s="20"/>
      <c r="C337" s="20"/>
      <c r="D337" s="20"/>
      <c r="E337" s="20"/>
      <c r="F337" s="19"/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>
      <c r="A338" s="20"/>
      <c r="B338" s="20"/>
      <c r="C338" s="20"/>
      <c r="D338" s="20"/>
      <c r="E338" s="20"/>
      <c r="F338" s="19"/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>
      <c r="A339" s="20"/>
      <c r="B339" s="20"/>
      <c r="C339" s="20"/>
      <c r="D339" s="20"/>
      <c r="E339" s="20"/>
      <c r="F339" s="19"/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>
      <c r="A340" s="20"/>
      <c r="B340" s="20"/>
      <c r="C340" s="20"/>
      <c r="D340" s="20"/>
      <c r="E340" s="20"/>
      <c r="F340" s="19"/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>
      <c r="A341" s="20"/>
      <c r="B341" s="20"/>
      <c r="C341" s="20"/>
      <c r="D341" s="20"/>
      <c r="E341" s="20"/>
      <c r="F341" s="19"/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>
      <c r="A342" s="20"/>
      <c r="B342" s="20"/>
      <c r="C342" s="20"/>
      <c r="D342" s="20"/>
      <c r="E342" s="20"/>
      <c r="F342" s="19"/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>
      <c r="A343" s="20"/>
      <c r="B343" s="20"/>
      <c r="C343" s="20"/>
      <c r="D343" s="20"/>
      <c r="E343" s="20"/>
      <c r="F343" s="19"/>
      <c r="G343" s="19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>
      <c r="A344" s="20"/>
      <c r="B344" s="20"/>
      <c r="C344" s="20"/>
      <c r="D344" s="20"/>
      <c r="E344" s="20"/>
      <c r="F344" s="19"/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>
      <c r="A345" s="20"/>
      <c r="B345" s="20"/>
      <c r="C345" s="20"/>
      <c r="D345" s="20"/>
      <c r="E345" s="20"/>
      <c r="F345" s="19"/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>
      <c r="A346" s="20"/>
      <c r="B346" s="20"/>
      <c r="C346" s="20"/>
      <c r="D346" s="20"/>
      <c r="E346" s="20"/>
      <c r="F346" s="19"/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>
      <c r="A347" s="20"/>
      <c r="B347" s="20"/>
      <c r="C347" s="20"/>
      <c r="D347" s="20"/>
      <c r="E347" s="20"/>
      <c r="F347" s="19"/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>
      <c r="A348" s="20"/>
      <c r="B348" s="20"/>
      <c r="C348" s="20"/>
      <c r="D348" s="20"/>
      <c r="E348" s="20"/>
      <c r="F348" s="19"/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>
      <c r="A349" s="20"/>
      <c r="B349" s="20"/>
      <c r="C349" s="20"/>
      <c r="D349" s="20"/>
      <c r="E349" s="20"/>
      <c r="F349" s="19"/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>
      <c r="A350" s="20"/>
      <c r="B350" s="20"/>
      <c r="C350" s="20"/>
      <c r="D350" s="20"/>
      <c r="E350" s="20"/>
      <c r="F350" s="19"/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>
      <c r="A351" s="20"/>
      <c r="B351" s="20"/>
      <c r="C351" s="20"/>
      <c r="D351" s="20"/>
      <c r="E351" s="20"/>
      <c r="F351" s="19"/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>
      <c r="A352" s="20"/>
      <c r="B352" s="20"/>
      <c r="C352" s="20"/>
      <c r="D352" s="20"/>
      <c r="E352" s="20"/>
      <c r="F352" s="19"/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>
      <c r="A353" s="20"/>
      <c r="B353" s="20"/>
      <c r="C353" s="20"/>
      <c r="D353" s="20"/>
      <c r="E353" s="20"/>
      <c r="F353" s="19"/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>
      <c r="A354" s="20"/>
      <c r="B354" s="20"/>
      <c r="C354" s="20"/>
      <c r="D354" s="20"/>
      <c r="E354" s="20"/>
      <c r="F354" s="19"/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>
      <c r="A355" s="20"/>
      <c r="B355" s="20"/>
      <c r="C355" s="20"/>
      <c r="D355" s="20"/>
      <c r="E355" s="20"/>
      <c r="F355" s="19"/>
      <c r="G355" s="19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>
      <c r="A356" s="20"/>
      <c r="B356" s="20"/>
      <c r="C356" s="20"/>
      <c r="D356" s="20"/>
      <c r="E356" s="20"/>
      <c r="F356" s="19"/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>
      <c r="A357" s="20"/>
      <c r="B357" s="20"/>
      <c r="C357" s="20"/>
      <c r="D357" s="20"/>
      <c r="E357" s="20"/>
      <c r="F357" s="19"/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>
      <c r="A358" s="20"/>
      <c r="B358" s="20"/>
      <c r="C358" s="20"/>
      <c r="D358" s="20"/>
      <c r="E358" s="20"/>
      <c r="F358" s="19"/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>
      <c r="A359" s="20"/>
      <c r="B359" s="20"/>
      <c r="C359" s="20"/>
      <c r="D359" s="20"/>
      <c r="E359" s="20"/>
      <c r="F359" s="19"/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>
      <c r="A360" s="20"/>
      <c r="B360" s="20"/>
      <c r="C360" s="20"/>
      <c r="D360" s="20"/>
      <c r="E360" s="20"/>
      <c r="F360" s="19"/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>
      <c r="A361" s="20"/>
      <c r="B361" s="20"/>
      <c r="C361" s="20"/>
      <c r="D361" s="20"/>
      <c r="E361" s="20"/>
      <c r="F361" s="19"/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>
      <c r="A362" s="20"/>
      <c r="B362" s="20"/>
      <c r="C362" s="20"/>
      <c r="D362" s="20"/>
      <c r="E362" s="20"/>
      <c r="F362" s="19"/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>
      <c r="A363" s="20"/>
      <c r="B363" s="20"/>
      <c r="C363" s="20"/>
      <c r="D363" s="20"/>
      <c r="E363" s="20"/>
      <c r="F363" s="19"/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>
      <c r="A364" s="20"/>
      <c r="B364" s="20"/>
      <c r="C364" s="20"/>
      <c r="D364" s="20"/>
      <c r="E364" s="20"/>
      <c r="F364" s="19"/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>
      <c r="A365" s="20"/>
      <c r="B365" s="20"/>
      <c r="C365" s="20"/>
      <c r="D365" s="20"/>
      <c r="E365" s="20"/>
      <c r="F365" s="19"/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>
      <c r="A366" s="20"/>
      <c r="B366" s="20"/>
      <c r="C366" s="20"/>
      <c r="D366" s="20"/>
      <c r="E366" s="20"/>
      <c r="F366" s="19"/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>
      <c r="A367" s="20"/>
      <c r="B367" s="20"/>
      <c r="C367" s="20"/>
      <c r="D367" s="20"/>
      <c r="E367" s="20"/>
      <c r="F367" s="19"/>
      <c r="G367" s="19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>
      <c r="A368" s="20"/>
      <c r="B368" s="20"/>
      <c r="C368" s="20"/>
      <c r="D368" s="20"/>
      <c r="E368" s="20"/>
      <c r="F368" s="19"/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>
      <c r="A369" s="20"/>
      <c r="B369" s="20"/>
      <c r="C369" s="20"/>
      <c r="D369" s="20"/>
      <c r="E369" s="20"/>
      <c r="F369" s="19"/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>
      <c r="A370" s="20"/>
      <c r="B370" s="20"/>
      <c r="C370" s="20"/>
      <c r="D370" s="20"/>
      <c r="E370" s="20"/>
      <c r="F370" s="19"/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>
      <c r="A371" s="20"/>
      <c r="B371" s="20"/>
      <c r="C371" s="20"/>
      <c r="D371" s="20"/>
      <c r="E371" s="20"/>
      <c r="F371" s="19"/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20"/>
      <c r="B372" s="20"/>
      <c r="C372" s="20"/>
      <c r="D372" s="20"/>
      <c r="E372" s="20"/>
      <c r="F372" s="19"/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>
      <c r="A373" s="20"/>
      <c r="B373" s="20"/>
      <c r="C373" s="20"/>
      <c r="D373" s="20"/>
      <c r="E373" s="20"/>
      <c r="F373" s="19"/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>
      <c r="A374" s="20"/>
      <c r="B374" s="20"/>
      <c r="C374" s="20"/>
      <c r="D374" s="20"/>
      <c r="E374" s="20"/>
      <c r="F374" s="19"/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>
      <c r="A375" s="20"/>
      <c r="B375" s="20"/>
      <c r="C375" s="20"/>
      <c r="D375" s="20"/>
      <c r="E375" s="20"/>
      <c r="F375" s="19"/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>
      <c r="A376" s="20"/>
      <c r="B376" s="20"/>
      <c r="C376" s="20"/>
      <c r="D376" s="20"/>
      <c r="E376" s="20"/>
      <c r="F376" s="19"/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>
      <c r="A377" s="20"/>
      <c r="B377" s="20"/>
      <c r="C377" s="20"/>
      <c r="D377" s="20"/>
      <c r="E377" s="20"/>
      <c r="F377" s="19"/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>
      <c r="A378" s="20"/>
      <c r="B378" s="20"/>
      <c r="C378" s="20"/>
      <c r="D378" s="20"/>
      <c r="E378" s="20"/>
      <c r="F378" s="19"/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>
      <c r="A379" s="20"/>
      <c r="B379" s="20"/>
      <c r="C379" s="20"/>
      <c r="D379" s="20"/>
      <c r="E379" s="20"/>
      <c r="F379" s="19"/>
      <c r="G379" s="19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>
      <c r="A380" s="20"/>
      <c r="B380" s="20"/>
      <c r="C380" s="20"/>
      <c r="D380" s="20"/>
      <c r="E380" s="20"/>
      <c r="F380" s="19"/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>
      <c r="A381" s="20"/>
      <c r="B381" s="20"/>
      <c r="C381" s="20"/>
      <c r="D381" s="20"/>
      <c r="E381" s="20"/>
      <c r="F381" s="19"/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20"/>
      <c r="B382" s="20"/>
      <c r="C382" s="20"/>
      <c r="D382" s="20"/>
      <c r="E382" s="20"/>
      <c r="F382" s="19"/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>
      <c r="A383" s="20"/>
      <c r="B383" s="20"/>
      <c r="C383" s="20"/>
      <c r="D383" s="20"/>
      <c r="E383" s="20"/>
      <c r="F383" s="19"/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>
      <c r="A384" s="20"/>
      <c r="B384" s="20"/>
      <c r="C384" s="20"/>
      <c r="D384" s="20"/>
      <c r="E384" s="20"/>
      <c r="F384" s="19"/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>
      <c r="A385" s="20"/>
      <c r="B385" s="20"/>
      <c r="C385" s="20"/>
      <c r="D385" s="20"/>
      <c r="E385" s="20"/>
      <c r="F385" s="19"/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>
      <c r="A386" s="20"/>
      <c r="B386" s="20"/>
      <c r="C386" s="20"/>
      <c r="D386" s="20"/>
      <c r="E386" s="20"/>
      <c r="F386" s="19"/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>
      <c r="A387" s="20"/>
      <c r="B387" s="20"/>
      <c r="C387" s="20"/>
      <c r="D387" s="20"/>
      <c r="E387" s="20"/>
      <c r="F387" s="19"/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>
      <c r="A388" s="20"/>
      <c r="B388" s="20"/>
      <c r="C388" s="20"/>
      <c r="D388" s="20"/>
      <c r="E388" s="20"/>
      <c r="F388" s="19"/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>
      <c r="A389" s="20"/>
      <c r="B389" s="20"/>
      <c r="C389" s="20"/>
      <c r="D389" s="20"/>
      <c r="E389" s="20"/>
      <c r="F389" s="19"/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>
      <c r="A390" s="20"/>
      <c r="B390" s="20"/>
      <c r="C390" s="20"/>
      <c r="D390" s="20"/>
      <c r="E390" s="20"/>
      <c r="F390" s="19"/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>
      <c r="A391" s="20"/>
      <c r="B391" s="20"/>
      <c r="C391" s="20"/>
      <c r="D391" s="20"/>
      <c r="E391" s="20"/>
      <c r="F391" s="19"/>
      <c r="G391" s="19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>
      <c r="A392" s="20"/>
      <c r="B392" s="20"/>
      <c r="C392" s="20"/>
      <c r="D392" s="20"/>
      <c r="E392" s="20"/>
      <c r="F392" s="19"/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>
      <c r="A393" s="20"/>
      <c r="B393" s="20"/>
      <c r="C393" s="20"/>
      <c r="D393" s="20"/>
      <c r="E393" s="20"/>
      <c r="F393" s="19"/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>
      <c r="A394" s="20"/>
      <c r="B394" s="20"/>
      <c r="C394" s="20"/>
      <c r="D394" s="20"/>
      <c r="E394" s="20"/>
      <c r="F394" s="19"/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>
      <c r="A395" s="20"/>
      <c r="B395" s="20"/>
      <c r="C395" s="20"/>
      <c r="D395" s="20"/>
      <c r="E395" s="20"/>
      <c r="F395" s="19"/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>
      <c r="A396" s="20"/>
      <c r="B396" s="20"/>
      <c r="C396" s="20"/>
      <c r="D396" s="20"/>
      <c r="E396" s="20"/>
      <c r="F396" s="19"/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>
      <c r="A397" s="20"/>
      <c r="B397" s="20"/>
      <c r="C397" s="20"/>
      <c r="D397" s="20"/>
      <c r="E397" s="20"/>
      <c r="F397" s="19"/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>
      <c r="A398" s="20"/>
      <c r="B398" s="20"/>
      <c r="C398" s="20"/>
      <c r="D398" s="20"/>
      <c r="E398" s="20"/>
      <c r="F398" s="19"/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>
      <c r="A399" s="20"/>
      <c r="B399" s="20"/>
      <c r="C399" s="20"/>
      <c r="D399" s="20"/>
      <c r="E399" s="20"/>
      <c r="F399" s="19"/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>
      <c r="A400" s="20"/>
      <c r="B400" s="20"/>
      <c r="C400" s="20"/>
      <c r="D400" s="20"/>
      <c r="E400" s="20"/>
      <c r="F400" s="19"/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>
      <c r="A401" s="20"/>
      <c r="B401" s="20"/>
      <c r="C401" s="20"/>
      <c r="D401" s="20"/>
      <c r="E401" s="20"/>
      <c r="F401" s="19"/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>
      <c r="A402" s="20"/>
      <c r="B402" s="20"/>
      <c r="C402" s="20"/>
      <c r="D402" s="20"/>
      <c r="E402" s="20"/>
      <c r="F402" s="19"/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>
      <c r="A403" s="20"/>
      <c r="B403" s="20"/>
      <c r="C403" s="20"/>
      <c r="D403" s="20"/>
      <c r="E403" s="20"/>
      <c r="F403" s="19"/>
      <c r="G403" s="19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>
      <c r="A404" s="20"/>
      <c r="B404" s="20"/>
      <c r="C404" s="20"/>
      <c r="D404" s="20"/>
      <c r="E404" s="20"/>
      <c r="F404" s="19"/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>
      <c r="A405" s="20"/>
      <c r="B405" s="20"/>
      <c r="C405" s="20"/>
      <c r="D405" s="20"/>
      <c r="E405" s="20"/>
      <c r="F405" s="19"/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>
      <c r="A406" s="20"/>
      <c r="B406" s="20"/>
      <c r="C406" s="20"/>
      <c r="D406" s="20"/>
      <c r="E406" s="20"/>
      <c r="F406" s="19"/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>
      <c r="A407" s="20"/>
      <c r="B407" s="20"/>
      <c r="C407" s="20"/>
      <c r="D407" s="20"/>
      <c r="E407" s="20"/>
      <c r="F407" s="19"/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>
      <c r="A408" s="20"/>
      <c r="B408" s="20"/>
      <c r="C408" s="20"/>
      <c r="D408" s="20"/>
      <c r="E408" s="20"/>
      <c r="F408" s="19"/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>
      <c r="A409" s="20"/>
      <c r="B409" s="20"/>
      <c r="C409" s="20"/>
      <c r="D409" s="20"/>
      <c r="E409" s="20"/>
      <c r="F409" s="19"/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>
      <c r="A410" s="20"/>
      <c r="B410" s="20"/>
      <c r="C410" s="20"/>
      <c r="D410" s="20"/>
      <c r="E410" s="20"/>
      <c r="F410" s="19"/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>
      <c r="A411" s="20"/>
      <c r="B411" s="20"/>
      <c r="C411" s="20"/>
      <c r="D411" s="20"/>
      <c r="E411" s="20"/>
      <c r="F411" s="19"/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>
      <c r="A412" s="20"/>
      <c r="B412" s="20"/>
      <c r="C412" s="20"/>
      <c r="D412" s="20"/>
      <c r="E412" s="20"/>
      <c r="F412" s="19"/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>
      <c r="A413" s="20"/>
      <c r="B413" s="20"/>
      <c r="C413" s="20"/>
      <c r="D413" s="20"/>
      <c r="E413" s="20"/>
      <c r="F413" s="19"/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>
      <c r="A414" s="20"/>
      <c r="B414" s="20"/>
      <c r="C414" s="20"/>
      <c r="D414" s="20"/>
      <c r="E414" s="20"/>
      <c r="F414" s="19"/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>
      <c r="A415" s="20"/>
      <c r="B415" s="20"/>
      <c r="C415" s="20"/>
      <c r="D415" s="20"/>
      <c r="E415" s="20"/>
      <c r="F415" s="19"/>
      <c r="G415" s="19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>
      <c r="A416" s="20"/>
      <c r="B416" s="20"/>
      <c r="C416" s="20"/>
      <c r="D416" s="20"/>
      <c r="E416" s="20"/>
      <c r="F416" s="19"/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>
      <c r="A417" s="20"/>
      <c r="B417" s="20"/>
      <c r="C417" s="20"/>
      <c r="D417" s="20"/>
      <c r="E417" s="20"/>
      <c r="F417" s="19"/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>
      <c r="A418" s="20"/>
      <c r="B418" s="20"/>
      <c r="C418" s="20"/>
      <c r="D418" s="20"/>
      <c r="E418" s="20"/>
      <c r="F418" s="19"/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>
      <c r="A419" s="20"/>
      <c r="B419" s="20"/>
      <c r="C419" s="20"/>
      <c r="D419" s="20"/>
      <c r="E419" s="20"/>
      <c r="F419" s="19"/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>
      <c r="A420" s="20"/>
      <c r="B420" s="20"/>
      <c r="C420" s="20"/>
      <c r="D420" s="20"/>
      <c r="E420" s="20"/>
      <c r="F420" s="19"/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>
      <c r="A421" s="20"/>
      <c r="B421" s="20"/>
      <c r="C421" s="20"/>
      <c r="D421" s="20"/>
      <c r="E421" s="20"/>
      <c r="F421" s="19"/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>
      <c r="A422" s="20"/>
      <c r="B422" s="20"/>
      <c r="C422" s="20"/>
      <c r="D422" s="20"/>
      <c r="E422" s="20"/>
      <c r="F422" s="19"/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>
      <c r="A423" s="20"/>
      <c r="B423" s="20"/>
      <c r="C423" s="20"/>
      <c r="D423" s="20"/>
      <c r="E423" s="20"/>
      <c r="F423" s="19"/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>
      <c r="A424" s="20"/>
      <c r="B424" s="20"/>
      <c r="C424" s="20"/>
      <c r="D424" s="20"/>
      <c r="E424" s="20"/>
      <c r="F424" s="19"/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>
      <c r="A425" s="20"/>
      <c r="B425" s="20"/>
      <c r="C425" s="20"/>
      <c r="D425" s="20"/>
      <c r="E425" s="20"/>
      <c r="F425" s="19"/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>
      <c r="A426" s="20"/>
      <c r="B426" s="20"/>
      <c r="C426" s="20"/>
      <c r="D426" s="20"/>
      <c r="E426" s="20"/>
      <c r="F426" s="19"/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>
      <c r="A427" s="20"/>
      <c r="B427" s="20"/>
      <c r="C427" s="20"/>
      <c r="D427" s="20"/>
      <c r="E427" s="20"/>
      <c r="F427" s="19"/>
      <c r="G427" s="19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>
      <c r="A428" s="20"/>
      <c r="B428" s="20"/>
      <c r="C428" s="20"/>
      <c r="D428" s="20"/>
      <c r="E428" s="20"/>
      <c r="F428" s="19"/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>
      <c r="A429" s="20"/>
      <c r="B429" s="20"/>
      <c r="C429" s="20"/>
      <c r="D429" s="20"/>
      <c r="E429" s="20"/>
      <c r="F429" s="19"/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>
      <c r="A430" s="20"/>
      <c r="B430" s="20"/>
      <c r="C430" s="20"/>
      <c r="D430" s="20"/>
      <c r="E430" s="20"/>
      <c r="F430" s="19"/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>
      <c r="A431" s="20"/>
      <c r="B431" s="20"/>
      <c r="C431" s="20"/>
      <c r="D431" s="20"/>
      <c r="E431" s="20"/>
      <c r="F431" s="19"/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>
      <c r="A432" s="20"/>
      <c r="B432" s="20"/>
      <c r="C432" s="20"/>
      <c r="D432" s="20"/>
      <c r="E432" s="20"/>
      <c r="F432" s="19"/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>
      <c r="A433" s="20"/>
      <c r="B433" s="20"/>
      <c r="C433" s="20"/>
      <c r="D433" s="20"/>
      <c r="E433" s="20"/>
      <c r="F433" s="19"/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>
      <c r="A434" s="20"/>
      <c r="B434" s="20"/>
      <c r="C434" s="20"/>
      <c r="D434" s="20"/>
      <c r="E434" s="20"/>
      <c r="F434" s="19"/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>
      <c r="A435" s="20"/>
      <c r="B435" s="20"/>
      <c r="C435" s="20"/>
      <c r="D435" s="20"/>
      <c r="E435" s="20"/>
      <c r="F435" s="19"/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>
      <c r="A436" s="20"/>
      <c r="B436" s="20"/>
      <c r="C436" s="20"/>
      <c r="D436" s="20"/>
      <c r="E436" s="20"/>
      <c r="F436" s="19"/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>
      <c r="A437" s="20"/>
      <c r="B437" s="20"/>
      <c r="C437" s="20"/>
      <c r="D437" s="20"/>
      <c r="E437" s="20"/>
      <c r="F437" s="19"/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>
      <c r="A438" s="20"/>
      <c r="B438" s="20"/>
      <c r="C438" s="20"/>
      <c r="D438" s="20"/>
      <c r="E438" s="20"/>
      <c r="F438" s="19"/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>
      <c r="A439" s="20"/>
      <c r="B439" s="20"/>
      <c r="C439" s="20"/>
      <c r="D439" s="20"/>
      <c r="E439" s="20"/>
      <c r="F439" s="19"/>
      <c r="G439" s="19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>
      <c r="A440" s="20"/>
      <c r="B440" s="20"/>
      <c r="C440" s="20"/>
      <c r="D440" s="20"/>
      <c r="E440" s="20"/>
      <c r="F440" s="19"/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>
      <c r="A441" s="20"/>
      <c r="B441" s="20"/>
      <c r="C441" s="20"/>
      <c r="D441" s="20"/>
      <c r="E441" s="20"/>
      <c r="F441" s="19"/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>
      <c r="A442" s="20"/>
      <c r="B442" s="20"/>
      <c r="C442" s="20"/>
      <c r="D442" s="20"/>
      <c r="E442" s="20"/>
      <c r="F442" s="19"/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>
      <c r="A443" s="20"/>
      <c r="B443" s="20"/>
      <c r="C443" s="20"/>
      <c r="D443" s="20"/>
      <c r="E443" s="20"/>
      <c r="F443" s="19"/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>
      <c r="A444" s="20"/>
      <c r="B444" s="20"/>
      <c r="C444" s="20"/>
      <c r="D444" s="20"/>
      <c r="E444" s="20"/>
      <c r="F444" s="19"/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>
      <c r="A445" s="20"/>
      <c r="B445" s="20"/>
      <c r="C445" s="20"/>
      <c r="D445" s="20"/>
      <c r="E445" s="20"/>
      <c r="F445" s="19"/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>
      <c r="A446" s="20"/>
      <c r="B446" s="20"/>
      <c r="C446" s="20"/>
      <c r="D446" s="20"/>
      <c r="E446" s="20"/>
      <c r="F446" s="19"/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>
      <c r="A447" s="20"/>
      <c r="B447" s="20"/>
      <c r="C447" s="20"/>
      <c r="D447" s="20"/>
      <c r="E447" s="20"/>
      <c r="F447" s="19"/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>
      <c r="A448" s="20"/>
      <c r="B448" s="20"/>
      <c r="C448" s="20"/>
      <c r="D448" s="20"/>
      <c r="E448" s="20"/>
      <c r="F448" s="19"/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>
      <c r="A449" s="20"/>
      <c r="B449" s="20"/>
      <c r="C449" s="20"/>
      <c r="D449" s="20"/>
      <c r="E449" s="20"/>
      <c r="F449" s="19"/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>
      <c r="A450" s="20"/>
      <c r="B450" s="20"/>
      <c r="C450" s="20"/>
      <c r="D450" s="20"/>
      <c r="E450" s="20"/>
      <c r="F450" s="19"/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>
      <c r="A451" s="20"/>
      <c r="B451" s="20"/>
      <c r="C451" s="20"/>
      <c r="D451" s="20"/>
      <c r="E451" s="20"/>
      <c r="F451" s="19"/>
      <c r="G451" s="19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>
      <c r="A452" s="20"/>
      <c r="B452" s="20"/>
      <c r="C452" s="20"/>
      <c r="D452" s="20"/>
      <c r="E452" s="20"/>
      <c r="F452" s="19"/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>
      <c r="A453" s="20"/>
      <c r="B453" s="20"/>
      <c r="C453" s="20"/>
      <c r="D453" s="20"/>
      <c r="E453" s="20"/>
      <c r="F453" s="19"/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>
      <c r="A454" s="20"/>
      <c r="B454" s="20"/>
      <c r="C454" s="20"/>
      <c r="D454" s="20"/>
      <c r="E454" s="20"/>
      <c r="F454" s="19"/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>
      <c r="A455" s="20"/>
      <c r="B455" s="20"/>
      <c r="C455" s="20"/>
      <c r="D455" s="20"/>
      <c r="E455" s="20"/>
      <c r="F455" s="19"/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>
      <c r="A456" s="20"/>
      <c r="B456" s="20"/>
      <c r="C456" s="20"/>
      <c r="D456" s="20"/>
      <c r="E456" s="20"/>
      <c r="F456" s="19"/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>
      <c r="A457" s="20"/>
      <c r="B457" s="20"/>
      <c r="C457" s="20"/>
      <c r="D457" s="20"/>
      <c r="E457" s="20"/>
      <c r="F457" s="19"/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>
      <c r="A458" s="20"/>
      <c r="B458" s="20"/>
      <c r="C458" s="20"/>
      <c r="D458" s="20"/>
      <c r="E458" s="20"/>
      <c r="F458" s="19"/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>
      <c r="A459" s="20"/>
      <c r="B459" s="20"/>
      <c r="C459" s="20"/>
      <c r="D459" s="20"/>
      <c r="E459" s="20"/>
      <c r="F459" s="19"/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>
      <c r="A460" s="20"/>
      <c r="B460" s="20"/>
      <c r="C460" s="20"/>
      <c r="D460" s="20"/>
      <c r="E460" s="20"/>
      <c r="F460" s="19"/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>
      <c r="A461" s="20"/>
      <c r="B461" s="20"/>
      <c r="C461" s="20"/>
      <c r="D461" s="20"/>
      <c r="E461" s="20"/>
      <c r="F461" s="19"/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>
      <c r="A462" s="20"/>
      <c r="B462" s="20"/>
      <c r="C462" s="20"/>
      <c r="D462" s="20"/>
      <c r="E462" s="20"/>
      <c r="F462" s="19"/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>
      <c r="A463" s="20"/>
      <c r="B463" s="20"/>
      <c r="C463" s="20"/>
      <c r="D463" s="20"/>
      <c r="E463" s="20"/>
      <c r="F463" s="19"/>
      <c r="G463" s="19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>
      <c r="A464" s="20"/>
      <c r="B464" s="20"/>
      <c r="C464" s="20"/>
      <c r="D464" s="20"/>
      <c r="E464" s="20"/>
      <c r="F464" s="19"/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>
      <c r="A465" s="20"/>
      <c r="B465" s="20"/>
      <c r="C465" s="20"/>
      <c r="D465" s="20"/>
      <c r="E465" s="20"/>
      <c r="F465" s="19"/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>
      <c r="A466" s="20"/>
      <c r="B466" s="20"/>
      <c r="C466" s="20"/>
      <c r="D466" s="20"/>
      <c r="E466" s="20"/>
      <c r="F466" s="19"/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>
      <c r="A467" s="20"/>
      <c r="B467" s="20"/>
      <c r="C467" s="20"/>
      <c r="D467" s="20"/>
      <c r="E467" s="20"/>
      <c r="F467" s="19"/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>
      <c r="A468" s="20"/>
      <c r="B468" s="20"/>
      <c r="C468" s="20"/>
      <c r="D468" s="20"/>
      <c r="E468" s="20"/>
      <c r="F468" s="19"/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>
      <c r="A469" s="20"/>
      <c r="B469" s="20"/>
      <c r="C469" s="20"/>
      <c r="D469" s="20"/>
      <c r="E469" s="20"/>
      <c r="F469" s="19"/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>
      <c r="A470" s="20"/>
      <c r="B470" s="20"/>
      <c r="C470" s="20"/>
      <c r="D470" s="20"/>
      <c r="E470" s="20"/>
      <c r="F470" s="19"/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>
      <c r="A471" s="20"/>
      <c r="B471" s="20"/>
      <c r="C471" s="20"/>
      <c r="D471" s="20"/>
      <c r="E471" s="20"/>
      <c r="F471" s="19"/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>
      <c r="A472" s="20"/>
      <c r="B472" s="20"/>
      <c r="C472" s="20"/>
      <c r="D472" s="20"/>
      <c r="E472" s="20"/>
      <c r="F472" s="19"/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>
      <c r="A473" s="20"/>
      <c r="B473" s="20"/>
      <c r="C473" s="20"/>
      <c r="D473" s="20"/>
      <c r="E473" s="20"/>
      <c r="F473" s="19"/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>
      <c r="A474" s="20"/>
      <c r="B474" s="20"/>
      <c r="C474" s="20"/>
      <c r="D474" s="20"/>
      <c r="E474" s="20"/>
      <c r="F474" s="19"/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>
      <c r="A475" s="20"/>
      <c r="B475" s="20"/>
      <c r="C475" s="20"/>
      <c r="D475" s="20"/>
      <c r="E475" s="20"/>
      <c r="F475" s="19"/>
      <c r="G475" s="19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>
      <c r="A476" s="20"/>
      <c r="B476" s="20"/>
      <c r="C476" s="20"/>
      <c r="D476" s="20"/>
      <c r="E476" s="20"/>
      <c r="F476" s="19"/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>
      <c r="A477" s="20"/>
      <c r="B477" s="20"/>
      <c r="C477" s="20"/>
      <c r="D477" s="20"/>
      <c r="E477" s="20"/>
      <c r="F477" s="19"/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>
      <c r="A478" s="20"/>
      <c r="B478" s="20"/>
      <c r="C478" s="20"/>
      <c r="D478" s="20"/>
      <c r="E478" s="20"/>
      <c r="F478" s="19"/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>
      <c r="A479" s="20"/>
      <c r="B479" s="20"/>
      <c r="C479" s="20"/>
      <c r="D479" s="20"/>
      <c r="E479" s="20"/>
      <c r="F479" s="19"/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>
      <c r="A480" s="20"/>
      <c r="B480" s="20"/>
      <c r="C480" s="20"/>
      <c r="D480" s="20"/>
      <c r="E480" s="20"/>
      <c r="F480" s="19"/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>
      <c r="A481" s="20"/>
      <c r="B481" s="20"/>
      <c r="C481" s="20"/>
      <c r="D481" s="20"/>
      <c r="E481" s="20"/>
      <c r="F481" s="19"/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>
      <c r="A482" s="20"/>
      <c r="B482" s="20"/>
      <c r="C482" s="20"/>
      <c r="D482" s="20"/>
      <c r="E482" s="20"/>
      <c r="F482" s="19"/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>
      <c r="A483" s="20"/>
      <c r="B483" s="20"/>
      <c r="C483" s="20"/>
      <c r="D483" s="20"/>
      <c r="E483" s="20"/>
      <c r="F483" s="19"/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>
      <c r="A484" s="20"/>
      <c r="B484" s="20"/>
      <c r="C484" s="20"/>
      <c r="D484" s="20"/>
      <c r="E484" s="20"/>
      <c r="F484" s="19"/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>
      <c r="A485" s="20"/>
      <c r="B485" s="20"/>
      <c r="C485" s="20"/>
      <c r="D485" s="20"/>
      <c r="E485" s="20"/>
      <c r="F485" s="19"/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>
      <c r="A486" s="20"/>
      <c r="B486" s="20"/>
      <c r="C486" s="20"/>
      <c r="D486" s="20"/>
      <c r="E486" s="20"/>
      <c r="F486" s="19"/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>
      <c r="A487" s="20"/>
      <c r="B487" s="20"/>
      <c r="C487" s="20"/>
      <c r="D487" s="20"/>
      <c r="E487" s="20"/>
      <c r="F487" s="19"/>
      <c r="G487" s="19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>
      <c r="A488" s="20"/>
      <c r="B488" s="20"/>
      <c r="C488" s="20"/>
      <c r="D488" s="20"/>
      <c r="E488" s="20"/>
      <c r="F488" s="19"/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>
      <c r="A489" s="20"/>
      <c r="B489" s="20"/>
      <c r="C489" s="20"/>
      <c r="D489" s="20"/>
      <c r="E489" s="20"/>
      <c r="F489" s="19"/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>
      <c r="A490" s="20"/>
      <c r="B490" s="20"/>
      <c r="C490" s="20"/>
      <c r="D490" s="20"/>
      <c r="E490" s="20"/>
      <c r="F490" s="19"/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>
      <c r="A491" s="20"/>
      <c r="B491" s="20"/>
      <c r="C491" s="20"/>
      <c r="D491" s="20"/>
      <c r="E491" s="20"/>
      <c r="F491" s="19"/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>
      <c r="A492" s="20"/>
      <c r="B492" s="20"/>
      <c r="C492" s="20"/>
      <c r="D492" s="20"/>
      <c r="E492" s="20"/>
      <c r="F492" s="19"/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>
      <c r="A493" s="20"/>
      <c r="B493" s="20"/>
      <c r="C493" s="20"/>
      <c r="D493" s="20"/>
      <c r="E493" s="20"/>
      <c r="F493" s="19"/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>
      <c r="A494" s="20"/>
      <c r="B494" s="20"/>
      <c r="C494" s="20"/>
      <c r="D494" s="20"/>
      <c r="E494" s="20"/>
      <c r="F494" s="19"/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>
      <c r="A495" s="20"/>
      <c r="B495" s="20"/>
      <c r="C495" s="20"/>
      <c r="D495" s="20"/>
      <c r="E495" s="20"/>
      <c r="F495" s="19"/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>
      <c r="A496" s="20"/>
      <c r="B496" s="20"/>
      <c r="C496" s="20"/>
      <c r="D496" s="20"/>
      <c r="E496" s="20"/>
      <c r="F496" s="19"/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>
      <c r="A497" s="20"/>
      <c r="B497" s="20"/>
      <c r="C497" s="20"/>
      <c r="D497" s="20"/>
      <c r="E497" s="20"/>
      <c r="F497" s="19"/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>
      <c r="A498" s="20"/>
      <c r="B498" s="20"/>
      <c r="C498" s="20"/>
      <c r="D498" s="20"/>
      <c r="E498" s="20"/>
      <c r="F498" s="19"/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>
      <c r="A499" s="20"/>
      <c r="B499" s="20"/>
      <c r="C499" s="20"/>
      <c r="D499" s="20"/>
      <c r="E499" s="20"/>
      <c r="F499" s="19"/>
      <c r="G499" s="19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>
      <c r="A500" s="20"/>
      <c r="B500" s="20"/>
      <c r="C500" s="20"/>
      <c r="D500" s="20"/>
      <c r="E500" s="20"/>
      <c r="F500" s="19"/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>
      <c r="A501" s="20"/>
      <c r="B501" s="20"/>
      <c r="C501" s="20"/>
      <c r="D501" s="20"/>
      <c r="E501" s="20"/>
      <c r="F501" s="19"/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>
      <c r="A502" s="20"/>
      <c r="B502" s="20"/>
      <c r="C502" s="20"/>
      <c r="D502" s="20"/>
      <c r="E502" s="20"/>
      <c r="F502" s="19"/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>
      <c r="A503" s="20"/>
      <c r="B503" s="20"/>
      <c r="C503" s="20"/>
      <c r="D503" s="20"/>
      <c r="E503" s="20"/>
      <c r="F503" s="19"/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>
      <c r="A504" s="20"/>
      <c r="B504" s="20"/>
      <c r="C504" s="20"/>
      <c r="D504" s="20"/>
      <c r="E504" s="20"/>
      <c r="F504" s="19"/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>
      <c r="A505" s="20"/>
      <c r="B505" s="20"/>
      <c r="C505" s="20"/>
      <c r="D505" s="20"/>
      <c r="E505" s="20"/>
      <c r="F505" s="19"/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>
      <c r="A506" s="20"/>
      <c r="B506" s="20"/>
      <c r="C506" s="20"/>
      <c r="D506" s="20"/>
      <c r="E506" s="20"/>
      <c r="F506" s="19"/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>
      <c r="A507" s="20"/>
      <c r="B507" s="20"/>
      <c r="C507" s="20"/>
      <c r="D507" s="20"/>
      <c r="E507" s="20"/>
      <c r="F507" s="19"/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>
      <c r="A508" s="20"/>
      <c r="B508" s="20"/>
      <c r="C508" s="20"/>
      <c r="D508" s="20"/>
      <c r="E508" s="20"/>
      <c r="F508" s="19"/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>
      <c r="A509" s="20"/>
      <c r="B509" s="20"/>
      <c r="C509" s="20"/>
      <c r="D509" s="20"/>
      <c r="E509" s="20"/>
      <c r="F509" s="19"/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>
      <c r="A510" s="20"/>
      <c r="B510" s="20"/>
      <c r="C510" s="20"/>
      <c r="D510" s="20"/>
      <c r="E510" s="20"/>
      <c r="F510" s="19"/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>
      <c r="A511" s="20"/>
      <c r="B511" s="20"/>
      <c r="C511" s="20"/>
      <c r="D511" s="20"/>
      <c r="E511" s="20"/>
      <c r="F511" s="19"/>
      <c r="G511" s="19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>
      <c r="A512" s="20"/>
      <c r="B512" s="20"/>
      <c r="C512" s="20"/>
      <c r="D512" s="20"/>
      <c r="E512" s="20"/>
      <c r="F512" s="19"/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>
      <c r="A513" s="20"/>
      <c r="B513" s="20"/>
      <c r="C513" s="20"/>
      <c r="D513" s="20"/>
      <c r="E513" s="20"/>
      <c r="F513" s="19"/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>
      <c r="A514" s="20"/>
      <c r="B514" s="20"/>
      <c r="C514" s="20"/>
      <c r="D514" s="20"/>
      <c r="E514" s="20"/>
      <c r="F514" s="19"/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>
      <c r="A515" s="20"/>
      <c r="B515" s="20"/>
      <c r="C515" s="20"/>
      <c r="D515" s="20"/>
      <c r="E515" s="20"/>
      <c r="F515" s="19"/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>
      <c r="A516" s="20"/>
      <c r="B516" s="20"/>
      <c r="C516" s="20"/>
      <c r="D516" s="20"/>
      <c r="E516" s="20"/>
      <c r="F516" s="19"/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>
      <c r="A517" s="20"/>
      <c r="B517" s="20"/>
      <c r="C517" s="20"/>
      <c r="D517" s="20"/>
      <c r="E517" s="20"/>
      <c r="F517" s="19"/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>
      <c r="A518" s="20"/>
      <c r="B518" s="20"/>
      <c r="C518" s="20"/>
      <c r="D518" s="20"/>
      <c r="E518" s="20"/>
      <c r="F518" s="19"/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>
      <c r="A519" s="20"/>
      <c r="B519" s="20"/>
      <c r="C519" s="20"/>
      <c r="D519" s="20"/>
      <c r="E519" s="20"/>
      <c r="F519" s="19"/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>
      <c r="A520" s="20"/>
      <c r="B520" s="20"/>
      <c r="C520" s="20"/>
      <c r="D520" s="20"/>
      <c r="E520" s="20"/>
      <c r="F520" s="19"/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>
      <c r="A521" s="20"/>
      <c r="B521" s="20"/>
      <c r="C521" s="20"/>
      <c r="D521" s="20"/>
      <c r="E521" s="20"/>
      <c r="F521" s="19"/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>
      <c r="A522" s="20"/>
      <c r="B522" s="20"/>
      <c r="C522" s="20"/>
      <c r="D522" s="20"/>
      <c r="E522" s="20"/>
      <c r="F522" s="19"/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>
      <c r="A523" s="20"/>
      <c r="B523" s="20"/>
      <c r="C523" s="20"/>
      <c r="D523" s="20"/>
      <c r="E523" s="20"/>
      <c r="F523" s="19"/>
      <c r="G523" s="19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>
      <c r="A524" s="20"/>
      <c r="B524" s="20"/>
      <c r="C524" s="20"/>
      <c r="D524" s="20"/>
      <c r="E524" s="20"/>
      <c r="F524" s="19"/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>
      <c r="A525" s="20"/>
      <c r="B525" s="20"/>
      <c r="C525" s="20"/>
      <c r="D525" s="20"/>
      <c r="E525" s="20"/>
      <c r="F525" s="19"/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>
      <c r="A526" s="20"/>
      <c r="B526" s="20"/>
      <c r="C526" s="20"/>
      <c r="D526" s="20"/>
      <c r="E526" s="20"/>
      <c r="F526" s="19"/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>
      <c r="A527" s="20"/>
      <c r="B527" s="20"/>
      <c r="C527" s="20"/>
      <c r="D527" s="20"/>
      <c r="E527" s="20"/>
      <c r="F527" s="19"/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>
      <c r="A528" s="20"/>
      <c r="B528" s="20"/>
      <c r="C528" s="20"/>
      <c r="D528" s="20"/>
      <c r="E528" s="20"/>
      <c r="F528" s="19"/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>
      <c r="A529" s="20"/>
      <c r="B529" s="20"/>
      <c r="C529" s="20"/>
      <c r="D529" s="20"/>
      <c r="E529" s="20"/>
      <c r="F529" s="19"/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>
      <c r="A530" s="20"/>
      <c r="B530" s="20"/>
      <c r="C530" s="20"/>
      <c r="D530" s="20"/>
      <c r="E530" s="20"/>
      <c r="F530" s="19"/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>
      <c r="A531" s="20"/>
      <c r="B531" s="20"/>
      <c r="C531" s="20"/>
      <c r="D531" s="20"/>
      <c r="E531" s="20"/>
      <c r="F531" s="19"/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>
      <c r="A532" s="20"/>
      <c r="B532" s="20"/>
      <c r="C532" s="20"/>
      <c r="D532" s="20"/>
      <c r="E532" s="20"/>
      <c r="F532" s="19"/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>
      <c r="A533" s="20"/>
      <c r="B533" s="20"/>
      <c r="C533" s="20"/>
      <c r="D533" s="20"/>
      <c r="E533" s="20"/>
      <c r="F533" s="19"/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>
      <c r="A534" s="20"/>
      <c r="B534" s="20"/>
      <c r="C534" s="20"/>
      <c r="D534" s="20"/>
      <c r="E534" s="20"/>
      <c r="F534" s="19"/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>
      <c r="A535" s="20"/>
      <c r="B535" s="20"/>
      <c r="C535" s="20"/>
      <c r="D535" s="20"/>
      <c r="E535" s="20"/>
      <c r="F535" s="19"/>
      <c r="G535" s="19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>
      <c r="A536" s="20"/>
      <c r="B536" s="20"/>
      <c r="C536" s="20"/>
      <c r="D536" s="20"/>
      <c r="E536" s="20"/>
      <c r="F536" s="19"/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>
      <c r="A537" s="20"/>
      <c r="B537" s="20"/>
      <c r="C537" s="20"/>
      <c r="D537" s="20"/>
      <c r="E537" s="20"/>
      <c r="F537" s="19"/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>
      <c r="A538" s="20"/>
      <c r="B538" s="20"/>
      <c r="C538" s="20"/>
      <c r="D538" s="20"/>
      <c r="E538" s="20"/>
      <c r="F538" s="19"/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>
      <c r="A539" s="20"/>
      <c r="B539" s="20"/>
      <c r="C539" s="20"/>
      <c r="D539" s="20"/>
      <c r="E539" s="20"/>
      <c r="F539" s="19"/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>
      <c r="A540" s="20"/>
      <c r="B540" s="20"/>
      <c r="C540" s="20"/>
      <c r="D540" s="20"/>
      <c r="E540" s="20"/>
      <c r="F540" s="19"/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>
      <c r="A541" s="20"/>
      <c r="B541" s="20"/>
      <c r="C541" s="20"/>
      <c r="D541" s="20"/>
      <c r="E541" s="20"/>
      <c r="F541" s="19"/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>
      <c r="A542" s="20"/>
      <c r="B542" s="20"/>
      <c r="C542" s="20"/>
      <c r="D542" s="20"/>
      <c r="E542" s="20"/>
      <c r="F542" s="19"/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>
      <c r="A543" s="20"/>
      <c r="B543" s="20"/>
      <c r="C543" s="20"/>
      <c r="D543" s="20"/>
      <c r="E543" s="20"/>
      <c r="F543" s="19"/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>
      <c r="A544" s="20"/>
      <c r="B544" s="20"/>
      <c r="C544" s="20"/>
      <c r="D544" s="20"/>
      <c r="E544" s="20"/>
      <c r="F544" s="19"/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>
      <c r="A545" s="20"/>
      <c r="B545" s="20"/>
      <c r="C545" s="20"/>
      <c r="D545" s="20"/>
      <c r="E545" s="20"/>
      <c r="F545" s="19"/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>
      <c r="A546" s="20"/>
      <c r="B546" s="20"/>
      <c r="C546" s="20"/>
      <c r="D546" s="20"/>
      <c r="E546" s="20"/>
      <c r="F546" s="19"/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>
      <c r="A547" s="20"/>
      <c r="B547" s="20"/>
      <c r="C547" s="20"/>
      <c r="D547" s="20"/>
      <c r="E547" s="20"/>
      <c r="F547" s="19"/>
      <c r="G547" s="19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>
      <c r="A548" s="20"/>
      <c r="B548" s="20"/>
      <c r="C548" s="20"/>
      <c r="D548" s="20"/>
      <c r="E548" s="20"/>
      <c r="F548" s="19"/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>
      <c r="A549" s="20"/>
      <c r="B549" s="20"/>
      <c r="C549" s="20"/>
      <c r="D549" s="20"/>
      <c r="E549" s="20"/>
      <c r="F549" s="19"/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>
      <c r="A550" s="20"/>
      <c r="B550" s="20"/>
      <c r="C550" s="20"/>
      <c r="D550" s="20"/>
      <c r="E550" s="20"/>
      <c r="F550" s="19"/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>
      <c r="A551" s="20"/>
      <c r="B551" s="20"/>
      <c r="C551" s="20"/>
      <c r="D551" s="20"/>
      <c r="E551" s="20"/>
      <c r="F551" s="19"/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>
      <c r="A552" s="20"/>
      <c r="B552" s="20"/>
      <c r="C552" s="20"/>
      <c r="D552" s="20"/>
      <c r="E552" s="20"/>
      <c r="F552" s="19"/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>
      <c r="A553" s="20"/>
      <c r="B553" s="20"/>
      <c r="C553" s="20"/>
      <c r="D553" s="20"/>
      <c r="E553" s="20"/>
      <c r="F553" s="19"/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>
      <c r="A554" s="20"/>
      <c r="B554" s="20"/>
      <c r="C554" s="20"/>
      <c r="D554" s="20"/>
      <c r="E554" s="20"/>
      <c r="F554" s="19"/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>
      <c r="A555" s="20"/>
      <c r="B555" s="20"/>
      <c r="C555" s="20"/>
      <c r="D555" s="20"/>
      <c r="E555" s="20"/>
      <c r="F555" s="19"/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>
      <c r="A556" s="20"/>
      <c r="B556" s="20"/>
      <c r="C556" s="20"/>
      <c r="D556" s="20"/>
      <c r="E556" s="20"/>
      <c r="F556" s="19"/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>
      <c r="A557" s="20"/>
      <c r="B557" s="20"/>
      <c r="C557" s="20"/>
      <c r="D557" s="20"/>
      <c r="E557" s="20"/>
      <c r="F557" s="19"/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>
      <c r="A558" s="20"/>
      <c r="B558" s="20"/>
      <c r="C558" s="20"/>
      <c r="D558" s="20"/>
      <c r="E558" s="20"/>
      <c r="F558" s="19"/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>
      <c r="A559" s="20"/>
      <c r="B559" s="20"/>
      <c r="C559" s="20"/>
      <c r="D559" s="20"/>
      <c r="E559" s="20"/>
      <c r="F559" s="19"/>
      <c r="G559" s="19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>
      <c r="A560" s="20"/>
      <c r="B560" s="20"/>
      <c r="C560" s="20"/>
      <c r="D560" s="20"/>
      <c r="E560" s="20"/>
      <c r="F560" s="19"/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>
      <c r="A561" s="20"/>
      <c r="B561" s="20"/>
      <c r="C561" s="20"/>
      <c r="D561" s="20"/>
      <c r="E561" s="20"/>
      <c r="F561" s="19"/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>
      <c r="A562" s="20"/>
      <c r="B562" s="20"/>
      <c r="C562" s="20"/>
      <c r="D562" s="20"/>
      <c r="E562" s="20"/>
      <c r="F562" s="19"/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>
      <c r="A563" s="20"/>
      <c r="B563" s="20"/>
      <c r="C563" s="20"/>
      <c r="D563" s="20"/>
      <c r="E563" s="20"/>
      <c r="F563" s="19"/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>
      <c r="A564" s="20"/>
      <c r="B564" s="20"/>
      <c r="C564" s="20"/>
      <c r="D564" s="20"/>
      <c r="E564" s="20"/>
      <c r="F564" s="19"/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>
      <c r="A565" s="20"/>
      <c r="B565" s="20"/>
      <c r="C565" s="20"/>
      <c r="D565" s="20"/>
      <c r="E565" s="20"/>
      <c r="F565" s="19"/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>
      <c r="A566" s="20"/>
      <c r="B566" s="20"/>
      <c r="C566" s="20"/>
      <c r="D566" s="20"/>
      <c r="E566" s="20"/>
      <c r="F566" s="19"/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>
      <c r="A567" s="20"/>
      <c r="B567" s="20"/>
      <c r="C567" s="20"/>
      <c r="D567" s="20"/>
      <c r="E567" s="20"/>
      <c r="F567" s="19"/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>
      <c r="A568" s="20"/>
      <c r="B568" s="20"/>
      <c r="C568" s="20"/>
      <c r="D568" s="20"/>
      <c r="E568" s="20"/>
      <c r="F568" s="19"/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>
      <c r="A569" s="20"/>
      <c r="B569" s="20"/>
      <c r="C569" s="20"/>
      <c r="D569" s="20"/>
      <c r="E569" s="20"/>
      <c r="F569" s="19"/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>
      <c r="A570" s="20"/>
      <c r="B570" s="20"/>
      <c r="C570" s="20"/>
      <c r="D570" s="20"/>
      <c r="E570" s="20"/>
      <c r="F570" s="19"/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>
      <c r="A571" s="20"/>
      <c r="B571" s="20"/>
      <c r="C571" s="20"/>
      <c r="D571" s="20"/>
      <c r="E571" s="20"/>
      <c r="F571" s="19"/>
      <c r="G571" s="19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>
      <c r="A572" s="20"/>
      <c r="B572" s="20"/>
      <c r="C572" s="20"/>
      <c r="D572" s="20"/>
      <c r="E572" s="20"/>
      <c r="F572" s="19"/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>
      <c r="A573" s="20"/>
      <c r="B573" s="20"/>
      <c r="C573" s="20"/>
      <c r="D573" s="20"/>
      <c r="E573" s="20"/>
      <c r="F573" s="19"/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>
      <c r="A574" s="20"/>
      <c r="B574" s="20"/>
      <c r="C574" s="20"/>
      <c r="D574" s="20"/>
      <c r="E574" s="20"/>
      <c r="F574" s="19"/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>
      <c r="A575" s="20"/>
      <c r="B575" s="20"/>
      <c r="C575" s="20"/>
      <c r="D575" s="20"/>
      <c r="E575" s="20"/>
      <c r="F575" s="19"/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>
      <c r="A576" s="20"/>
      <c r="B576" s="20"/>
      <c r="C576" s="20"/>
      <c r="D576" s="20"/>
      <c r="E576" s="20"/>
      <c r="F576" s="19"/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>
      <c r="A577" s="20"/>
      <c r="B577" s="20"/>
      <c r="C577" s="20"/>
      <c r="D577" s="20"/>
      <c r="E577" s="20"/>
      <c r="F577" s="19"/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>
      <c r="A578" s="20"/>
      <c r="B578" s="20"/>
      <c r="C578" s="20"/>
      <c r="D578" s="20"/>
      <c r="E578" s="20"/>
      <c r="F578" s="19"/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>
      <c r="A579" s="20"/>
      <c r="B579" s="20"/>
      <c r="C579" s="20"/>
      <c r="D579" s="20"/>
      <c r="E579" s="20"/>
      <c r="F579" s="19"/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>
      <c r="A580" s="20"/>
      <c r="B580" s="20"/>
      <c r="C580" s="20"/>
      <c r="D580" s="20"/>
      <c r="E580" s="20"/>
      <c r="F580" s="19"/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>
      <c r="A581" s="20"/>
      <c r="B581" s="20"/>
      <c r="C581" s="20"/>
      <c r="D581" s="20"/>
      <c r="E581" s="20"/>
      <c r="F581" s="19"/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>
      <c r="A582" s="20"/>
      <c r="B582" s="20"/>
      <c r="C582" s="20"/>
      <c r="D582" s="20"/>
      <c r="E582" s="20"/>
      <c r="F582" s="19"/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>
      <c r="A583" s="20"/>
      <c r="B583" s="20"/>
      <c r="C583" s="20"/>
      <c r="D583" s="20"/>
      <c r="E583" s="20"/>
      <c r="F583" s="19"/>
      <c r="G583" s="19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>
      <c r="A584" s="20"/>
      <c r="B584" s="20"/>
      <c r="C584" s="20"/>
      <c r="D584" s="20"/>
      <c r="E584" s="20"/>
      <c r="F584" s="19"/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>
      <c r="A585" s="20"/>
      <c r="B585" s="20"/>
      <c r="C585" s="20"/>
      <c r="D585" s="20"/>
      <c r="E585" s="20"/>
      <c r="F585" s="19"/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>
      <c r="A586" s="20"/>
      <c r="B586" s="20"/>
      <c r="C586" s="20"/>
      <c r="D586" s="20"/>
      <c r="E586" s="20"/>
      <c r="F586" s="19"/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>
      <c r="A587" s="20"/>
      <c r="B587" s="20"/>
      <c r="C587" s="20"/>
      <c r="D587" s="20"/>
      <c r="E587" s="20"/>
      <c r="F587" s="19"/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>
      <c r="A588" s="20"/>
      <c r="B588" s="20"/>
      <c r="C588" s="20"/>
      <c r="D588" s="20"/>
      <c r="E588" s="20"/>
      <c r="F588" s="19"/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>
      <c r="A589" s="20"/>
      <c r="B589" s="20"/>
      <c r="C589" s="20"/>
      <c r="D589" s="20"/>
      <c r="E589" s="20"/>
      <c r="F589" s="19"/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>
      <c r="A590" s="20"/>
      <c r="B590" s="20"/>
      <c r="C590" s="20"/>
      <c r="D590" s="20"/>
      <c r="E590" s="20"/>
      <c r="F590" s="19"/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>
      <c r="A591" s="20"/>
      <c r="B591" s="20"/>
      <c r="C591" s="20"/>
      <c r="D591" s="20"/>
      <c r="E591" s="20"/>
      <c r="F591" s="19"/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>
      <c r="A592" s="20"/>
      <c r="B592" s="20"/>
      <c r="C592" s="20"/>
      <c r="D592" s="20"/>
      <c r="E592" s="20"/>
      <c r="F592" s="19"/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>
      <c r="A593" s="20"/>
      <c r="B593" s="20"/>
      <c r="C593" s="20"/>
      <c r="D593" s="20"/>
      <c r="E593" s="20"/>
      <c r="F593" s="19"/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>
      <c r="A594" s="20"/>
      <c r="B594" s="20"/>
      <c r="C594" s="20"/>
      <c r="D594" s="20"/>
      <c r="E594" s="20"/>
      <c r="F594" s="19"/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>
      <c r="A595" s="20"/>
      <c r="B595" s="20"/>
      <c r="C595" s="20"/>
      <c r="D595" s="20"/>
      <c r="E595" s="20"/>
      <c r="F595" s="19"/>
      <c r="G595" s="19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>
      <c r="A596" s="20"/>
      <c r="B596" s="20"/>
      <c r="C596" s="20"/>
      <c r="D596" s="20"/>
      <c r="E596" s="20"/>
      <c r="F596" s="19"/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>
      <c r="A597" s="20"/>
      <c r="B597" s="20"/>
      <c r="C597" s="20"/>
      <c r="D597" s="20"/>
      <c r="E597" s="20"/>
      <c r="F597" s="19"/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20"/>
      <c r="B598" s="20"/>
      <c r="C598" s="20"/>
      <c r="D598" s="20"/>
      <c r="E598" s="20"/>
      <c r="F598" s="19"/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>
      <c r="A599" s="20"/>
      <c r="B599" s="20"/>
      <c r="C599" s="20"/>
      <c r="D599" s="20"/>
      <c r="E599" s="20"/>
      <c r="F599" s="19"/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>
      <c r="A600" s="20"/>
      <c r="B600" s="20"/>
      <c r="C600" s="20"/>
      <c r="D600" s="20"/>
      <c r="E600" s="20"/>
      <c r="F600" s="19"/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>
      <c r="A601" s="20"/>
      <c r="B601" s="20"/>
      <c r="C601" s="20"/>
      <c r="D601" s="20"/>
      <c r="E601" s="20"/>
      <c r="F601" s="19"/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>
      <c r="A602" s="20"/>
      <c r="B602" s="20"/>
      <c r="C602" s="20"/>
      <c r="D602" s="20"/>
      <c r="E602" s="20"/>
      <c r="F602" s="19"/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>
      <c r="A603" s="20"/>
      <c r="B603" s="20"/>
      <c r="C603" s="20"/>
      <c r="D603" s="20"/>
      <c r="E603" s="20"/>
      <c r="F603" s="19"/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>
      <c r="A604" s="20"/>
      <c r="B604" s="20"/>
      <c r="C604" s="20"/>
      <c r="D604" s="20"/>
      <c r="E604" s="20"/>
      <c r="F604" s="19"/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>
      <c r="A605" s="20"/>
      <c r="B605" s="20"/>
      <c r="C605" s="20"/>
      <c r="D605" s="20"/>
      <c r="E605" s="20"/>
      <c r="F605" s="19"/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>
      <c r="A606" s="20"/>
      <c r="B606" s="20"/>
      <c r="C606" s="20"/>
      <c r="D606" s="20"/>
      <c r="E606" s="20"/>
      <c r="F606" s="19"/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>
      <c r="A607" s="20"/>
      <c r="B607" s="20"/>
      <c r="C607" s="20"/>
      <c r="D607" s="20"/>
      <c r="E607" s="20"/>
      <c r="F607" s="19"/>
      <c r="G607" s="19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>
      <c r="A608" s="20"/>
      <c r="B608" s="20"/>
      <c r="C608" s="20"/>
      <c r="D608" s="20"/>
      <c r="E608" s="20"/>
      <c r="F608" s="19"/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>
      <c r="A609" s="20"/>
      <c r="B609" s="20"/>
      <c r="C609" s="20"/>
      <c r="D609" s="20"/>
      <c r="E609" s="20"/>
      <c r="F609" s="19"/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>
      <c r="A610" s="20"/>
      <c r="B610" s="20"/>
      <c r="C610" s="20"/>
      <c r="D610" s="20"/>
      <c r="E610" s="20"/>
      <c r="F610" s="19"/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>
      <c r="A611" s="20"/>
      <c r="B611" s="20"/>
      <c r="C611" s="20"/>
      <c r="D611" s="20"/>
      <c r="E611" s="20"/>
      <c r="F611" s="19"/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>
      <c r="A612" s="20"/>
      <c r="B612" s="20"/>
      <c r="C612" s="20"/>
      <c r="D612" s="20"/>
      <c r="E612" s="20"/>
      <c r="F612" s="19"/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>
      <c r="A613" s="20"/>
      <c r="B613" s="20"/>
      <c r="C613" s="20"/>
      <c r="D613" s="20"/>
      <c r="E613" s="20"/>
      <c r="F613" s="19"/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>
      <c r="A614" s="20"/>
      <c r="B614" s="20"/>
      <c r="C614" s="20"/>
      <c r="D614" s="20"/>
      <c r="E614" s="20"/>
      <c r="F614" s="19"/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>
      <c r="A615" s="20"/>
      <c r="B615" s="20"/>
      <c r="C615" s="20"/>
      <c r="D615" s="20"/>
      <c r="E615" s="20"/>
      <c r="F615" s="19"/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>
      <c r="A616" s="20"/>
      <c r="B616" s="20"/>
      <c r="C616" s="20"/>
      <c r="D616" s="20"/>
      <c r="E616" s="20"/>
      <c r="F616" s="19"/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>
      <c r="A617" s="20"/>
      <c r="B617" s="20"/>
      <c r="C617" s="20"/>
      <c r="D617" s="20"/>
      <c r="E617" s="20"/>
      <c r="F617" s="19"/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>
      <c r="A618" s="20"/>
      <c r="B618" s="20"/>
      <c r="C618" s="20"/>
      <c r="D618" s="20"/>
      <c r="E618" s="20"/>
      <c r="F618" s="19"/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>
      <c r="A619" s="20"/>
      <c r="B619" s="20"/>
      <c r="C619" s="20"/>
      <c r="D619" s="20"/>
      <c r="E619" s="20"/>
      <c r="F619" s="19"/>
      <c r="G619" s="19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>
      <c r="A620" s="20"/>
      <c r="B620" s="20"/>
      <c r="C620" s="20"/>
      <c r="D620" s="20"/>
      <c r="E620" s="20"/>
      <c r="F620" s="19"/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>
      <c r="A621" s="20"/>
      <c r="B621" s="20"/>
      <c r="C621" s="20"/>
      <c r="D621" s="20"/>
      <c r="E621" s="20"/>
      <c r="F621" s="19"/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>
      <c r="A622" s="20"/>
      <c r="B622" s="20"/>
      <c r="C622" s="20"/>
      <c r="D622" s="20"/>
      <c r="E622" s="20"/>
      <c r="F622" s="19"/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>
      <c r="A623" s="20"/>
      <c r="B623" s="20"/>
      <c r="C623" s="20"/>
      <c r="D623" s="20"/>
      <c r="E623" s="20"/>
      <c r="F623" s="19"/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>
      <c r="A624" s="20"/>
      <c r="B624" s="20"/>
      <c r="C624" s="20"/>
      <c r="D624" s="20"/>
      <c r="E624" s="20"/>
      <c r="F624" s="19"/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>
      <c r="A625" s="20"/>
      <c r="B625" s="20"/>
      <c r="C625" s="20"/>
      <c r="D625" s="20"/>
      <c r="E625" s="20"/>
      <c r="F625" s="19"/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>
      <c r="A626" s="20"/>
      <c r="B626" s="20"/>
      <c r="C626" s="20"/>
      <c r="D626" s="20"/>
      <c r="E626" s="20"/>
      <c r="F626" s="19"/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>
      <c r="A627" s="20"/>
      <c r="B627" s="20"/>
      <c r="C627" s="20"/>
      <c r="D627" s="20"/>
      <c r="E627" s="20"/>
      <c r="F627" s="19"/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>
      <c r="A628" s="20"/>
      <c r="B628" s="20"/>
      <c r="C628" s="20"/>
      <c r="D628" s="20"/>
      <c r="E628" s="20"/>
      <c r="F628" s="19"/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>
      <c r="A629" s="20"/>
      <c r="B629" s="20"/>
      <c r="C629" s="20"/>
      <c r="D629" s="20"/>
      <c r="E629" s="20"/>
      <c r="F629" s="19"/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>
      <c r="A630" s="20"/>
      <c r="B630" s="20"/>
      <c r="C630" s="20"/>
      <c r="D630" s="20"/>
      <c r="E630" s="20"/>
      <c r="F630" s="19"/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>
      <c r="A631" s="20"/>
      <c r="B631" s="20"/>
      <c r="C631" s="20"/>
      <c r="D631" s="20"/>
      <c r="E631" s="20"/>
      <c r="F631" s="19"/>
      <c r="G631" s="19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>
      <c r="A632" s="20"/>
      <c r="B632" s="20"/>
      <c r="C632" s="20"/>
      <c r="D632" s="20"/>
      <c r="E632" s="20"/>
      <c r="F632" s="19"/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>
      <c r="A633" s="20"/>
      <c r="B633" s="20"/>
      <c r="C633" s="20"/>
      <c r="D633" s="20"/>
      <c r="E633" s="20"/>
      <c r="F633" s="19"/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>
      <c r="A634" s="20"/>
      <c r="B634" s="20"/>
      <c r="C634" s="20"/>
      <c r="D634" s="20"/>
      <c r="E634" s="20"/>
      <c r="F634" s="19"/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>
      <c r="A635" s="20"/>
      <c r="B635" s="20"/>
      <c r="C635" s="20"/>
      <c r="D635" s="20"/>
      <c r="E635" s="20"/>
      <c r="F635" s="19"/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>
      <c r="A636" s="20"/>
      <c r="B636" s="20"/>
      <c r="C636" s="20"/>
      <c r="D636" s="20"/>
      <c r="E636" s="20"/>
      <c r="F636" s="19"/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>
      <c r="A637" s="20"/>
      <c r="B637" s="20"/>
      <c r="C637" s="20"/>
      <c r="D637" s="20"/>
      <c r="E637" s="20"/>
      <c r="F637" s="19"/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>
      <c r="A638" s="20"/>
      <c r="B638" s="20"/>
      <c r="C638" s="20"/>
      <c r="D638" s="20"/>
      <c r="E638" s="20"/>
      <c r="F638" s="19"/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>
      <c r="A639" s="20"/>
      <c r="B639" s="20"/>
      <c r="C639" s="20"/>
      <c r="D639" s="20"/>
      <c r="E639" s="20"/>
      <c r="F639" s="19"/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>
      <c r="A640" s="20"/>
      <c r="B640" s="20"/>
      <c r="C640" s="20"/>
      <c r="D640" s="20"/>
      <c r="E640" s="20"/>
      <c r="F640" s="19"/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>
      <c r="A641" s="20"/>
      <c r="B641" s="20"/>
      <c r="C641" s="20"/>
      <c r="D641" s="20"/>
      <c r="E641" s="20"/>
      <c r="F641" s="19"/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>
      <c r="A642" s="20"/>
      <c r="B642" s="20"/>
      <c r="C642" s="20"/>
      <c r="D642" s="20"/>
      <c r="E642" s="20"/>
      <c r="F642" s="19"/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>
      <c r="A643" s="20"/>
      <c r="B643" s="20"/>
      <c r="C643" s="20"/>
      <c r="D643" s="20"/>
      <c r="E643" s="20"/>
      <c r="F643" s="19"/>
      <c r="G643" s="19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>
      <c r="A644" s="20"/>
      <c r="B644" s="20"/>
      <c r="C644" s="20"/>
      <c r="D644" s="20"/>
      <c r="E644" s="20"/>
      <c r="F644" s="19"/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>
      <c r="A645" s="20"/>
      <c r="B645" s="20"/>
      <c r="C645" s="20"/>
      <c r="D645" s="20"/>
      <c r="E645" s="20"/>
      <c r="F645" s="19"/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>
      <c r="A646" s="20"/>
      <c r="B646" s="20"/>
      <c r="C646" s="20"/>
      <c r="D646" s="20"/>
      <c r="E646" s="20"/>
      <c r="F646" s="19"/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>
      <c r="A647" s="20"/>
      <c r="B647" s="20"/>
      <c r="C647" s="20"/>
      <c r="D647" s="20"/>
      <c r="E647" s="20"/>
      <c r="F647" s="19"/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>
      <c r="A648" s="20"/>
      <c r="B648" s="20"/>
      <c r="C648" s="20"/>
      <c r="D648" s="20"/>
      <c r="E648" s="20"/>
      <c r="F648" s="19"/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>
      <c r="A649" s="20"/>
      <c r="B649" s="20"/>
      <c r="C649" s="20"/>
      <c r="D649" s="20"/>
      <c r="E649" s="20"/>
      <c r="F649" s="19"/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>
      <c r="A650" s="20"/>
      <c r="B650" s="20"/>
      <c r="C650" s="20"/>
      <c r="D650" s="20"/>
      <c r="E650" s="20"/>
      <c r="F650" s="19"/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>
      <c r="A651" s="20"/>
      <c r="B651" s="20"/>
      <c r="C651" s="20"/>
      <c r="D651" s="20"/>
      <c r="E651" s="20"/>
      <c r="F651" s="19"/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>
      <c r="A652" s="20"/>
      <c r="B652" s="20"/>
      <c r="C652" s="20"/>
      <c r="D652" s="20"/>
      <c r="E652" s="20"/>
      <c r="F652" s="19"/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>
      <c r="A653" s="20"/>
      <c r="B653" s="20"/>
      <c r="C653" s="20"/>
      <c r="D653" s="20"/>
      <c r="E653" s="20"/>
      <c r="F653" s="19"/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>
      <c r="A654" s="20"/>
      <c r="B654" s="20"/>
      <c r="C654" s="20"/>
      <c r="D654" s="20"/>
      <c r="E654" s="20"/>
      <c r="F654" s="19"/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>
      <c r="A655" s="20"/>
      <c r="B655" s="20"/>
      <c r="C655" s="20"/>
      <c r="D655" s="20"/>
      <c r="E655" s="20"/>
      <c r="F655" s="19"/>
      <c r="G655" s="19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>
      <c r="A656" s="20"/>
      <c r="B656" s="20"/>
      <c r="C656" s="20"/>
      <c r="D656" s="20"/>
      <c r="E656" s="20"/>
      <c r="F656" s="19"/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>
      <c r="A657" s="20"/>
      <c r="B657" s="20"/>
      <c r="C657" s="20"/>
      <c r="D657" s="20"/>
      <c r="E657" s="20"/>
      <c r="F657" s="19"/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>
      <c r="A658" s="20"/>
      <c r="B658" s="20"/>
      <c r="C658" s="20"/>
      <c r="D658" s="20"/>
      <c r="E658" s="20"/>
      <c r="F658" s="19"/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>
      <c r="A659" s="20"/>
      <c r="B659" s="20"/>
      <c r="C659" s="20"/>
      <c r="D659" s="20"/>
      <c r="E659" s="20"/>
      <c r="F659" s="19"/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>
      <c r="A660" s="20"/>
      <c r="B660" s="20"/>
      <c r="C660" s="20"/>
      <c r="D660" s="20"/>
      <c r="E660" s="20"/>
      <c r="F660" s="19"/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>
      <c r="A661" s="20"/>
      <c r="B661" s="20"/>
      <c r="C661" s="20"/>
      <c r="D661" s="20"/>
      <c r="E661" s="20"/>
      <c r="F661" s="19"/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>
      <c r="A662" s="20"/>
      <c r="B662" s="20"/>
      <c r="C662" s="20"/>
      <c r="D662" s="20"/>
      <c r="E662" s="20"/>
      <c r="F662" s="19"/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>
      <c r="A663" s="20"/>
      <c r="B663" s="20"/>
      <c r="C663" s="20"/>
      <c r="D663" s="20"/>
      <c r="E663" s="20"/>
      <c r="F663" s="19"/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>
      <c r="A664" s="20"/>
      <c r="B664" s="20"/>
      <c r="C664" s="20"/>
      <c r="D664" s="20"/>
      <c r="E664" s="20"/>
      <c r="F664" s="19"/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>
      <c r="A665" s="20"/>
      <c r="B665" s="20"/>
      <c r="C665" s="20"/>
      <c r="D665" s="20"/>
      <c r="E665" s="20"/>
      <c r="F665" s="19"/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>
      <c r="A666" s="20"/>
      <c r="B666" s="20"/>
      <c r="C666" s="20"/>
      <c r="D666" s="20"/>
      <c r="E666" s="20"/>
      <c r="F666" s="19"/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>
      <c r="A667" s="20"/>
      <c r="B667" s="20"/>
      <c r="C667" s="20"/>
      <c r="D667" s="20"/>
      <c r="E667" s="20"/>
      <c r="F667" s="19"/>
      <c r="G667" s="19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>
      <c r="A668" s="20"/>
      <c r="B668" s="20"/>
      <c r="C668" s="20"/>
      <c r="D668" s="20"/>
      <c r="E668" s="20"/>
      <c r="F668" s="19"/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>
      <c r="A669" s="20"/>
      <c r="B669" s="20"/>
      <c r="C669" s="20"/>
      <c r="D669" s="20"/>
      <c r="E669" s="20"/>
      <c r="F669" s="19"/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>
      <c r="A670" s="20"/>
      <c r="B670" s="20"/>
      <c r="C670" s="20"/>
      <c r="D670" s="20"/>
      <c r="E670" s="20"/>
      <c r="F670" s="19"/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>
      <c r="A671" s="20"/>
      <c r="B671" s="20"/>
      <c r="C671" s="20"/>
      <c r="D671" s="20"/>
      <c r="E671" s="20"/>
      <c r="F671" s="19"/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>
      <c r="A672" s="20"/>
      <c r="B672" s="20"/>
      <c r="C672" s="20"/>
      <c r="D672" s="20"/>
      <c r="E672" s="20"/>
      <c r="F672" s="19"/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>
      <c r="A673" s="20"/>
      <c r="B673" s="20"/>
      <c r="C673" s="20"/>
      <c r="D673" s="20"/>
      <c r="E673" s="20"/>
      <c r="F673" s="19"/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>
      <c r="A674" s="20"/>
      <c r="B674" s="20"/>
      <c r="C674" s="20"/>
      <c r="D674" s="20"/>
      <c r="E674" s="20"/>
      <c r="F674" s="19"/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>
      <c r="A675" s="20"/>
      <c r="B675" s="20"/>
      <c r="C675" s="20"/>
      <c r="D675" s="20"/>
      <c r="E675" s="20"/>
      <c r="F675" s="19"/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>
      <c r="A676" s="20"/>
      <c r="B676" s="20"/>
      <c r="C676" s="20"/>
      <c r="D676" s="20"/>
      <c r="E676" s="20"/>
      <c r="F676" s="19"/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>
      <c r="A677" s="20"/>
      <c r="B677" s="20"/>
      <c r="C677" s="20"/>
      <c r="D677" s="20"/>
      <c r="E677" s="20"/>
      <c r="F677" s="19"/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>
      <c r="A678" s="20"/>
      <c r="B678" s="20"/>
      <c r="C678" s="20"/>
      <c r="D678" s="20"/>
      <c r="E678" s="20"/>
      <c r="F678" s="19"/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>
      <c r="A679" s="20"/>
      <c r="B679" s="20"/>
      <c r="C679" s="20"/>
      <c r="D679" s="20"/>
      <c r="E679" s="20"/>
      <c r="F679" s="19"/>
      <c r="G679" s="19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>
      <c r="A680" s="20"/>
      <c r="B680" s="20"/>
      <c r="C680" s="20"/>
      <c r="D680" s="20"/>
      <c r="E680" s="20"/>
      <c r="F680" s="19"/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>
      <c r="A681" s="20"/>
      <c r="B681" s="20"/>
      <c r="C681" s="20"/>
      <c r="D681" s="20"/>
      <c r="E681" s="20"/>
      <c r="F681" s="19"/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>
      <c r="A682" s="20"/>
      <c r="B682" s="20"/>
      <c r="C682" s="20"/>
      <c r="D682" s="20"/>
      <c r="E682" s="20"/>
      <c r="F682" s="19"/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>
      <c r="A683" s="20"/>
      <c r="B683" s="20"/>
      <c r="C683" s="20"/>
      <c r="D683" s="20"/>
      <c r="E683" s="20"/>
      <c r="F683" s="19"/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>
      <c r="A684" s="20"/>
      <c r="B684" s="20"/>
      <c r="C684" s="20"/>
      <c r="D684" s="20"/>
      <c r="E684" s="20"/>
      <c r="F684" s="19"/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>
      <c r="A685" s="20"/>
      <c r="B685" s="20"/>
      <c r="C685" s="20"/>
      <c r="D685" s="20"/>
      <c r="E685" s="20"/>
      <c r="F685" s="19"/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>
      <c r="A686" s="20"/>
      <c r="B686" s="20"/>
      <c r="C686" s="20"/>
      <c r="D686" s="20"/>
      <c r="E686" s="20"/>
      <c r="F686" s="19"/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>
      <c r="A687" s="20"/>
      <c r="B687" s="20"/>
      <c r="C687" s="20"/>
      <c r="D687" s="20"/>
      <c r="E687" s="20"/>
      <c r="F687" s="19"/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>
      <c r="A688" s="20"/>
      <c r="B688" s="20"/>
      <c r="C688" s="20"/>
      <c r="D688" s="20"/>
      <c r="E688" s="20"/>
      <c r="F688" s="19"/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>
      <c r="A689" s="20"/>
      <c r="B689" s="20"/>
      <c r="C689" s="20"/>
      <c r="D689" s="20"/>
      <c r="E689" s="20"/>
      <c r="F689" s="19"/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>
      <c r="A690" s="20"/>
      <c r="B690" s="20"/>
      <c r="C690" s="20"/>
      <c r="D690" s="20"/>
      <c r="E690" s="20"/>
      <c r="F690" s="19"/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>
      <c r="A691" s="20"/>
      <c r="B691" s="20"/>
      <c r="C691" s="20"/>
      <c r="D691" s="20"/>
      <c r="E691" s="20"/>
      <c r="F691" s="19"/>
      <c r="G691" s="19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>
      <c r="A692" s="20"/>
      <c r="B692" s="20"/>
      <c r="C692" s="20"/>
      <c r="D692" s="20"/>
      <c r="E692" s="20"/>
      <c r="F692" s="19"/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>
      <c r="A693" s="20"/>
      <c r="B693" s="20"/>
      <c r="C693" s="20"/>
      <c r="D693" s="20"/>
      <c r="E693" s="20"/>
      <c r="F693" s="19"/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>
      <c r="A694" s="20"/>
      <c r="B694" s="20"/>
      <c r="C694" s="20"/>
      <c r="D694" s="20"/>
      <c r="E694" s="20"/>
      <c r="F694" s="19"/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>
      <c r="A695" s="20"/>
      <c r="B695" s="20"/>
      <c r="C695" s="20"/>
      <c r="D695" s="20"/>
      <c r="E695" s="20"/>
      <c r="F695" s="19"/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>
      <c r="A696" s="20"/>
      <c r="B696" s="20"/>
      <c r="C696" s="20"/>
      <c r="D696" s="20"/>
      <c r="E696" s="20"/>
      <c r="F696" s="19"/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>
      <c r="A697" s="20"/>
      <c r="B697" s="20"/>
      <c r="C697" s="20"/>
      <c r="D697" s="20"/>
      <c r="E697" s="20"/>
      <c r="F697" s="19"/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>
      <c r="A698" s="20"/>
      <c r="B698" s="20"/>
      <c r="C698" s="20"/>
      <c r="D698" s="20"/>
      <c r="E698" s="20"/>
      <c r="F698" s="19"/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>
      <c r="A699" s="20"/>
      <c r="B699" s="20"/>
      <c r="C699" s="20"/>
      <c r="D699" s="20"/>
      <c r="E699" s="20"/>
      <c r="F699" s="19"/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>
      <c r="A700" s="20"/>
      <c r="B700" s="20"/>
      <c r="C700" s="20"/>
      <c r="D700" s="20"/>
      <c r="E700" s="20"/>
      <c r="F700" s="19"/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>
      <c r="A701" s="20"/>
      <c r="B701" s="20"/>
      <c r="C701" s="20"/>
      <c r="D701" s="20"/>
      <c r="E701" s="20"/>
      <c r="F701" s="19"/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>
      <c r="A702" s="20"/>
      <c r="B702" s="20"/>
      <c r="C702" s="20"/>
      <c r="D702" s="20"/>
      <c r="E702" s="20"/>
      <c r="F702" s="19"/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>
      <c r="A703" s="20"/>
      <c r="B703" s="20"/>
      <c r="C703" s="20"/>
      <c r="D703" s="20"/>
      <c r="E703" s="20"/>
      <c r="F703" s="19"/>
      <c r="G703" s="19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>
      <c r="A704" s="20"/>
      <c r="B704" s="20"/>
      <c r="C704" s="20"/>
      <c r="D704" s="20"/>
      <c r="E704" s="20"/>
      <c r="F704" s="19"/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>
      <c r="A705" s="20"/>
      <c r="B705" s="20"/>
      <c r="C705" s="20"/>
      <c r="D705" s="20"/>
      <c r="E705" s="20"/>
      <c r="F705" s="19"/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>
      <c r="A706" s="20"/>
      <c r="B706" s="20"/>
      <c r="C706" s="20"/>
      <c r="D706" s="20"/>
      <c r="E706" s="20"/>
      <c r="F706" s="19"/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>
      <c r="A707" s="20"/>
      <c r="B707" s="20"/>
      <c r="C707" s="20"/>
      <c r="D707" s="20"/>
      <c r="E707" s="20"/>
      <c r="F707" s="19"/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>
      <c r="A708" s="20"/>
      <c r="B708" s="20"/>
      <c r="C708" s="20"/>
      <c r="D708" s="20"/>
      <c r="E708" s="20"/>
      <c r="F708" s="19"/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>
      <c r="A709" s="20"/>
      <c r="B709" s="20"/>
      <c r="C709" s="20"/>
      <c r="D709" s="20"/>
      <c r="E709" s="20"/>
      <c r="F709" s="19"/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>
      <c r="A710" s="20"/>
      <c r="B710" s="20"/>
      <c r="C710" s="20"/>
      <c r="D710" s="20"/>
      <c r="E710" s="20"/>
      <c r="F710" s="19"/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>
      <c r="A711" s="20"/>
      <c r="B711" s="20"/>
      <c r="C711" s="20"/>
      <c r="D711" s="20"/>
      <c r="E711" s="20"/>
      <c r="F711" s="19"/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>
      <c r="A712" s="20"/>
      <c r="B712" s="20"/>
      <c r="C712" s="20"/>
      <c r="D712" s="20"/>
      <c r="E712" s="20"/>
      <c r="F712" s="19"/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>
      <c r="A713" s="20"/>
      <c r="B713" s="20"/>
      <c r="C713" s="20"/>
      <c r="D713" s="20"/>
      <c r="E713" s="20"/>
      <c r="F713" s="19"/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>
      <c r="A714" s="20"/>
      <c r="B714" s="20"/>
      <c r="C714" s="20"/>
      <c r="D714" s="20"/>
      <c r="E714" s="20"/>
      <c r="F714" s="19"/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>
      <c r="A715" s="20"/>
      <c r="B715" s="20"/>
      <c r="C715" s="20"/>
      <c r="D715" s="20"/>
      <c r="E715" s="20"/>
      <c r="F715" s="19"/>
      <c r="G715" s="19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>
      <c r="A716" s="20"/>
      <c r="B716" s="20"/>
      <c r="C716" s="20"/>
      <c r="D716" s="20"/>
      <c r="E716" s="20"/>
      <c r="F716" s="19"/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>
      <c r="A717" s="20"/>
      <c r="B717" s="20"/>
      <c r="C717" s="20"/>
      <c r="D717" s="20"/>
      <c r="E717" s="20"/>
      <c r="F717" s="19"/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>
      <c r="A718" s="20"/>
      <c r="B718" s="20"/>
      <c r="C718" s="20"/>
      <c r="D718" s="20"/>
      <c r="E718" s="20"/>
      <c r="F718" s="19"/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>
      <c r="A719" s="20"/>
      <c r="B719" s="20"/>
      <c r="C719" s="20"/>
      <c r="D719" s="20"/>
      <c r="E719" s="20"/>
      <c r="F719" s="19"/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>
      <c r="A720" s="20"/>
      <c r="B720" s="20"/>
      <c r="C720" s="20"/>
      <c r="D720" s="20"/>
      <c r="E720" s="20"/>
      <c r="F720" s="19"/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>
      <c r="A721" s="20"/>
      <c r="B721" s="20"/>
      <c r="C721" s="20"/>
      <c r="D721" s="20"/>
      <c r="E721" s="20"/>
      <c r="F721" s="19"/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>
      <c r="A722" s="20"/>
      <c r="B722" s="20"/>
      <c r="C722" s="20"/>
      <c r="D722" s="20"/>
      <c r="E722" s="20"/>
      <c r="F722" s="19"/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>
      <c r="A723" s="20"/>
      <c r="B723" s="20"/>
      <c r="C723" s="20"/>
      <c r="D723" s="20"/>
      <c r="E723" s="20"/>
      <c r="F723" s="19"/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>
      <c r="A724" s="20"/>
      <c r="B724" s="20"/>
      <c r="C724" s="20"/>
      <c r="D724" s="20"/>
      <c r="E724" s="20"/>
      <c r="F724" s="19"/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>
      <c r="A725" s="20"/>
      <c r="B725" s="20"/>
      <c r="C725" s="20"/>
      <c r="D725" s="20"/>
      <c r="E725" s="20"/>
      <c r="F725" s="19"/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>
      <c r="A726" s="20"/>
      <c r="B726" s="20"/>
      <c r="C726" s="20"/>
      <c r="D726" s="20"/>
      <c r="E726" s="20"/>
      <c r="F726" s="19"/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>
      <c r="A727" s="20"/>
      <c r="B727" s="20"/>
      <c r="C727" s="20"/>
      <c r="D727" s="20"/>
      <c r="E727" s="20"/>
      <c r="F727" s="19"/>
      <c r="G727" s="19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>
      <c r="A728" s="20"/>
      <c r="B728" s="20"/>
      <c r="C728" s="20"/>
      <c r="D728" s="20"/>
      <c r="E728" s="20"/>
      <c r="F728" s="19"/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>
      <c r="A729" s="20"/>
      <c r="B729" s="20"/>
      <c r="C729" s="20"/>
      <c r="D729" s="20"/>
      <c r="E729" s="20"/>
      <c r="F729" s="19"/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>
      <c r="A730" s="20"/>
      <c r="B730" s="20"/>
      <c r="C730" s="20"/>
      <c r="D730" s="20"/>
      <c r="E730" s="20"/>
      <c r="F730" s="19"/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>
      <c r="A731" s="20"/>
      <c r="B731" s="20"/>
      <c r="C731" s="20"/>
      <c r="D731" s="20"/>
      <c r="E731" s="20"/>
      <c r="F731" s="19"/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>
      <c r="A732" s="20"/>
      <c r="B732" s="20"/>
      <c r="C732" s="20"/>
      <c r="D732" s="20"/>
      <c r="E732" s="20"/>
      <c r="F732" s="19"/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>
      <c r="A733" s="20"/>
      <c r="B733" s="20"/>
      <c r="C733" s="20"/>
      <c r="D733" s="20"/>
      <c r="E733" s="20"/>
      <c r="F733" s="19"/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>
      <c r="A734" s="20"/>
      <c r="B734" s="20"/>
      <c r="C734" s="20"/>
      <c r="D734" s="20"/>
      <c r="E734" s="20"/>
      <c r="F734" s="19"/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>
      <c r="A735" s="20"/>
      <c r="B735" s="20"/>
      <c r="C735" s="20"/>
      <c r="D735" s="20"/>
      <c r="E735" s="20"/>
      <c r="F735" s="19"/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>
      <c r="A736" s="20"/>
      <c r="B736" s="20"/>
      <c r="C736" s="20"/>
      <c r="D736" s="20"/>
      <c r="E736" s="20"/>
      <c r="F736" s="19"/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>
      <c r="A737" s="20"/>
      <c r="B737" s="20"/>
      <c r="C737" s="20"/>
      <c r="D737" s="20"/>
      <c r="E737" s="20"/>
      <c r="F737" s="19"/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>
      <c r="A738" s="20"/>
      <c r="B738" s="20"/>
      <c r="C738" s="20"/>
      <c r="D738" s="20"/>
      <c r="E738" s="20"/>
      <c r="F738" s="19"/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>
      <c r="A739" s="20"/>
      <c r="B739" s="20"/>
      <c r="C739" s="20"/>
      <c r="D739" s="20"/>
      <c r="E739" s="20"/>
      <c r="F739" s="19"/>
      <c r="G739" s="19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>
      <c r="A740" s="20"/>
      <c r="B740" s="20"/>
      <c r="C740" s="20"/>
      <c r="D740" s="20"/>
      <c r="E740" s="20"/>
      <c r="F740" s="19"/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>
      <c r="A741" s="20"/>
      <c r="B741" s="20"/>
      <c r="C741" s="20"/>
      <c r="D741" s="20"/>
      <c r="E741" s="20"/>
      <c r="F741" s="19"/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>
      <c r="A742" s="20"/>
      <c r="B742" s="20"/>
      <c r="C742" s="20"/>
      <c r="D742" s="20"/>
      <c r="E742" s="20"/>
      <c r="F742" s="19"/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>
      <c r="A743" s="20"/>
      <c r="B743" s="20"/>
      <c r="C743" s="20"/>
      <c r="D743" s="20"/>
      <c r="E743" s="20"/>
      <c r="F743" s="19"/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>
      <c r="A744" s="20"/>
      <c r="B744" s="20"/>
      <c r="C744" s="20"/>
      <c r="D744" s="20"/>
      <c r="E744" s="20"/>
      <c r="F744" s="19"/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>
      <c r="A745" s="20"/>
      <c r="B745" s="20"/>
      <c r="C745" s="20"/>
      <c r="D745" s="20"/>
      <c r="E745" s="20"/>
      <c r="F745" s="19"/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>
      <c r="A746" s="20"/>
      <c r="B746" s="20"/>
      <c r="C746" s="20"/>
      <c r="D746" s="20"/>
      <c r="E746" s="20"/>
      <c r="F746" s="19"/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>
      <c r="A747" s="20"/>
      <c r="B747" s="20"/>
      <c r="C747" s="20"/>
      <c r="D747" s="20"/>
      <c r="E747" s="20"/>
      <c r="F747" s="19"/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>
      <c r="A748" s="20"/>
      <c r="B748" s="20"/>
      <c r="C748" s="20"/>
      <c r="D748" s="20"/>
      <c r="E748" s="20"/>
      <c r="F748" s="19"/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>
      <c r="A749" s="20"/>
      <c r="B749" s="20"/>
      <c r="C749" s="20"/>
      <c r="D749" s="20"/>
      <c r="E749" s="20"/>
      <c r="F749" s="19"/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>
      <c r="A750" s="20"/>
      <c r="B750" s="20"/>
      <c r="C750" s="20"/>
      <c r="D750" s="20"/>
      <c r="E750" s="20"/>
      <c r="F750" s="19"/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>
      <c r="A751" s="20"/>
      <c r="B751" s="20"/>
      <c r="C751" s="20"/>
      <c r="D751" s="20"/>
      <c r="E751" s="20"/>
      <c r="F751" s="19"/>
      <c r="G751" s="19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>
      <c r="A752" s="20"/>
      <c r="B752" s="20"/>
      <c r="C752" s="20"/>
      <c r="D752" s="20"/>
      <c r="E752" s="20"/>
      <c r="F752" s="19"/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>
      <c r="A753" s="20"/>
      <c r="B753" s="20"/>
      <c r="C753" s="20"/>
      <c r="D753" s="20"/>
      <c r="E753" s="20"/>
      <c r="F753" s="19"/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>
      <c r="A754" s="20"/>
      <c r="B754" s="20"/>
      <c r="C754" s="20"/>
      <c r="D754" s="20"/>
      <c r="E754" s="20"/>
      <c r="F754" s="19"/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>
      <c r="A755" s="20"/>
      <c r="B755" s="20"/>
      <c r="C755" s="20"/>
      <c r="D755" s="20"/>
      <c r="E755" s="20"/>
      <c r="F755" s="19"/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>
      <c r="A756" s="20"/>
      <c r="B756" s="20"/>
      <c r="C756" s="20"/>
      <c r="D756" s="20"/>
      <c r="E756" s="20"/>
      <c r="F756" s="19"/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>
      <c r="A757" s="20"/>
      <c r="B757" s="20"/>
      <c r="C757" s="20"/>
      <c r="D757" s="20"/>
      <c r="E757" s="20"/>
      <c r="F757" s="19"/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>
      <c r="A758" s="20"/>
      <c r="B758" s="20"/>
      <c r="C758" s="20"/>
      <c r="D758" s="20"/>
      <c r="E758" s="20"/>
      <c r="F758" s="19"/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>
      <c r="A759" s="20"/>
      <c r="B759" s="20"/>
      <c r="C759" s="20"/>
      <c r="D759" s="20"/>
      <c r="E759" s="20"/>
      <c r="F759" s="19"/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>
      <c r="A760" s="20"/>
      <c r="B760" s="20"/>
      <c r="C760" s="20"/>
      <c r="D760" s="20"/>
      <c r="E760" s="20"/>
      <c r="F760" s="19"/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>
      <c r="A761" s="20"/>
      <c r="B761" s="20"/>
      <c r="C761" s="20"/>
      <c r="D761" s="20"/>
      <c r="E761" s="20"/>
      <c r="F761" s="19"/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>
      <c r="A762" s="20"/>
      <c r="B762" s="20"/>
      <c r="C762" s="20"/>
      <c r="D762" s="20"/>
      <c r="E762" s="20"/>
      <c r="F762" s="19"/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>
      <c r="A763" s="20"/>
      <c r="B763" s="20"/>
      <c r="C763" s="20"/>
      <c r="D763" s="20"/>
      <c r="E763" s="20"/>
      <c r="F763" s="19"/>
      <c r="G763" s="19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>
      <c r="A764" s="20"/>
      <c r="B764" s="20"/>
      <c r="C764" s="20"/>
      <c r="D764" s="20"/>
      <c r="E764" s="20"/>
      <c r="F764" s="19"/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>
      <c r="A765" s="20"/>
      <c r="B765" s="20"/>
      <c r="C765" s="20"/>
      <c r="D765" s="20"/>
      <c r="E765" s="20"/>
      <c r="F765" s="19"/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>
      <c r="A766" s="20"/>
      <c r="B766" s="20"/>
      <c r="C766" s="20"/>
      <c r="D766" s="20"/>
      <c r="E766" s="20"/>
      <c r="F766" s="19"/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>
      <c r="A767" s="20"/>
      <c r="B767" s="20"/>
      <c r="C767" s="20"/>
      <c r="D767" s="20"/>
      <c r="E767" s="20"/>
      <c r="F767" s="19"/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>
      <c r="A768" s="20"/>
      <c r="B768" s="20"/>
      <c r="C768" s="20"/>
      <c r="D768" s="20"/>
      <c r="E768" s="20"/>
      <c r="F768" s="19"/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>
      <c r="A769" s="20"/>
      <c r="B769" s="20"/>
      <c r="C769" s="20"/>
      <c r="D769" s="20"/>
      <c r="E769" s="20"/>
      <c r="F769" s="19"/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>
      <c r="A770" s="20"/>
      <c r="B770" s="20"/>
      <c r="C770" s="20"/>
      <c r="D770" s="20"/>
      <c r="E770" s="20"/>
      <c r="F770" s="19"/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>
      <c r="A771" s="20"/>
      <c r="B771" s="20"/>
      <c r="C771" s="20"/>
      <c r="D771" s="20"/>
      <c r="E771" s="20"/>
      <c r="F771" s="19"/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>
      <c r="A772" s="20"/>
      <c r="B772" s="20"/>
      <c r="C772" s="20"/>
      <c r="D772" s="20"/>
      <c r="E772" s="20"/>
      <c r="F772" s="19"/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>
      <c r="A773" s="20"/>
      <c r="B773" s="20"/>
      <c r="C773" s="20"/>
      <c r="D773" s="20"/>
      <c r="E773" s="20"/>
      <c r="F773" s="19"/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>
      <c r="A774" s="20"/>
      <c r="B774" s="20"/>
      <c r="C774" s="20"/>
      <c r="D774" s="20"/>
      <c r="E774" s="20"/>
      <c r="F774" s="19"/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>
      <c r="A775" s="20"/>
      <c r="B775" s="20"/>
      <c r="C775" s="20"/>
      <c r="D775" s="20"/>
      <c r="E775" s="20"/>
      <c r="F775" s="19"/>
      <c r="G775" s="19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>
      <c r="A776" s="20"/>
      <c r="B776" s="20"/>
      <c r="C776" s="20"/>
      <c r="D776" s="20"/>
      <c r="E776" s="20"/>
      <c r="F776" s="19"/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>
      <c r="A777" s="20"/>
      <c r="B777" s="20"/>
      <c r="C777" s="20"/>
      <c r="D777" s="20"/>
      <c r="E777" s="20"/>
      <c r="F777" s="19"/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>
      <c r="A778" s="20"/>
      <c r="B778" s="20"/>
      <c r="C778" s="20"/>
      <c r="D778" s="20"/>
      <c r="E778" s="20"/>
      <c r="F778" s="19"/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>
      <c r="A779" s="20"/>
      <c r="B779" s="20"/>
      <c r="C779" s="20"/>
      <c r="D779" s="20"/>
      <c r="E779" s="20"/>
      <c r="F779" s="19"/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>
      <c r="A780" s="20"/>
      <c r="B780" s="20"/>
      <c r="C780" s="20"/>
      <c r="D780" s="20"/>
      <c r="E780" s="20"/>
      <c r="F780" s="19"/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>
      <c r="A781" s="20"/>
      <c r="B781" s="20"/>
      <c r="C781" s="20"/>
      <c r="D781" s="20"/>
      <c r="E781" s="20"/>
      <c r="F781" s="19"/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>
      <c r="A782" s="20"/>
      <c r="B782" s="20"/>
      <c r="C782" s="20"/>
      <c r="D782" s="20"/>
      <c r="E782" s="20"/>
      <c r="F782" s="19"/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>
      <c r="A783" s="20"/>
      <c r="B783" s="20"/>
      <c r="C783" s="20"/>
      <c r="D783" s="20"/>
      <c r="E783" s="20"/>
      <c r="F783" s="19"/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>
      <c r="A784" s="20"/>
      <c r="B784" s="20"/>
      <c r="C784" s="20"/>
      <c r="D784" s="20"/>
      <c r="E784" s="20"/>
      <c r="F784" s="19"/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>
      <c r="A785" s="20"/>
      <c r="B785" s="20"/>
      <c r="C785" s="20"/>
      <c r="D785" s="20"/>
      <c r="E785" s="20"/>
      <c r="F785" s="19"/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>
      <c r="A786" s="20"/>
      <c r="B786" s="20"/>
      <c r="C786" s="20"/>
      <c r="D786" s="20"/>
      <c r="E786" s="20"/>
      <c r="F786" s="19"/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>
      <c r="A787" s="20"/>
      <c r="B787" s="20"/>
      <c r="C787" s="20"/>
      <c r="D787" s="20"/>
      <c r="E787" s="20"/>
      <c r="F787" s="19"/>
      <c r="G787" s="19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>
      <c r="A788" s="20"/>
      <c r="B788" s="20"/>
      <c r="C788" s="20"/>
      <c r="D788" s="20"/>
      <c r="E788" s="20"/>
      <c r="F788" s="19"/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>
      <c r="A789" s="20"/>
      <c r="B789" s="20"/>
      <c r="C789" s="20"/>
      <c r="D789" s="20"/>
      <c r="E789" s="20"/>
      <c r="F789" s="19"/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>
      <c r="A790" s="20"/>
      <c r="B790" s="20"/>
      <c r="C790" s="20"/>
      <c r="D790" s="20"/>
      <c r="E790" s="20"/>
      <c r="F790" s="19"/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>
      <c r="A791" s="20"/>
      <c r="B791" s="20"/>
      <c r="C791" s="20"/>
      <c r="D791" s="20"/>
      <c r="E791" s="20"/>
      <c r="F791" s="19"/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>
      <c r="A792" s="20"/>
      <c r="B792" s="20"/>
      <c r="C792" s="20"/>
      <c r="D792" s="20"/>
      <c r="E792" s="20"/>
      <c r="F792" s="19"/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>
      <c r="A793" s="20"/>
      <c r="B793" s="20"/>
      <c r="C793" s="20"/>
      <c r="D793" s="20"/>
      <c r="E793" s="20"/>
      <c r="F793" s="19"/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>
      <c r="A794" s="20"/>
      <c r="B794" s="20"/>
      <c r="C794" s="20"/>
      <c r="D794" s="20"/>
      <c r="E794" s="20"/>
      <c r="F794" s="19"/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>
      <c r="A795" s="20"/>
      <c r="B795" s="20"/>
      <c r="C795" s="20"/>
      <c r="D795" s="20"/>
      <c r="E795" s="20"/>
      <c r="F795" s="19"/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>
      <c r="A796" s="20"/>
      <c r="B796" s="20"/>
      <c r="C796" s="20"/>
      <c r="D796" s="20"/>
      <c r="E796" s="20"/>
      <c r="F796" s="19"/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>
      <c r="A797" s="20"/>
      <c r="B797" s="20"/>
      <c r="C797" s="20"/>
      <c r="D797" s="20"/>
      <c r="E797" s="20"/>
      <c r="F797" s="19"/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>
      <c r="A798" s="20"/>
      <c r="B798" s="20"/>
      <c r="C798" s="20"/>
      <c r="D798" s="20"/>
      <c r="E798" s="20"/>
      <c r="F798" s="19"/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>
      <c r="A799" s="20"/>
      <c r="B799" s="20"/>
      <c r="C799" s="20"/>
      <c r="D799" s="20"/>
      <c r="E799" s="20"/>
      <c r="F799" s="19"/>
      <c r="G799" s="19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>
      <c r="A800" s="20"/>
      <c r="B800" s="20"/>
      <c r="C800" s="20"/>
      <c r="D800" s="20"/>
      <c r="E800" s="20"/>
      <c r="F800" s="19"/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>
      <c r="A801" s="20"/>
      <c r="B801" s="20"/>
      <c r="C801" s="20"/>
      <c r="D801" s="20"/>
      <c r="E801" s="20"/>
      <c r="F801" s="19"/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>
      <c r="A802" s="20"/>
      <c r="B802" s="20"/>
      <c r="C802" s="20"/>
      <c r="D802" s="20"/>
      <c r="E802" s="20"/>
      <c r="F802" s="19"/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>
      <c r="A803" s="20"/>
      <c r="B803" s="20"/>
      <c r="C803" s="20"/>
      <c r="D803" s="20"/>
      <c r="E803" s="20"/>
      <c r="F803" s="19"/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>
      <c r="A804" s="20"/>
      <c r="B804" s="20"/>
      <c r="C804" s="20"/>
      <c r="D804" s="20"/>
      <c r="E804" s="20"/>
      <c r="F804" s="19"/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>
      <c r="A805" s="20"/>
      <c r="B805" s="20"/>
      <c r="C805" s="20"/>
      <c r="D805" s="20"/>
      <c r="E805" s="20"/>
      <c r="F805" s="19"/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>
      <c r="A806" s="20"/>
      <c r="B806" s="20"/>
      <c r="C806" s="20"/>
      <c r="D806" s="20"/>
      <c r="E806" s="20"/>
      <c r="F806" s="19"/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>
      <c r="A807" s="20"/>
      <c r="B807" s="20"/>
      <c r="C807" s="20"/>
      <c r="D807" s="20"/>
      <c r="E807" s="20"/>
      <c r="F807" s="19"/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>
      <c r="A808" s="20"/>
      <c r="B808" s="20"/>
      <c r="C808" s="20"/>
      <c r="D808" s="20"/>
      <c r="E808" s="20"/>
      <c r="F808" s="19"/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>
      <c r="A809" s="20"/>
      <c r="B809" s="20"/>
      <c r="C809" s="20"/>
      <c r="D809" s="20"/>
      <c r="E809" s="20"/>
      <c r="F809" s="19"/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>
      <c r="A810" s="20"/>
      <c r="B810" s="20"/>
      <c r="C810" s="20"/>
      <c r="D810" s="20"/>
      <c r="E810" s="20"/>
      <c r="F810" s="19"/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>
      <c r="A811" s="20"/>
      <c r="B811" s="20"/>
      <c r="C811" s="20"/>
      <c r="D811" s="20"/>
      <c r="E811" s="20"/>
      <c r="F811" s="19"/>
      <c r="G811" s="19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>
      <c r="A812" s="20"/>
      <c r="B812" s="20"/>
      <c r="C812" s="20"/>
      <c r="D812" s="20"/>
      <c r="E812" s="20"/>
      <c r="F812" s="19"/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>
      <c r="A813" s="20"/>
      <c r="B813" s="20"/>
      <c r="C813" s="20"/>
      <c r="D813" s="20"/>
      <c r="E813" s="20"/>
      <c r="F813" s="19"/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>
      <c r="A814" s="20"/>
      <c r="B814" s="20"/>
      <c r="C814" s="20"/>
      <c r="D814" s="20"/>
      <c r="E814" s="20"/>
      <c r="F814" s="19"/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>
      <c r="A815" s="20"/>
      <c r="B815" s="20"/>
      <c r="C815" s="20"/>
      <c r="D815" s="20"/>
      <c r="E815" s="20"/>
      <c r="F815" s="19"/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>
      <c r="A816" s="20"/>
      <c r="B816" s="20"/>
      <c r="C816" s="20"/>
      <c r="D816" s="20"/>
      <c r="E816" s="20"/>
      <c r="F816" s="19"/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>
      <c r="A817" s="20"/>
      <c r="B817" s="20"/>
      <c r="C817" s="20"/>
      <c r="D817" s="20"/>
      <c r="E817" s="20"/>
      <c r="F817" s="19"/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>
      <c r="A818" s="20"/>
      <c r="B818" s="20"/>
      <c r="C818" s="20"/>
      <c r="D818" s="20"/>
      <c r="E818" s="20"/>
      <c r="F818" s="19"/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>
      <c r="A819" s="20"/>
      <c r="B819" s="20"/>
      <c r="C819" s="20"/>
      <c r="D819" s="20"/>
      <c r="E819" s="20"/>
      <c r="F819" s="19"/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>
      <c r="A820" s="20"/>
      <c r="B820" s="20"/>
      <c r="C820" s="20"/>
      <c r="D820" s="20"/>
      <c r="E820" s="20"/>
      <c r="F820" s="19"/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>
      <c r="A821" s="20"/>
      <c r="B821" s="20"/>
      <c r="C821" s="20"/>
      <c r="D821" s="20"/>
      <c r="E821" s="20"/>
      <c r="F821" s="19"/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>
      <c r="A822" s="20"/>
      <c r="B822" s="20"/>
      <c r="C822" s="20"/>
      <c r="D822" s="20"/>
      <c r="E822" s="20"/>
      <c r="F822" s="19"/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>
      <c r="A823" s="20"/>
      <c r="B823" s="20"/>
      <c r="C823" s="20"/>
      <c r="D823" s="20"/>
      <c r="E823" s="20"/>
      <c r="F823" s="19"/>
      <c r="G823" s="19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>
      <c r="A824" s="20"/>
      <c r="B824" s="20"/>
      <c r="C824" s="20"/>
      <c r="D824" s="20"/>
      <c r="E824" s="20"/>
      <c r="F824" s="19"/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>
      <c r="A825" s="20"/>
      <c r="B825" s="20"/>
      <c r="C825" s="20"/>
      <c r="D825" s="20"/>
      <c r="E825" s="20"/>
      <c r="F825" s="19"/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>
      <c r="A826" s="20"/>
      <c r="B826" s="20"/>
      <c r="C826" s="20"/>
      <c r="D826" s="20"/>
      <c r="E826" s="20"/>
      <c r="F826" s="19"/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>
      <c r="A827" s="20"/>
      <c r="B827" s="20"/>
      <c r="C827" s="20"/>
      <c r="D827" s="20"/>
      <c r="E827" s="20"/>
      <c r="F827" s="19"/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>
      <c r="A828" s="20"/>
      <c r="B828" s="20"/>
      <c r="C828" s="20"/>
      <c r="D828" s="20"/>
      <c r="E828" s="20"/>
      <c r="F828" s="19"/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>
      <c r="A829" s="20"/>
      <c r="B829" s="20"/>
      <c r="C829" s="20"/>
      <c r="D829" s="20"/>
      <c r="E829" s="20"/>
      <c r="F829" s="19"/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>
      <c r="A830" s="20"/>
      <c r="B830" s="20"/>
      <c r="C830" s="20"/>
      <c r="D830" s="20"/>
      <c r="E830" s="20"/>
      <c r="F830" s="19"/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>
      <c r="A831" s="20"/>
      <c r="B831" s="20"/>
      <c r="C831" s="20"/>
      <c r="D831" s="20"/>
      <c r="E831" s="20"/>
      <c r="F831" s="19"/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>
      <c r="A832" s="20"/>
      <c r="B832" s="20"/>
      <c r="C832" s="20"/>
      <c r="D832" s="20"/>
      <c r="E832" s="20"/>
      <c r="F832" s="19"/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>
      <c r="A833" s="20"/>
      <c r="B833" s="20"/>
      <c r="C833" s="20"/>
      <c r="D833" s="20"/>
      <c r="E833" s="20"/>
      <c r="F833" s="19"/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>
      <c r="A834" s="20"/>
      <c r="B834" s="20"/>
      <c r="C834" s="20"/>
      <c r="D834" s="20"/>
      <c r="E834" s="20"/>
      <c r="F834" s="19"/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>
      <c r="A835" s="20"/>
      <c r="B835" s="20"/>
      <c r="C835" s="20"/>
      <c r="D835" s="20"/>
      <c r="E835" s="20"/>
      <c r="F835" s="19"/>
      <c r="G835" s="19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>
      <c r="A836" s="20"/>
      <c r="B836" s="20"/>
      <c r="C836" s="20"/>
      <c r="D836" s="20"/>
      <c r="E836" s="20"/>
      <c r="F836" s="19"/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>
      <c r="A837" s="20"/>
      <c r="B837" s="20"/>
      <c r="C837" s="20"/>
      <c r="D837" s="20"/>
      <c r="E837" s="20"/>
      <c r="F837" s="19"/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>
      <c r="A838" s="20"/>
      <c r="B838" s="20"/>
      <c r="C838" s="20"/>
      <c r="D838" s="20"/>
      <c r="E838" s="20"/>
      <c r="F838" s="19"/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>
      <c r="A839" s="20"/>
      <c r="B839" s="20"/>
      <c r="C839" s="20"/>
      <c r="D839" s="20"/>
      <c r="E839" s="20"/>
      <c r="F839" s="19"/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>
      <c r="A840" s="20"/>
      <c r="B840" s="20"/>
      <c r="C840" s="20"/>
      <c r="D840" s="20"/>
      <c r="E840" s="20"/>
      <c r="F840" s="19"/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>
      <c r="A841" s="20"/>
      <c r="B841" s="20"/>
      <c r="C841" s="20"/>
      <c r="D841" s="20"/>
      <c r="E841" s="20"/>
      <c r="F841" s="19"/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>
      <c r="A842" s="20"/>
      <c r="B842" s="20"/>
      <c r="C842" s="20"/>
      <c r="D842" s="20"/>
      <c r="E842" s="20"/>
      <c r="F842" s="19"/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>
      <c r="A843" s="20"/>
      <c r="B843" s="20"/>
      <c r="C843" s="20"/>
      <c r="D843" s="20"/>
      <c r="E843" s="20"/>
      <c r="F843" s="19"/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>
      <c r="A844" s="20"/>
      <c r="B844" s="20"/>
      <c r="C844" s="20"/>
      <c r="D844" s="20"/>
      <c r="E844" s="20"/>
      <c r="F844" s="19"/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>
      <c r="A845" s="20"/>
      <c r="B845" s="20"/>
      <c r="C845" s="20"/>
      <c r="D845" s="20"/>
      <c r="E845" s="20"/>
      <c r="F845" s="19"/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>
      <c r="A846" s="20"/>
      <c r="B846" s="20"/>
      <c r="C846" s="20"/>
      <c r="D846" s="20"/>
      <c r="E846" s="20"/>
      <c r="F846" s="19"/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>
      <c r="A847" s="20"/>
      <c r="B847" s="20"/>
      <c r="C847" s="20"/>
      <c r="D847" s="20"/>
      <c r="E847" s="20"/>
      <c r="F847" s="19"/>
      <c r="G847" s="19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>
      <c r="A848" s="20"/>
      <c r="B848" s="20"/>
      <c r="C848" s="20"/>
      <c r="D848" s="20"/>
      <c r="E848" s="20"/>
      <c r="F848" s="19"/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>
      <c r="A849" s="20"/>
      <c r="B849" s="20"/>
      <c r="C849" s="20"/>
      <c r="D849" s="20"/>
      <c r="E849" s="20"/>
      <c r="F849" s="19"/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>
      <c r="A850" s="20"/>
      <c r="B850" s="20"/>
      <c r="C850" s="20"/>
      <c r="D850" s="20"/>
      <c r="E850" s="20"/>
      <c r="F850" s="19"/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>
      <c r="A851" s="20"/>
      <c r="B851" s="20"/>
      <c r="C851" s="20"/>
      <c r="D851" s="20"/>
      <c r="E851" s="20"/>
      <c r="F851" s="19"/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>
      <c r="A852" s="20"/>
      <c r="B852" s="20"/>
      <c r="C852" s="20"/>
      <c r="D852" s="20"/>
      <c r="E852" s="20"/>
      <c r="F852" s="19"/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>
      <c r="A853" s="20"/>
      <c r="B853" s="20"/>
      <c r="C853" s="20"/>
      <c r="D853" s="20"/>
      <c r="E853" s="20"/>
      <c r="F853" s="19"/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>
      <c r="A854" s="20"/>
      <c r="B854" s="20"/>
      <c r="C854" s="20"/>
      <c r="D854" s="20"/>
      <c r="E854" s="20"/>
      <c r="F854" s="19"/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>
      <c r="A855" s="20"/>
      <c r="B855" s="20"/>
      <c r="C855" s="20"/>
      <c r="D855" s="20"/>
      <c r="E855" s="20"/>
      <c r="F855" s="19"/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>
      <c r="A856" s="20"/>
      <c r="B856" s="20"/>
      <c r="C856" s="20"/>
      <c r="D856" s="20"/>
      <c r="E856" s="20"/>
      <c r="F856" s="19"/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>
      <c r="A857" s="20"/>
      <c r="B857" s="20"/>
      <c r="C857" s="20"/>
      <c r="D857" s="20"/>
      <c r="E857" s="20"/>
      <c r="F857" s="19"/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>
      <c r="A858" s="20"/>
      <c r="B858" s="20"/>
      <c r="C858" s="20"/>
      <c r="D858" s="20"/>
      <c r="E858" s="20"/>
      <c r="F858" s="19"/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>
      <c r="A859" s="20"/>
      <c r="B859" s="20"/>
      <c r="C859" s="20"/>
      <c r="D859" s="20"/>
      <c r="E859" s="20"/>
      <c r="F859" s="19"/>
      <c r="G859" s="19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>
      <c r="A860" s="20"/>
      <c r="B860" s="20"/>
      <c r="C860" s="20"/>
      <c r="D860" s="20"/>
      <c r="E860" s="20"/>
      <c r="F860" s="19"/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>
      <c r="A861" s="20"/>
      <c r="B861" s="20"/>
      <c r="C861" s="20"/>
      <c r="D861" s="20"/>
      <c r="E861" s="20"/>
      <c r="F861" s="19"/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>
      <c r="A862" s="20"/>
      <c r="B862" s="20"/>
      <c r="C862" s="20"/>
      <c r="D862" s="20"/>
      <c r="E862" s="20"/>
      <c r="F862" s="19"/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>
      <c r="A863" s="20"/>
      <c r="B863" s="20"/>
      <c r="C863" s="20"/>
      <c r="D863" s="20"/>
      <c r="E863" s="20"/>
      <c r="F863" s="19"/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>
      <c r="A864" s="20"/>
      <c r="B864" s="20"/>
      <c r="C864" s="20"/>
      <c r="D864" s="20"/>
      <c r="E864" s="20"/>
      <c r="F864" s="19"/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>
      <c r="A865" s="20"/>
      <c r="B865" s="20"/>
      <c r="C865" s="20"/>
      <c r="D865" s="20"/>
      <c r="E865" s="20"/>
      <c r="F865" s="19"/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>
      <c r="A866" s="20"/>
      <c r="B866" s="20"/>
      <c r="C866" s="20"/>
      <c r="D866" s="20"/>
      <c r="E866" s="20"/>
      <c r="F866" s="19"/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>
      <c r="A867" s="20"/>
      <c r="B867" s="20"/>
      <c r="C867" s="20"/>
      <c r="D867" s="20"/>
      <c r="E867" s="20"/>
      <c r="F867" s="19"/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>
      <c r="A868" s="20"/>
      <c r="B868" s="20"/>
      <c r="C868" s="20"/>
      <c r="D868" s="20"/>
      <c r="E868" s="20"/>
      <c r="F868" s="19"/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>
      <c r="A869" s="20"/>
      <c r="B869" s="20"/>
      <c r="C869" s="20"/>
      <c r="D869" s="20"/>
      <c r="E869" s="20"/>
      <c r="F869" s="19"/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>
      <c r="A870" s="20"/>
      <c r="B870" s="20"/>
      <c r="C870" s="20"/>
      <c r="D870" s="20"/>
      <c r="E870" s="20"/>
      <c r="F870" s="19"/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>
      <c r="A871" s="20"/>
      <c r="B871" s="20"/>
      <c r="C871" s="20"/>
      <c r="D871" s="20"/>
      <c r="E871" s="20"/>
      <c r="F871" s="19"/>
      <c r="G871" s="19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>
      <c r="A872" s="20"/>
      <c r="B872" s="20"/>
      <c r="C872" s="20"/>
      <c r="D872" s="20"/>
      <c r="E872" s="20"/>
      <c r="F872" s="19"/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>
      <c r="A873" s="20"/>
      <c r="B873" s="20"/>
      <c r="C873" s="20"/>
      <c r="D873" s="20"/>
      <c r="E873" s="20"/>
      <c r="F873" s="19"/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>
      <c r="A874" s="20"/>
      <c r="B874" s="20"/>
      <c r="C874" s="20"/>
      <c r="D874" s="20"/>
      <c r="E874" s="20"/>
      <c r="F874" s="19"/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>
      <c r="A875" s="20"/>
      <c r="B875" s="20"/>
      <c r="C875" s="20"/>
      <c r="D875" s="20"/>
      <c r="E875" s="20"/>
      <c r="F875" s="19"/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>
      <c r="A876" s="20"/>
      <c r="B876" s="20"/>
      <c r="C876" s="20"/>
      <c r="D876" s="20"/>
      <c r="E876" s="20"/>
      <c r="F876" s="19"/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>
      <c r="A877" s="20"/>
      <c r="B877" s="20"/>
      <c r="C877" s="20"/>
      <c r="D877" s="20"/>
      <c r="E877" s="20"/>
      <c r="F877" s="19"/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>
      <c r="A878" s="20"/>
      <c r="B878" s="20"/>
      <c r="C878" s="20"/>
      <c r="D878" s="20"/>
      <c r="E878" s="20"/>
      <c r="F878" s="19"/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>
      <c r="A879" s="20"/>
      <c r="B879" s="20"/>
      <c r="C879" s="20"/>
      <c r="D879" s="20"/>
      <c r="E879" s="20"/>
      <c r="F879" s="19"/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>
      <c r="A880" s="20"/>
      <c r="B880" s="20"/>
      <c r="C880" s="20"/>
      <c r="D880" s="20"/>
      <c r="E880" s="20"/>
      <c r="F880" s="19"/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>
      <c r="A881" s="20"/>
      <c r="B881" s="20"/>
      <c r="C881" s="20"/>
      <c r="D881" s="20"/>
      <c r="E881" s="20"/>
      <c r="F881" s="19"/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>
      <c r="A882" s="20"/>
      <c r="B882" s="20"/>
      <c r="C882" s="20"/>
      <c r="D882" s="20"/>
      <c r="E882" s="20"/>
      <c r="F882" s="19"/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>
      <c r="A883" s="20"/>
      <c r="B883" s="20"/>
      <c r="C883" s="20"/>
      <c r="D883" s="20"/>
      <c r="E883" s="20"/>
      <c r="F883" s="19"/>
      <c r="G883" s="19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>
      <c r="A884" s="20"/>
      <c r="B884" s="20"/>
      <c r="C884" s="20"/>
      <c r="D884" s="20"/>
      <c r="E884" s="20"/>
      <c r="F884" s="19"/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>
      <c r="A885" s="20"/>
      <c r="B885" s="20"/>
      <c r="C885" s="20"/>
      <c r="D885" s="20"/>
      <c r="E885" s="20"/>
      <c r="F885" s="19"/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>
      <c r="A886" s="20"/>
      <c r="B886" s="20"/>
      <c r="C886" s="20"/>
      <c r="D886" s="20"/>
      <c r="E886" s="20"/>
      <c r="F886" s="19"/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>
      <c r="A887" s="20"/>
      <c r="B887" s="20"/>
      <c r="C887" s="20"/>
      <c r="D887" s="20"/>
      <c r="E887" s="20"/>
      <c r="F887" s="19"/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>
      <c r="A888" s="20"/>
      <c r="B888" s="20"/>
      <c r="C888" s="20"/>
      <c r="D888" s="20"/>
      <c r="E888" s="20"/>
      <c r="F888" s="19"/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>
      <c r="A889" s="20"/>
      <c r="B889" s="20"/>
      <c r="C889" s="20"/>
      <c r="D889" s="20"/>
      <c r="E889" s="20"/>
      <c r="F889" s="19"/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>
      <c r="A890" s="20"/>
      <c r="B890" s="20"/>
      <c r="C890" s="20"/>
      <c r="D890" s="20"/>
      <c r="E890" s="20"/>
      <c r="F890" s="19"/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>
      <c r="A891" s="20"/>
      <c r="B891" s="20"/>
      <c r="C891" s="20"/>
      <c r="D891" s="20"/>
      <c r="E891" s="20"/>
      <c r="F891" s="19"/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>
      <c r="A892" s="20"/>
      <c r="B892" s="20"/>
      <c r="C892" s="20"/>
      <c r="D892" s="20"/>
      <c r="E892" s="20"/>
      <c r="F892" s="19"/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>
      <c r="A893" s="20"/>
      <c r="B893" s="20"/>
      <c r="C893" s="20"/>
      <c r="D893" s="20"/>
      <c r="E893" s="20"/>
      <c r="F893" s="19"/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>
      <c r="A894" s="20"/>
      <c r="B894" s="20"/>
      <c r="C894" s="20"/>
      <c r="D894" s="20"/>
      <c r="E894" s="20"/>
      <c r="F894" s="19"/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>
      <c r="A895" s="20"/>
      <c r="B895" s="20"/>
      <c r="C895" s="20"/>
      <c r="D895" s="20"/>
      <c r="E895" s="20"/>
      <c r="F895" s="19"/>
      <c r="G895" s="19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>
      <c r="A896" s="20"/>
      <c r="B896" s="20"/>
      <c r="C896" s="20"/>
      <c r="D896" s="20"/>
      <c r="E896" s="20"/>
      <c r="F896" s="19"/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>
      <c r="A897" s="20"/>
      <c r="B897" s="20"/>
      <c r="C897" s="20"/>
      <c r="D897" s="20"/>
      <c r="E897" s="20"/>
      <c r="F897" s="19"/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>
      <c r="A898" s="20"/>
      <c r="B898" s="20"/>
      <c r="C898" s="20"/>
      <c r="D898" s="20"/>
      <c r="E898" s="20"/>
      <c r="F898" s="19"/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>
      <c r="A899" s="20"/>
      <c r="B899" s="20"/>
      <c r="C899" s="20"/>
      <c r="D899" s="20"/>
      <c r="E899" s="20"/>
      <c r="F899" s="19"/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>
      <c r="A900" s="20"/>
      <c r="B900" s="20"/>
      <c r="C900" s="20"/>
      <c r="D900" s="20"/>
      <c r="E900" s="20"/>
      <c r="F900" s="19"/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>
      <c r="A901" s="20"/>
      <c r="B901" s="20"/>
      <c r="C901" s="20"/>
      <c r="D901" s="20"/>
      <c r="E901" s="20"/>
      <c r="F901" s="19"/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>
      <c r="A902" s="20"/>
      <c r="B902" s="20"/>
      <c r="C902" s="20"/>
      <c r="D902" s="20"/>
      <c r="E902" s="20"/>
      <c r="F902" s="19"/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>
      <c r="A903" s="20"/>
      <c r="B903" s="20"/>
      <c r="C903" s="20"/>
      <c r="D903" s="20"/>
      <c r="E903" s="20"/>
      <c r="F903" s="19"/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>
      <c r="A904" s="20"/>
      <c r="B904" s="20"/>
      <c r="C904" s="20"/>
      <c r="D904" s="20"/>
      <c r="E904" s="20"/>
      <c r="F904" s="19"/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>
      <c r="A905" s="20"/>
      <c r="B905" s="20"/>
      <c r="C905" s="20"/>
      <c r="D905" s="20"/>
      <c r="E905" s="20"/>
      <c r="F905" s="19"/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>
      <c r="A906" s="20"/>
      <c r="B906" s="20"/>
      <c r="C906" s="20"/>
      <c r="D906" s="20"/>
      <c r="E906" s="20"/>
      <c r="F906" s="19"/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>
      <c r="A907" s="20"/>
      <c r="B907" s="20"/>
      <c r="C907" s="20"/>
      <c r="D907" s="20"/>
      <c r="E907" s="20"/>
      <c r="F907" s="19"/>
      <c r="G907" s="19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>
      <c r="A908" s="20"/>
      <c r="B908" s="20"/>
      <c r="C908" s="20"/>
      <c r="D908" s="20"/>
      <c r="E908" s="20"/>
      <c r="F908" s="19"/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>
      <c r="A909" s="20"/>
      <c r="B909" s="20"/>
      <c r="C909" s="20"/>
      <c r="D909" s="20"/>
      <c r="E909" s="20"/>
      <c r="F909" s="19"/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>
      <c r="A910" s="20"/>
      <c r="B910" s="20"/>
      <c r="C910" s="20"/>
      <c r="D910" s="20"/>
      <c r="E910" s="20"/>
      <c r="F910" s="19"/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>
      <c r="A911" s="20"/>
      <c r="B911" s="20"/>
      <c r="C911" s="20"/>
      <c r="D911" s="20"/>
      <c r="E911" s="20"/>
      <c r="F911" s="19"/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>
      <c r="A912" s="20"/>
      <c r="B912" s="20"/>
      <c r="C912" s="20"/>
      <c r="D912" s="20"/>
      <c r="E912" s="20"/>
      <c r="F912" s="19"/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>
      <c r="A913" s="20"/>
      <c r="B913" s="20"/>
      <c r="C913" s="20"/>
      <c r="D913" s="20"/>
      <c r="E913" s="20"/>
      <c r="F913" s="19"/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>
      <c r="A914" s="20"/>
      <c r="B914" s="20"/>
      <c r="C914" s="20"/>
      <c r="D914" s="20"/>
      <c r="E914" s="20"/>
      <c r="F914" s="19"/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>
      <c r="A915" s="20"/>
      <c r="B915" s="20"/>
      <c r="C915" s="20"/>
      <c r="D915" s="20"/>
      <c r="E915" s="20"/>
      <c r="F915" s="19"/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>
      <c r="A916" s="20"/>
      <c r="B916" s="20"/>
      <c r="C916" s="20"/>
      <c r="D916" s="20"/>
      <c r="E916" s="20"/>
      <c r="F916" s="19"/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>
      <c r="A917" s="20"/>
      <c r="B917" s="20"/>
      <c r="C917" s="20"/>
      <c r="D917" s="20"/>
      <c r="E917" s="20"/>
      <c r="F917" s="19"/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>
      <c r="A918" s="20"/>
      <c r="B918" s="20"/>
      <c r="C918" s="20"/>
      <c r="D918" s="20"/>
      <c r="E918" s="20"/>
      <c r="F918" s="19"/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>
      <c r="A919" s="20"/>
      <c r="B919" s="20"/>
      <c r="C919" s="20"/>
      <c r="D919" s="20"/>
      <c r="E919" s="20"/>
      <c r="F919" s="19"/>
      <c r="G919" s="19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>
      <c r="A920" s="20"/>
      <c r="B920" s="20"/>
      <c r="C920" s="20"/>
      <c r="D920" s="20"/>
      <c r="E920" s="20"/>
      <c r="F920" s="19"/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>
      <c r="A921" s="20"/>
      <c r="B921" s="20"/>
      <c r="C921" s="20"/>
      <c r="D921" s="20"/>
      <c r="E921" s="20"/>
      <c r="F921" s="19"/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>
      <c r="A922" s="20"/>
      <c r="B922" s="20"/>
      <c r="C922" s="20"/>
      <c r="D922" s="20"/>
      <c r="E922" s="20"/>
      <c r="F922" s="19"/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>
      <c r="A923" s="20"/>
      <c r="B923" s="20"/>
      <c r="C923" s="20"/>
      <c r="D923" s="20"/>
      <c r="E923" s="20"/>
      <c r="F923" s="19"/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>
      <c r="A924" s="20"/>
      <c r="B924" s="20"/>
      <c r="C924" s="20"/>
      <c r="D924" s="20"/>
      <c r="E924" s="20"/>
      <c r="F924" s="19"/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>
      <c r="A925" s="20"/>
      <c r="B925" s="20"/>
      <c r="C925" s="20"/>
      <c r="D925" s="20"/>
      <c r="E925" s="20"/>
      <c r="F925" s="19"/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>
      <c r="A926" s="20"/>
      <c r="B926" s="20"/>
      <c r="C926" s="20"/>
      <c r="D926" s="20"/>
      <c r="E926" s="20"/>
      <c r="F926" s="19"/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>
      <c r="A927" s="20"/>
      <c r="B927" s="20"/>
      <c r="C927" s="20"/>
      <c r="D927" s="20"/>
      <c r="E927" s="20"/>
      <c r="F927" s="19"/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>
      <c r="A928" s="20"/>
      <c r="B928" s="20"/>
      <c r="C928" s="20"/>
      <c r="D928" s="20"/>
      <c r="E928" s="20"/>
      <c r="F928" s="19"/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>
      <c r="A929" s="20"/>
      <c r="B929" s="20"/>
      <c r="C929" s="20"/>
      <c r="D929" s="20"/>
      <c r="E929" s="20"/>
      <c r="F929" s="19"/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>
      <c r="A930" s="20"/>
      <c r="B930" s="20"/>
      <c r="C930" s="20"/>
      <c r="D930" s="20"/>
      <c r="E930" s="20"/>
      <c r="F930" s="19"/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>
      <c r="A931" s="20"/>
      <c r="B931" s="20"/>
      <c r="C931" s="20"/>
      <c r="D931" s="20"/>
      <c r="E931" s="20"/>
      <c r="F931" s="19"/>
      <c r="G931" s="19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>
      <c r="A932" s="20"/>
      <c r="B932" s="20"/>
      <c r="C932" s="20"/>
      <c r="D932" s="20"/>
      <c r="E932" s="20"/>
      <c r="F932" s="19"/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>
      <c r="A933" s="20"/>
      <c r="B933" s="20"/>
      <c r="C933" s="20"/>
      <c r="D933" s="20"/>
      <c r="E933" s="20"/>
      <c r="F933" s="19"/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>
      <c r="A934" s="20"/>
      <c r="B934" s="20"/>
      <c r="C934" s="20"/>
      <c r="D934" s="20"/>
      <c r="E934" s="20"/>
      <c r="F934" s="19"/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>
      <c r="A935" s="20"/>
      <c r="B935" s="20"/>
      <c r="C935" s="20"/>
      <c r="D935" s="20"/>
      <c r="E935" s="20"/>
      <c r="F935" s="19"/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>
      <c r="A936" s="20"/>
      <c r="B936" s="20"/>
      <c r="C936" s="20"/>
      <c r="D936" s="20"/>
      <c r="E936" s="20"/>
      <c r="F936" s="19"/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>
      <c r="A937" s="20"/>
      <c r="B937" s="20"/>
      <c r="C937" s="20"/>
      <c r="D937" s="20"/>
      <c r="E937" s="20"/>
      <c r="F937" s="19"/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>
      <c r="A938" s="20"/>
      <c r="B938" s="20"/>
      <c r="C938" s="20"/>
      <c r="D938" s="20"/>
      <c r="E938" s="20"/>
      <c r="F938" s="19"/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>
      <c r="A939" s="20"/>
      <c r="B939" s="20"/>
      <c r="C939" s="20"/>
      <c r="D939" s="20"/>
      <c r="E939" s="20"/>
      <c r="F939" s="19"/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>
      <c r="A940" s="20"/>
      <c r="B940" s="20"/>
      <c r="C940" s="20"/>
      <c r="D940" s="20"/>
      <c r="E940" s="20"/>
      <c r="F940" s="19"/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>
      <c r="A941" s="20"/>
      <c r="B941" s="20"/>
      <c r="C941" s="20"/>
      <c r="D941" s="20"/>
      <c r="E941" s="20"/>
      <c r="F941" s="19"/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>
      <c r="A942" s="20"/>
      <c r="B942" s="20"/>
      <c r="C942" s="20"/>
      <c r="D942" s="20"/>
      <c r="E942" s="20"/>
      <c r="F942" s="19"/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>
      <c r="A943" s="20"/>
      <c r="B943" s="20"/>
      <c r="C943" s="20"/>
      <c r="D943" s="20"/>
      <c r="E943" s="20"/>
      <c r="F943" s="19"/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>
      <c r="A944" s="20"/>
      <c r="B944" s="20"/>
      <c r="C944" s="20"/>
      <c r="D944" s="20"/>
      <c r="E944" s="20"/>
      <c r="F944" s="19"/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>
      <c r="A945" s="20"/>
      <c r="B945" s="20"/>
      <c r="C945" s="20"/>
      <c r="D945" s="20"/>
      <c r="E945" s="20"/>
      <c r="F945" s="19"/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>
      <c r="A946" s="20"/>
      <c r="B946" s="20"/>
      <c r="C946" s="20"/>
      <c r="D946" s="20"/>
      <c r="E946" s="20"/>
      <c r="F946" s="19"/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>
      <c r="A947" s="20"/>
      <c r="B947" s="20"/>
      <c r="C947" s="20"/>
      <c r="D947" s="20"/>
      <c r="E947" s="20"/>
      <c r="F947" s="19"/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>
      <c r="A948" s="20"/>
      <c r="B948" s="20"/>
      <c r="C948" s="20"/>
      <c r="D948" s="20"/>
      <c r="E948" s="20"/>
      <c r="F948" s="19"/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>
      <c r="A949" s="20"/>
      <c r="B949" s="20"/>
      <c r="C949" s="20"/>
      <c r="D949" s="20"/>
      <c r="E949" s="20"/>
      <c r="F949" s="19"/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>
      <c r="A950" s="20"/>
      <c r="B950" s="20"/>
      <c r="C950" s="20"/>
      <c r="D950" s="20"/>
      <c r="E950" s="20"/>
      <c r="F950" s="19"/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>
      <c r="A951" s="20"/>
      <c r="B951" s="20"/>
      <c r="C951" s="20"/>
      <c r="D951" s="20"/>
      <c r="E951" s="20"/>
      <c r="F951" s="19"/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>
      <c r="A952" s="20"/>
      <c r="B952" s="20"/>
      <c r="C952" s="20"/>
      <c r="D952" s="20"/>
      <c r="E952" s="20"/>
      <c r="F952" s="19"/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>
      <c r="A953" s="20"/>
      <c r="B953" s="20"/>
      <c r="C953" s="20"/>
      <c r="D953" s="20"/>
      <c r="E953" s="20"/>
      <c r="F953" s="19"/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>
      <c r="A954" s="20"/>
      <c r="B954" s="20"/>
      <c r="C954" s="20"/>
      <c r="D954" s="20"/>
      <c r="E954" s="20"/>
      <c r="F954" s="19"/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>
      <c r="A955" s="20"/>
      <c r="B955" s="20"/>
      <c r="C955" s="20"/>
      <c r="D955" s="20"/>
      <c r="E955" s="20"/>
      <c r="F955" s="19"/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>
      <c r="A956" s="20"/>
      <c r="B956" s="20"/>
      <c r="C956" s="20"/>
      <c r="D956" s="20"/>
      <c r="E956" s="20"/>
      <c r="F956" s="19"/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>
      <c r="A957" s="20"/>
      <c r="B957" s="20"/>
      <c r="C957" s="20"/>
      <c r="D957" s="20"/>
      <c r="E957" s="20"/>
      <c r="F957" s="19"/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>
      <c r="A958" s="20"/>
      <c r="B958" s="20"/>
      <c r="C958" s="20"/>
      <c r="D958" s="20"/>
      <c r="E958" s="20"/>
      <c r="F958" s="19"/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>
      <c r="A959" s="20"/>
      <c r="B959" s="20"/>
      <c r="C959" s="20"/>
      <c r="D959" s="20"/>
      <c r="E959" s="20"/>
      <c r="F959" s="19"/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>
      <c r="A960" s="20"/>
      <c r="B960" s="20"/>
      <c r="C960" s="20"/>
      <c r="D960" s="20"/>
      <c r="E960" s="20"/>
      <c r="F960" s="19"/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>
      <c r="A961" s="20"/>
      <c r="B961" s="20"/>
      <c r="C961" s="20"/>
      <c r="D961" s="20"/>
      <c r="E961" s="20"/>
      <c r="F961" s="19"/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>
      <c r="A962" s="20"/>
      <c r="B962" s="20"/>
      <c r="C962" s="20"/>
      <c r="D962" s="20"/>
      <c r="E962" s="20"/>
      <c r="F962" s="19"/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>
      <c r="A963" s="20"/>
      <c r="B963" s="20"/>
      <c r="C963" s="20"/>
      <c r="D963" s="20"/>
      <c r="E963" s="20"/>
      <c r="F963" s="19"/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>
      <c r="A964" s="20"/>
      <c r="B964" s="20"/>
      <c r="C964" s="20"/>
      <c r="D964" s="20"/>
      <c r="E964" s="20"/>
      <c r="F964" s="19"/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>
      <c r="A965" s="20"/>
      <c r="B965" s="20"/>
      <c r="C965" s="20"/>
      <c r="D965" s="20"/>
      <c r="E965" s="20"/>
      <c r="F965" s="19"/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>
      <c r="A966" s="20"/>
      <c r="B966" s="20"/>
      <c r="C966" s="20"/>
      <c r="D966" s="20"/>
      <c r="E966" s="20"/>
      <c r="F966" s="19"/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>
      <c r="A967" s="20"/>
      <c r="B967" s="20"/>
      <c r="C967" s="20"/>
      <c r="D967" s="20"/>
      <c r="E967" s="20"/>
      <c r="F967" s="19"/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>
      <c r="A968" s="20"/>
      <c r="B968" s="20"/>
      <c r="C968" s="20"/>
      <c r="D968" s="20"/>
      <c r="E968" s="20"/>
      <c r="F968" s="19"/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>
      <c r="A969" s="20"/>
      <c r="B969" s="20"/>
      <c r="C969" s="20"/>
      <c r="D969" s="20"/>
      <c r="E969" s="20"/>
      <c r="F969" s="19"/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>
      <c r="A970" s="20"/>
      <c r="B970" s="20"/>
      <c r="C970" s="20"/>
      <c r="D970" s="20"/>
      <c r="E970" s="20"/>
      <c r="F970" s="19"/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>
      <c r="A971" s="20"/>
      <c r="B971" s="20"/>
      <c r="C971" s="20"/>
      <c r="D971" s="20"/>
      <c r="E971" s="20"/>
      <c r="F971" s="19"/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>
      <c r="A972" s="20"/>
      <c r="B972" s="20"/>
      <c r="C972" s="20"/>
      <c r="D972" s="20"/>
      <c r="E972" s="20"/>
      <c r="F972" s="19"/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>
      <c r="A973" s="20"/>
      <c r="B973" s="20"/>
      <c r="C973" s="20"/>
      <c r="D973" s="20"/>
      <c r="E973" s="20"/>
      <c r="F973" s="19"/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>
      <c r="A974" s="20"/>
      <c r="B974" s="20"/>
      <c r="C974" s="20"/>
      <c r="D974" s="20"/>
      <c r="E974" s="20"/>
      <c r="F974" s="19"/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>
      <c r="A975" s="20"/>
      <c r="B975" s="20"/>
      <c r="C975" s="20"/>
      <c r="D975" s="20"/>
      <c r="E975" s="20"/>
      <c r="F975" s="19"/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>
      <c r="A976" s="20"/>
      <c r="B976" s="20"/>
      <c r="C976" s="20"/>
      <c r="D976" s="20"/>
      <c r="E976" s="20"/>
      <c r="F976" s="19"/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>
      <c r="A977" s="20"/>
      <c r="B977" s="20"/>
      <c r="C977" s="20"/>
      <c r="D977" s="20"/>
      <c r="E977" s="20"/>
      <c r="F977" s="19"/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>
      <c r="A978" s="20"/>
      <c r="B978" s="20"/>
      <c r="C978" s="20"/>
      <c r="D978" s="20"/>
      <c r="E978" s="20"/>
      <c r="F978" s="19"/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>
      <c r="A979" s="20"/>
      <c r="B979" s="20"/>
      <c r="C979" s="20"/>
      <c r="D979" s="20"/>
      <c r="E979" s="20"/>
      <c r="F979" s="19"/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>
      <c r="A980" s="20"/>
      <c r="B980" s="20"/>
      <c r="C980" s="20"/>
      <c r="D980" s="20"/>
      <c r="E980" s="20"/>
      <c r="F980" s="19"/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>
      <c r="A981" s="20"/>
      <c r="B981" s="20"/>
      <c r="C981" s="20"/>
      <c r="D981" s="20"/>
      <c r="E981" s="20"/>
      <c r="F981" s="19"/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>
      <c r="A982" s="20"/>
      <c r="B982" s="20"/>
      <c r="C982" s="20"/>
      <c r="D982" s="20"/>
      <c r="E982" s="20"/>
      <c r="F982" s="19"/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>
      <c r="A983" s="20"/>
      <c r="B983" s="20"/>
      <c r="C983" s="20"/>
      <c r="D983" s="20"/>
      <c r="E983" s="20"/>
      <c r="F983" s="19"/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>
      <c r="A984" s="20"/>
      <c r="B984" s="20"/>
      <c r="C984" s="20"/>
      <c r="D984" s="20"/>
      <c r="E984" s="20"/>
      <c r="F984" s="19"/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>
      <c r="A985" s="20"/>
      <c r="B985" s="20"/>
      <c r="C985" s="20"/>
      <c r="D985" s="20"/>
      <c r="E985" s="20"/>
      <c r="F985" s="19"/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>
      <c r="A986" s="20"/>
      <c r="B986" s="20"/>
      <c r="C986" s="20"/>
      <c r="D986" s="20"/>
      <c r="E986" s="20"/>
      <c r="F986" s="19"/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>
      <c r="A987" s="20"/>
      <c r="B987" s="20"/>
      <c r="C987" s="20"/>
      <c r="D987" s="20"/>
      <c r="E987" s="20"/>
      <c r="F987" s="19"/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>
      <c r="A988" s="20"/>
      <c r="B988" s="20"/>
      <c r="C988" s="20"/>
      <c r="D988" s="20"/>
      <c r="E988" s="20"/>
      <c r="F988" s="19"/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>
      <c r="A989" s="20"/>
      <c r="B989" s="20"/>
      <c r="C989" s="20"/>
      <c r="D989" s="20"/>
      <c r="E989" s="20"/>
      <c r="F989" s="19"/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>
      <c r="A990" s="20"/>
      <c r="B990" s="20"/>
      <c r="C990" s="20"/>
      <c r="D990" s="20"/>
      <c r="E990" s="20"/>
      <c r="F990" s="19"/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>
      <c r="A991" s="20"/>
      <c r="B991" s="20"/>
      <c r="C991" s="20"/>
      <c r="D991" s="20"/>
      <c r="E991" s="20"/>
      <c r="F991" s="19"/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>
      <c r="A992" s="20"/>
      <c r="B992" s="20"/>
      <c r="C992" s="20"/>
      <c r="D992" s="20"/>
      <c r="E992" s="20"/>
      <c r="F992" s="19"/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>
      <c r="A993" s="20"/>
      <c r="B993" s="20"/>
      <c r="C993" s="20"/>
      <c r="D993" s="20"/>
      <c r="E993" s="20"/>
      <c r="F993" s="19"/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>
      <c r="A994" s="20"/>
      <c r="B994" s="20"/>
      <c r="C994" s="20"/>
      <c r="D994" s="20"/>
      <c r="E994" s="20"/>
      <c r="F994" s="19"/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>
      <c r="A995" s="20"/>
      <c r="B995" s="20"/>
      <c r="C995" s="20"/>
      <c r="D995" s="20"/>
      <c r="E995" s="20"/>
      <c r="F995" s="19"/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>
      <c r="A996" s="20"/>
      <c r="B996" s="20"/>
      <c r="C996" s="20"/>
      <c r="D996" s="20"/>
      <c r="E996" s="20"/>
      <c r="F996" s="19"/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>
      <c r="A997" s="20"/>
      <c r="B997" s="20"/>
      <c r="C997" s="20"/>
      <c r="D997" s="20"/>
      <c r="E997" s="20"/>
      <c r="F997" s="19"/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>
      <c r="A998" s="20"/>
      <c r="B998" s="20"/>
      <c r="C998" s="20"/>
      <c r="D998" s="20"/>
      <c r="E998" s="20"/>
      <c r="F998" s="19"/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>
      <c r="A999" s="20"/>
      <c r="B999" s="20"/>
      <c r="C999" s="20"/>
      <c r="D999" s="20"/>
      <c r="E999" s="20"/>
      <c r="F999" s="19"/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>
      <c r="A1000" s="20"/>
      <c r="B1000" s="20"/>
      <c r="C1000" s="20"/>
      <c r="D1000" s="20"/>
      <c r="E1000" s="20"/>
      <c r="F1000" s="19"/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 count="2">
    <mergeCell ref="A1:E1"/>
    <mergeCell ref="H1:K1"/>
  </mergeCells>
  <dataValidations>
    <dataValidation type="list" allowBlank="1" showErrorMessage="1" sqref="A3:A1000 H3:H1000">
      <formula1>Workforce!$A$2:$A1000</formula1>
    </dataValidation>
    <dataValidation type="list" allowBlank="1" showErrorMessage="1" sqref="C3:D1000">
      <formula1>"Paid,Unpaid"</formula1>
    </dataValidation>
  </dataValidations>
  <drawing r:id="rId1"/>
</worksheet>
</file>